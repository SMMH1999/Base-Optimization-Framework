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14\"/>
    </mc:Choice>
  </mc:AlternateContent>
  <xr:revisionPtr revIDLastSave="0" documentId="13_ncr:1_{0D0D6340-4E5B-46F1-A25C-F97A00789B87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<sst xmlns="http://schemas.openxmlformats.org/spreadsheetml/2006/main" count="1642" uniqueCount="1295">
  <si>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</si>
  <si>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</si>
  <si>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</si>
  <si>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</si>
  <si>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</si>
  <si>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</si>
  <si>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</si>
  <si>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</si>
  <si>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</si>
  <si>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</si>
  <si>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</si>
  <si>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</si>
  <si>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</si>
  <si>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</si>
  <si>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</si>
  <si>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</si>
  <si>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</si>
  <si>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</si>
  <si>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</si>
  <si>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</si>
  <si>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</si>
  <si>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</si>
  <si>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</si>
  <si>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</si>
  <si>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</si>
  <si>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</si>
  <si>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</si>
  <si>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</si>
  <si>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</si>
  <si>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</si>
  <si>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</si>
  <si>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</si>
  <si>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</si>
  <si>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Functions</t>
  </si>
  <si>
    <t>Unimodal
Functions</t>
  </si>
  <si>
    <t>Simple
Multimodal
Functions</t>
  </si>
  <si>
    <t>Hybrid
Function 1</t>
  </si>
  <si>
    <t>Composition
Functions</t>
  </si>
  <si>
    <t>Column1</t>
  </si>
  <si>
    <t>Column2</t>
  </si>
  <si>
    <t>Comparison of optimization results for the CEC benchmark functions 2014 (100 Dim)</t>
  </si>
  <si>
    <t>Average rating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</si>
  <si>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</si>
  <si>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</si>
  <si>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</si>
  <si>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</si>
  <si>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</si>
  <si>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</si>
  <si>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</si>
  <si>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</si>
  <si>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</si>
  <si>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</si>
  <si>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</si>
  <si>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</si>
  <si>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</si>
  <si>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</si>
  <si>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</si>
  <si>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</si>
  <si>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</si>
  <si>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</si>
  <si>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</si>
  <si>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</si>
  <si>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</si>
  <si>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</si>
  <si>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</si>
  <si>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</si>
  <si>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</si>
  <si>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</si>
  <si>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</si>
  <si>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</si>
  <si>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</si>
  <si>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</si>
  <si>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</si>
  <si>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</si>
  <si>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</si>
  <si>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</si>
  <si>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</si>
  <si>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</si>
  <si>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</si>
  <si>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</si>
  <si>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</si>
  <si>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</si>
  <si>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</si>
  <si>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</si>
  <si>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</si>
  <si>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</si>
  <si>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</si>
  <si>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</si>
  <si>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</si>
  <si>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</si>
  <si>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</si>
  <si>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</si>
  <si>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</si>
  <si>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</si>
  <si>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</si>
  <si>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</si>
  <si>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</si>
  <si>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</si>
  <si>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</si>
  <si>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</si>
  <si>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</si>
  <si>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</si>
  <si>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</si>
  <si>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</si>
  <si>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</si>
  <si>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</si>
  <si>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</si>
  <si>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</si>
  <si>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</si>
  <si>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</si>
  <si>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</si>
  <si>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</si>
  <si>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</si>
  <si>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</si>
  <si>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</si>
  <si>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</si>
  <si>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</si>
  <si>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</si>
  <si>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</si>
  <si>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</si>
  <si>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</si>
  <si>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</si>
  <si>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</si>
  <si>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</si>
  <si>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</si>
  <si>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</si>
  <si>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</si>
  <si>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</si>
  <si>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</si>
  <si>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</si>
  <si>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</si>
  <si>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</si>
  <si>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</si>
  <si>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</si>
  <si>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</si>
  <si>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</si>
  <si>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</si>
  <si>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</si>
  <si>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</si>
  <si>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</si>
  <si>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</si>
  <si>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</si>
  <si>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</si>
  <si>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</si>
  <si>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</si>
  <si>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</si>
  <si>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</si>
  <si>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</si>
  <si>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</si>
  <si>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</si>
  <si>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</si>
  <si>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</si>
  <si>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</si>
  <si>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</si>
  <si>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</si>
  <si>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</si>
  <si>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</si>
  <si>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</si>
  <si>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</si>
  <si>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</si>
  <si>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</si>
  <si>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</si>
  <si>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</si>
  <si>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</si>
  <si>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</si>
  <si>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</si>
  <si>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</si>
  <si>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</si>
  <si>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</si>
  <si>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</si>
  <si>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</si>
  <si>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</si>
  <si>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</si>
  <si>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</si>
  <si>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</si>
  <si>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</si>
  <si>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</si>
  <si>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</si>
  <si>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</si>
  <si>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</si>
  <si>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</si>
  <si>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</si>
  <si>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</si>
  <si>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</si>
  <si>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</si>
  <si>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</si>
  <si>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</si>
  <si>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</si>
  <si>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</si>
  <si>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</si>
  <si>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</si>
  <si>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</si>
  <si>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</si>
  <si>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</si>
  <si>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</si>
  <si>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</si>
  <si>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</si>
  <si>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</si>
  <si>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</si>
  <si>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</si>
  <si>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</si>
  <si>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</si>
  <si>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</si>
  <si>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</si>
  <si>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</si>
  <si>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</si>
  <si>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</si>
  <si>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</si>
  <si>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</si>
  <si>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</si>
  <si>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</si>
  <si>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</si>
  <si>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</si>
  <si>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</si>
  <si>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</si>
  <si>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</si>
  <si>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</si>
  <si>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</si>
  <si>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</si>
  <si>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</si>
  <si>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</si>
  <si>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</si>
  <si>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</si>
  <si>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</si>
  <si>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</si>
  <si>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</si>
  <si>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</si>
  <si>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</si>
  <si>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</si>
  <si>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</si>
  <si>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</si>
  <si>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</si>
  <si>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</si>
  <si>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</si>
  <si>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</si>
  <si>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</si>
  <si>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</si>
  <si>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</si>
  <si>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</si>
  <si>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</si>
  <si>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</si>
  <si>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</si>
  <si>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</si>
  <si>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</si>
  <si>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</si>
  <si>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</si>
  <si>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</si>
  <si>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</si>
  <si>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</si>
  <si>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</si>
  <si>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</si>
  <si>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</si>
  <si>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</si>
  <si>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</si>
  <si>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</si>
  <si>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</si>
  <si>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</si>
  <si>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</si>
  <si>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</si>
  <si>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</si>
  <si>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</si>
  <si>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</si>
  <si>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</si>
  <si>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</si>
  <si>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</si>
  <si>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</si>
  <si>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</si>
  <si>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</si>
  <si>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</si>
  <si>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</si>
  <si>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</si>
  <si>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</si>
  <si>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</si>
  <si>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</si>
  <si>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</si>
  <si>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</si>
  <si>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</si>
  <si>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</si>
  <si>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</si>
  <si>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</si>
  <si>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</si>
  <si>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</si>
  <si>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</si>
  <si>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</si>
  <si>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</si>
  <si>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</si>
  <si>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</si>
  <si>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</si>
  <si>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</si>
  <si>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</si>
  <si>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</si>
  <si>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</si>
  <si>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</si>
  <si>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</si>
  <si>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</si>
  <si>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</si>
  <si>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</si>
  <si>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2014 (100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</si>
  <si>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</si>
  <si>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</si>
  <si>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</si>
  <si>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</si>
  <si>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</si>
  <si>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</si>
  <si>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</si>
  <si>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</si>
  <si>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</si>
  <si>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</si>
  <si>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</si>
  <si>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</si>
  <si>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</si>
  <si>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</si>
  <si>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</si>
  <si>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Total number of best answers</t>
  </si>
  <si>
    <t>Rank by total number of best answers</t>
  </si>
  <si>
    <t>Rank based on the average in the set</t>
  </si>
  <si>
    <t>P-value of the T-test analysis for the CEC benchmark functions 2014 (100 Dim)</t>
  </si>
  <si>
    <t>State of the Wilcoxon analysis for the CEC benchmark functions 2014 (100 Dim)</t>
  </si>
  <si>
    <t>H-value of the Wilcoxon analysis for the CEC benchmark functions 2014 (100 Dim)</t>
  </si>
  <si>
    <t>H-value of the T-test analysis for the CEC benchmark functions 2014 (100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</si>
  <si>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</si>
  <si>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</si>
  <si>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</si>
  <si>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</si>
  <si>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</si>
  <si>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</si>
  <si>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</si>
  <si>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</si>
  <si>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</si>
  <si>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</si>
  <si>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</si>
  <si>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</si>
  <si>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</si>
  <si>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</si>
  <si>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</si>
  <si>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</si>
  <si>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</si>
  <si>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</si>
  <si>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</si>
  <si>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</si>
  <si>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</si>
  <si>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</si>
  <si>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</si>
  <si>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</si>
  <si>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</si>
  <si>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</si>
  <si>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</si>
  <si>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</si>
  <si>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</si>
  <si>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</si>
  <si>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</si>
  <si>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</si>
  <si>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</si>
  <si>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</si>
  <si>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</si>
  <si>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</si>
  <si>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</si>
  <si>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</si>
  <si>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</si>
  <si>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</si>
  <si>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</si>
  <si>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</si>
  <si>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</si>
  <si>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</si>
  <si>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</si>
  <si>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</si>
  <si>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</si>
  <si>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</si>
  <si>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</si>
  <si>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</si>
  <si>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</si>
  <si>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</si>
  <si>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</si>
  <si>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</si>
  <si>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</si>
  <si>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</si>
  <si>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</si>
  <si>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</si>
  <si>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</si>
  <si>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</si>
  <si>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</si>
  <si>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</si>
  <si>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</si>
  <si>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</si>
  <si>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</si>
  <si>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</si>
  <si>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</si>
  <si>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</si>
  <si>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</si>
  <si>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</si>
  <si>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</si>
  <si>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</si>
  <si>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</si>
  <si>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</si>
  <si>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</si>
  <si>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</si>
  <si>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</si>
  <si>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</si>
  <si>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</si>
  <si>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</si>
  <si>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</si>
  <si>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</si>
  <si>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</si>
  <si>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</si>
  <si>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</si>
  <si>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</si>
  <si>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</si>
  <si>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</si>
  <si>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</si>
  <si>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</si>
  <si>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</si>
  <si>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</si>
  <si>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</si>
  <si>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</si>
  <si>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</si>
  <si>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</si>
  <si>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</si>
  <si>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</si>
  <si>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</si>
  <si>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</si>
  <si>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</si>
  <si>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</si>
  <si>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</si>
  <si>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</si>
  <si>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</si>
  <si>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</si>
  <si>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</si>
  <si>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</si>
  <si>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</si>
  <si>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</si>
  <si>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</si>
  <si>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</si>
  <si>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</si>
  <si>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</si>
  <si>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</si>
  <si>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</si>
  <si>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</si>
  <si>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</si>
  <si>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</si>
  <si>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</si>
  <si>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</si>
  <si>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</si>
  <si>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</si>
  <si>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</si>
  <si>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</si>
  <si>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</si>
  <si>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</si>
  <si>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</si>
  <si>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</si>
  <si>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</si>
  <si>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</si>
  <si>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</si>
  <si>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</si>
  <si>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</si>
  <si>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</si>
  <si>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</si>
  <si>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</si>
  <si>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</si>
  <si>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</si>
  <si>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</si>
  <si>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</si>
  <si>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</si>
  <si>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</si>
  <si>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</si>
  <si>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</si>
  <si>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</si>
  <si>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</si>
  <si>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</si>
  <si>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</si>
  <si>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</si>
  <si>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</si>
  <si>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</si>
  <si>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</si>
  <si>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</si>
  <si>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</si>
  <si>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</si>
  <si>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</si>
  <si>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</si>
  <si>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</si>
  <si>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</si>
  <si>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</si>
  <si>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</si>
  <si>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</si>
  <si>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</si>
  <si>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</si>
  <si>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</si>
  <si>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</si>
  <si>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</si>
  <si>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</si>
  <si>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</si>
  <si>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</si>
  <si>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</si>
  <si>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</si>
  <si>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</si>
  <si>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</si>
  <si>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</si>
  <si>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</si>
  <si>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</si>
  <si>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</si>
  <si>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</si>
  <si>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</si>
  <si>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</si>
  <si>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</si>
  <si>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</si>
  <si>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</si>
  <si>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</si>
  <si>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</si>
  <si>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</si>
  <si>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</si>
  <si>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</si>
  <si>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</si>
  <si>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</si>
  <si>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</si>
  <si>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</si>
  <si>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</si>
  <si>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</si>
  <si>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</si>
  <si>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</si>
  <si>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</si>
  <si>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</si>
  <si>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</si>
  <si>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</si>
  <si>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</si>
  <si>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</si>
  <si>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</si>
  <si>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</si>
  <si>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</si>
  <si>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</si>
  <si>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</si>
  <si>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</si>
  <si>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</si>
  <si>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</si>
  <si>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</si>
  <si>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</si>
  <si>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</si>
  <si>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</si>
  <si>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</si>
  <si>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</si>
  <si>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</si>
  <si>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</si>
  <si>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</si>
  <si>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</si>
  <si>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</si>
  <si>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</si>
  <si>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</si>
  <si>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</si>
  <si>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</si>
  <si>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</si>
  <si>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</si>
  <si>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</si>
  <si>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</si>
  <si>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</si>
  <si>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</si>
  <si>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</si>
  <si>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</si>
  <si>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</si>
  <si>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</si>
  <si>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</si>
  <si>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</si>
  <si>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</si>
  <si>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</si>
  <si>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</si>
  <si>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</si>
  <si>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</si>
  <si>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</si>
  <si>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</si>
  <si>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</si>
  <si>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</si>
  <si>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</si>
  <si>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</si>
  <si>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</si>
  <si>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</si>
  <si>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</si>
  <si>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</si>
  <si>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</si>
  <si>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</si>
  <si>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</si>
  <si>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</si>
  <si>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</si>
  <si>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</si>
  <si>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</si>
  <si>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</si>
  <si>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</si>
  <si>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</si>
  <si>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</si>
  <si>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</si>
  <si>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</si>
  <si>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</si>
  <si>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</si>
  <si>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</si>
  <si>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</si>
  <si>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</si>
  <si>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</si>
  <si>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</si>
  <si>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</si>
  <si>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</si>
  <si>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</si>
  <si>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</si>
  <si>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</si>
  <si>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</si>
  <si>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</si>
  <si>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</si>
  <si>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</si>
  <si>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</si>
  <si>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</si>
  <si>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</si>
  <si>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</si>
  <si>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</si>
  <si>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</si>
  <si>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</si>
  <si>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</si>
  <si>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</si>
  <si>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</si>
  <si>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</si>
  <si>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</si>
  <si>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</si>
  <si>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</si>
  <si>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</si>
  <si>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</si>
  <si>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</si>
  <si>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</si>
  <si>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</si>
  <si>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</si>
  <si>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</si>
  <si>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</si>
  <si>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</si>
  <si>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</si>
  <si>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</si>
  <si>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</si>
  <si>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</si>
  <si>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</si>
  <si>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</si>
  <si>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</si>
  <si>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</si>
  <si>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</si>
  <si>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</si>
  <si>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</si>
  <si>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</si>
  <si>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</si>
  <si>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</si>
  <si>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</si>
  <si>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</si>
  <si>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</si>
  <si>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</si>
  <si>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</si>
  <si>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</si>
  <si>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</si>
  <si>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</si>
  <si>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</si>
  <si>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</si>
  <si>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</si>
  <si>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</si>
  <si>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</si>
  <si>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</si>
  <si>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</si>
  <si>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</si>
  <si>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</si>
  <si>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</si>
  <si>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</si>
  <si>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</si>
  <si>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</si>
  <si>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</si>
  <si>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</si>
  <si>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</si>
  <si>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</si>
  <si>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</si>
  <si>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</si>
  <si>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</si>
  <si>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</si>
  <si>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</si>
  <si>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</si>
  <si>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</si>
  <si>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</si>
  <si>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</si>
  <si>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</si>
  <si>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</si>
  <si>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</si>
  <si>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</si>
  <si>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</si>
  <si>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</si>
  <si>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</si>
  <si>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</si>
  <si>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</si>
  <si>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</si>
  <si>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</si>
  <si>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</si>
  <si>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</si>
  <si>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</si>
  <si>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</si>
  <si>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</si>
  <si>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</si>
  <si>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</si>
  <si>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</si>
  <si>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</si>
  <si>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</si>
  <si>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</si>
  <si>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</si>
  <si>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</si>
  <si>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</si>
  <si>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</si>
  <si>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</si>
  <si>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</si>
  <si>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</si>
  <si>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</si>
  <si>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</si>
  <si>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</si>
  <si>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</si>
  <si>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</si>
  <si>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</si>
  <si>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</si>
  <si>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</si>
  <si>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</si>
  <si>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</si>
  <si>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</si>
  <si>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</si>
  <si>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</si>
  <si>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</si>
  <si>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</si>
  <si>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</si>
  <si>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</si>
  <si>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</si>
  <si>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</si>
  <si>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</si>
  <si>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</si>
  <si>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</si>
  <si>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</si>
  <si>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</si>
  <si>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</si>
  <si>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</si>
  <si>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</si>
  <si>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</si>
  <si>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</si>
  <si>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</si>
  <si>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</si>
  <si>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</si>
  <si>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</si>
  <si>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</si>
  <si>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</si>
  <si>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</si>
  <si>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</si>
  <si>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</si>
  <si>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</si>
  <si>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</si>
  <si>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</si>
  <si>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</si>
  <si>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</si>
  <si>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</si>
  <si>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</si>
  <si>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</si>
  <si>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</si>
  <si>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</si>
  <si>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</si>
  <si>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</si>
  <si>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</si>
  <si>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</si>
  <si>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</si>
  <si>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</si>
  <si>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</si>
  <si>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</si>
  <si>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</si>
  <si>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</si>
  <si>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</si>
  <si>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</si>
  <si>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</si>
  <si>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</si>
  <si>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</si>
  <si>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</si>
  <si>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</si>
  <si>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</si>
  <si>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</si>
  <si>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</si>
  <si>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</si>
  <si>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</si>
  <si>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</si>
  <si>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</si>
  <si>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ORCAS</t>
  </si>
  <si>
    <t>GWO</t>
  </si>
  <si>
    <t>SSA</t>
  </si>
  <si>
    <t>PSO</t>
  </si>
  <si>
    <t>CSA</t>
  </si>
  <si>
    <t>WHO</t>
  </si>
  <si>
    <t>SBO</t>
  </si>
  <si>
    <t>DE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</si>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</sst>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true">
      <alignment horizontal="left" vertical="top"/>
    </xf>
    <xf numFmtId="0" fontId="0" fillId="0" borderId="2" xfId="0" applyBorder="true" applyAlignment="true">
      <alignment horizontal="center" vertical="top"/>
    </xf>
    <xf numFmtId="0" fontId="0" fillId="0" borderId="2" xfId="0" applyBorder="true" applyAlignment="true">
      <alignment horizontal="left" vertical="top"/>
    </xf>
    <xf numFmtId="11" fontId="0" fillId="0" borderId="2" xfId="0" applyNumberFormat="true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164" fontId="0" fillId="0" borderId="3" xfId="0" applyNumberFormat="true" applyBorder="true" applyAlignment="true">
      <alignment horizontal="left" vertical="top"/>
    </xf>
    <xf numFmtId="0" fontId="0" fillId="0" borderId="3" xfId="0" applyBorder="true" applyAlignment="true">
      <alignment horizontal="center" vertical="top"/>
    </xf>
    <xf numFmtId="11" fontId="0" fillId="0" borderId="4" xfId="0" applyNumberFormat="true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1" fillId="0" borderId="3" xfId="0" applyFont="true" applyBorder="true" applyAlignment="true">
      <alignment horizontal="left" vertical="top"/>
    </xf>
    <xf numFmtId="0" fontId="0" fillId="0" borderId="4" xfId="0" applyBorder="true" applyAlignment="true">
      <alignment horizontal="center" vertical="top"/>
    </xf>
    <xf numFmtId="2" fontId="0" fillId="0" borderId="4" xfId="0" applyNumberFormat="true" applyBorder="true" applyAlignment="true">
      <alignment horizontal="left" vertical="top"/>
    </xf>
    <xf numFmtId="1" fontId="0" fillId="0" borderId="2" xfId="0" applyNumberForma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1" fontId="0" fillId="0" borderId="3" xfId="0" applyNumberFormat="true" applyBorder="true" applyAlignment="true">
      <alignment horizontal="left" vertical="top"/>
    </xf>
    <xf numFmtId="0" fontId="1" fillId="0" borderId="3" xfId="0" applyFont="true" applyBorder="true" applyAlignment="true">
      <alignment horizontal="left" vertical="top"/>
    </xf>
    <xf numFmtId="0" fontId="0" fillId="0" borderId="2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11" fontId="3" fillId="0" borderId="1" xfId="0" applyNumberFormat="true" applyFon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1" fillId="0" borderId="4" xfId="0" applyFont="true" applyBorder="true" applyAlignment="true">
      <alignment horizontal="left" vertical="top"/>
    </xf>
    <xf numFmtId="0" fontId="1" fillId="0" borderId="3" xfId="0" applyFont="true" applyBorder="true" applyAlignment="true">
      <alignment horizontal="left" vertical="top" wrapText="true"/>
    </xf>
    <xf numFmtId="0" fontId="1" fillId="0" borderId="2" xfId="0" applyFont="true" applyBorder="true" applyAlignment="true">
      <alignment horizontal="left" vertical="top" wrapText="true"/>
    </xf>
    <xf numFmtId="0" fontId="3" fillId="0" borderId="1" xfId="0" applyFont="true" applyBorder="true" applyAlignment="true">
      <alignment horizontal="left" vertical="top"/>
    </xf>
    <xf numFmtId="22" fontId="0" fillId="0" borderId="5" xfId="0" applyNumberFormat="true"/>
  </cellXfs>
  <cellStyles count="1">
    <cellStyle name="Normal" xfId="0" builtinId="0"/>
  </cellStyles>
  <dxfs count="38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center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wrapText="false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S2:T92" totalsRowShown="false" headerRowDxfId="37" tableBorderDxfId="36" mc:Ignorable="xr xr3" xr:uid="{00000000-000C-0000-FFFF-FFFF00000000}">
  <autoFilter ref="S2:T92" xr:uid="{00000000-0009-0000-0100-000001000000}"/>
  <tableColumns count="2">
    <tableColumn id="1" name="Column1" dataDxfId="35" xr3:uid="{00000000-0010-0000-0000-000001000000}"/>
    <tableColumn id="2" name="Column2" dataDxfId="34" xr3:uid="{00000000-0010-0000-0000-000002000000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true"/>
  </sheetPr>
  <dimension ref="A1:AK96"/>
  <sheetViews>
    <sheetView tabSelected="true" zoomScaleNormal="100" workbookViewId="0">
      <selection activeCell="D4" sqref="D4"/>
    </sheetView>
  </sheetViews>
  <sheetFormatPr defaultRowHeight="14.4" x14ac:dyDescent="0.3"/>
  <cols>
    <col min="1" max="1" width="11.33203125" style="1" bestFit="true" customWidth="true"/>
    <col min="2" max="2" width="4.046875" bestFit="true" customWidth="true"/>
    <col min="3" max="3" width="5.82421875" bestFit="true" customWidth="true"/>
    <col min="4" max="4" width="11.15625" bestFit="true" customWidth="true"/>
    <col min="13" max="13" width="8.7109375" bestFit="true" customWidth="true"/>
    <col min="19" max="20" width="10.44140625" style="1" customWidth="true"/>
    <col min="23" max="31" width="10.33203125" bestFit="true" customWidth="true"/>
    <col min="32" max="37" width="11.33203125" bestFit="true" customWidth="true"/>
    <col min="5" max="5" width="8.7109375" bestFit="true" customWidth="true"/>
    <col min="6" max="6" width="8.7109375" bestFit="true" customWidth="true"/>
    <col min="7" max="7" width="8.7109375" bestFit="true" customWidth="true"/>
    <col min="8" max="8" width="8.7109375" bestFit="true" customWidth="true"/>
    <col min="9" max="9" width="8.7109375" bestFit="true" customWidth="true"/>
    <col min="10" max="10" width="8.7109375" bestFit="true" customWidth="true"/>
    <col min="11" max="11" width="8.7109375" bestFit="true" customWidth="true"/>
    <col min="12" max="12" width="8.7109375" bestFit="true" customWidth="true"/>
    <col min="14" max="18" width="11.33203125" bestFit="true" customWidth="true"/>
  </cols>
  <sheetData>
    <row r="1" ht="15" thickBot="true" x14ac:dyDescent="0.35">
      <c r="A1" s="24" t="s">
        <v>40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="1" customFormat="true" x14ac:dyDescent="0.3">
      <c r="A2" s="20" t="s">
        <v>33</v>
      </c>
      <c r="B2" s="20"/>
      <c r="C2" s="20"/>
      <c r="D2" s="14" t="s">
        <v>1104</v>
      </c>
      <c r="E2" s="14" t="s">
        <v>1105</v>
      </c>
      <c r="F2" s="14" t="s">
        <v>1106</v>
      </c>
      <c r="G2" s="14" t="s">
        <v>1107</v>
      </c>
      <c r="H2" s="14" t="s">
        <v>1108</v>
      </c>
      <c r="I2" s="14" t="s">
        <v>1109</v>
      </c>
      <c r="J2" s="14" t="s">
        <v>781</v>
      </c>
      <c r="K2" s="14" t="s">
        <v>782</v>
      </c>
      <c r="L2" s="14" t="s">
        <v>783</v>
      </c>
      <c r="M2" s="14" t="s">
        <v>449</v>
      </c>
      <c r="N2" s="14" t="s">
        <v>308</v>
      </c>
      <c r="O2" s="14" t="s">
        <v>309</v>
      </c>
      <c r="P2" s="14" t="s">
        <v>310</v>
      </c>
      <c r="Q2" s="14" t="s">
        <v>311</v>
      </c>
      <c r="R2" s="14" t="s">
        <v>312</v>
      </c>
      <c r="S2" s="9" t="s">
        <v>38</v>
      </c>
      <c r="T2" s="9" t="s">
        <v>39</v>
      </c>
      <c r="W2" s="14" t="s">
        <v>298</v>
      </c>
      <c r="X2" s="14" t="s">
        <v>299</v>
      </c>
      <c r="Y2" s="14" t="s">
        <v>300</v>
      </c>
      <c r="Z2" s="14" t="s">
        <v>301</v>
      </c>
      <c r="AA2" s="14" t="s">
        <v>302</v>
      </c>
      <c r="AB2" s="14" t="s">
        <v>303</v>
      </c>
      <c r="AC2" s="14" t="s">
        <v>304</v>
      </c>
      <c r="AD2" s="14" t="s">
        <v>305</v>
      </c>
      <c r="AE2" s="14" t="s">
        <v>306</v>
      </c>
      <c r="AF2" s="14" t="s">
        <v>307</v>
      </c>
      <c r="AG2" s="14" t="s">
        <v>308</v>
      </c>
      <c r="AH2" s="14" t="s">
        <v>309</v>
      </c>
      <c r="AI2" s="14" t="s">
        <v>310</v>
      </c>
      <c r="AJ2" s="14" t="s">
        <v>311</v>
      </c>
      <c r="AK2" s="14" t="s">
        <v>312</v>
      </c>
    </row>
    <row r="3" ht="14.4" customHeight="true" x14ac:dyDescent="0.3">
      <c r="A3" s="28" t="s">
        <v>34</v>
      </c>
      <c r="B3" s="21" t="s">
        <v>984</v>
      </c>
      <c r="C3" s="3" t="s">
        <v>1014</v>
      </c>
      <c r="D3" s="4">
        <v>186323766.15947232</v>
      </c>
      <c r="E3" s="4">
        <v>4999753774.4706249</v>
      </c>
      <c r="F3" s="4">
        <v>270556651.96677798</v>
      </c>
      <c r="G3" s="4">
        <v>558395767.28259373</v>
      </c>
      <c r="H3" s="4">
        <v>541281202.46567369</v>
      </c>
      <c r="I3" s="4">
        <v>444858243.4004609</v>
      </c>
      <c r="J3" s="4">
        <v>153267706.82421583</v>
      </c>
      <c r="K3" s="4">
        <v>249107487.53424433</v>
      </c>
      <c r="L3" s="4">
        <v>457928869.49431384</v>
      </c>
      <c r="M3" s="4">
        <v>523442774.37793237</v>
      </c>
      <c r="N3" s="4"/>
      <c r="O3" s="4"/>
      <c r="P3" s="4"/>
      <c r="Q3" s="4"/>
      <c r="R3" s="4"/>
      <c r="S3" s="2" t="s">
        <v>0</v>
      </c>
      <c r="T3" s="3" t="s">
        <v>30</v>
      </c>
      <c r="W3" s="1">
        <f>_xlfn.RANK.EQ(D3,$D3:$R3,1)</f>
        <v>1</v>
      </c>
      <c r="X3" s="1">
        <f t="shared" ref="X3:AK3" si="0">_xlfn.RANK.EQ(E3,$D3:$R3,1)</f>
        <v>3</v>
      </c>
      <c r="Y3" s="1">
        <f t="shared" si="0"/>
        <v>2</v>
      </c>
      <c r="Z3" s="1">
        <f t="shared" si="0"/>
        <v>7</v>
      </c>
      <c r="AA3" s="1">
        <f t="shared" si="0"/>
        <v>8</v>
      </c>
      <c r="AB3" s="1">
        <f t="shared" si="0"/>
        <v>5</v>
      </c>
      <c r="AC3" s="1">
        <f t="shared" si="0"/>
        <v>9</v>
      </c>
      <c r="AD3" s="1">
        <f t="shared" si="0"/>
        <v>6</v>
      </c>
      <c r="AE3" s="1">
        <f t="shared" si="0"/>
        <v>4</v>
      </c>
      <c r="AF3" s="1" t="e">
        <f t="shared" si="0"/>
        <v>#N/A</v>
      </c>
      <c r="AG3" s="1" t="e">
        <f t="shared" si="0"/>
        <v>#N/A</v>
      </c>
      <c r="AH3" s="1" t="e">
        <f t="shared" si="0"/>
        <v>#N/A</v>
      </c>
      <c r="AI3" s="1" t="e">
        <f t="shared" si="0"/>
        <v>#N/A</v>
      </c>
      <c r="AJ3" s="1" t="e">
        <f t="shared" si="0"/>
        <v>#N/A</v>
      </c>
      <c r="AK3" s="1" t="e">
        <f t="shared" si="0"/>
        <v>#N/A</v>
      </c>
    </row>
    <row r="4" x14ac:dyDescent="0.3">
      <c r="A4" s="25"/>
      <c r="B4" s="22" t="s">
        <v>984</v>
      </c>
      <c r="C4" s="9" t="s">
        <v>1015</v>
      </c>
      <c r="D4" s="8">
        <v>31767015.451319117</v>
      </c>
      <c r="E4" s="8">
        <v>1078588957.8775363</v>
      </c>
      <c r="F4" s="8">
        <v>57348595.900591142</v>
      </c>
      <c r="G4" s="8">
        <v>163985399.82659826</v>
      </c>
      <c r="H4" s="8">
        <v>132898296.36558561</v>
      </c>
      <c r="I4" s="8">
        <v>90340698.118793041</v>
      </c>
      <c r="J4" s="8">
        <v>41543805.411653697</v>
      </c>
      <c r="K4" s="8">
        <v>76329884.258238003</v>
      </c>
      <c r="L4" s="8">
        <v>117333383.54301219</v>
      </c>
      <c r="M4" s="8">
        <v>150568028.12929329</v>
      </c>
      <c r="N4" s="8"/>
      <c r="O4" s="8"/>
      <c r="P4" s="8"/>
      <c r="Q4" s="8"/>
      <c r="R4" s="8"/>
      <c r="S4" s="15"/>
      <c r="T4" s="9" t="s">
        <v>31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x14ac:dyDescent="0.3">
      <c r="A5" s="25"/>
      <c r="B5" s="23" t="s">
        <v>984</v>
      </c>
      <c r="C5" s="5" t="s">
        <v>1016</v>
      </c>
      <c r="D5" s="6">
        <v>4.166666666666667</v>
      </c>
      <c r="E5" s="6">
        <v>0.74114583333333328</v>
      </c>
      <c r="F5" s="6">
        <v>0.70208333333333328</v>
      </c>
      <c r="G5" s="6">
        <v>0.63854166666666667</v>
      </c>
      <c r="H5" s="6">
        <v>0.43177083333333333</v>
      </c>
      <c r="I5" s="6">
        <v>0.38697916666666665</v>
      </c>
      <c r="J5" s="6">
        <v>2.1057291666666669</v>
      </c>
      <c r="K5" s="6">
        <v>0.36770833333333336</v>
      </c>
      <c r="L5" s="6">
        <v>0.38750000000000001</v>
      </c>
      <c r="M5" s="6">
        <v>0.6333333333333333</v>
      </c>
      <c r="N5" s="6"/>
      <c r="O5" s="6"/>
      <c r="P5" s="6"/>
      <c r="Q5" s="6"/>
      <c r="R5" s="6"/>
      <c r="S5" s="7"/>
      <c r="T5" s="5" t="s">
        <v>32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x14ac:dyDescent="0.3">
      <c r="A6" s="25"/>
      <c r="B6" s="21" t="s">
        <v>985</v>
      </c>
      <c r="C6" s="3" t="s">
        <v>1017</v>
      </c>
      <c r="D6" s="4">
        <v>882319708.90513074</v>
      </c>
      <c r="E6" s="4">
        <v>235009426694.79904</v>
      </c>
      <c r="F6" s="4">
        <v>3884398414.8642507</v>
      </c>
      <c r="G6" s="4">
        <v>58670410674.064156</v>
      </c>
      <c r="H6" s="4">
        <v>10183776771.932259</v>
      </c>
      <c r="I6" s="4">
        <v>18478641531.50771</v>
      </c>
      <c r="J6" s="4">
        <v>437190656.98191381</v>
      </c>
      <c r="K6" s="4">
        <v>18661956126.694622</v>
      </c>
      <c r="L6" s="4">
        <v>18198198043.476795</v>
      </c>
      <c r="M6" s="4">
        <v>59322067935.372971</v>
      </c>
      <c r="N6" s="4"/>
      <c r="O6" s="4"/>
      <c r="P6" s="4"/>
      <c r="Q6" s="4"/>
      <c r="R6" s="4"/>
      <c r="S6" s="2" t="s">
        <v>1</v>
      </c>
      <c r="T6" s="3" t="s">
        <v>30</v>
      </c>
      <c r="W6" s="1">
        <f t="shared" ref="W6" si="1">_xlfn.RANK.EQ(D6,$D6:$R6,1)</f>
        <v>1</v>
      </c>
      <c r="X6" s="1">
        <f t="shared" ref="X6" si="2">_xlfn.RANK.EQ(E6,$D6:$R6,1)</f>
        <v>6</v>
      </c>
      <c r="Y6" s="1">
        <f t="shared" ref="Y6" si="3">_xlfn.RANK.EQ(F6,$D6:$R6,1)</f>
        <v>2</v>
      </c>
      <c r="Z6" s="1">
        <f t="shared" ref="Z6" si="4">_xlfn.RANK.EQ(G6,$D6:$R6,1)</f>
        <v>7</v>
      </c>
      <c r="AA6" s="1">
        <f t="shared" ref="AA6" si="5">_xlfn.RANK.EQ(H6,$D6:$R6,1)</f>
        <v>8</v>
      </c>
      <c r="AB6" s="1">
        <f t="shared" ref="AB6" si="6">_xlfn.RANK.EQ(I6,$D6:$R6,1)</f>
        <v>4</v>
      </c>
      <c r="AC6" s="1">
        <f t="shared" ref="AC6" si="7">_xlfn.RANK.EQ(J6,$D6:$R6,1)</f>
        <v>9</v>
      </c>
      <c r="AD6" s="1">
        <f t="shared" ref="AD6" si="8">_xlfn.RANK.EQ(K6,$D6:$R6,1)</f>
        <v>3</v>
      </c>
      <c r="AE6" s="1">
        <f t="shared" ref="AE6" si="9">_xlfn.RANK.EQ(L6,$D6:$R6,1)</f>
        <v>5</v>
      </c>
      <c r="AF6" s="1" t="e">
        <f t="shared" ref="AF6" si="10">_xlfn.RANK.EQ(M6,$D6:$R6,1)</f>
        <v>#N/A</v>
      </c>
      <c r="AG6" s="1" t="e">
        <f t="shared" ref="AG6" si="11">_xlfn.RANK.EQ(N6,$D6:$R6,1)</f>
        <v>#N/A</v>
      </c>
      <c r="AH6" s="1" t="e">
        <f t="shared" ref="AH6" si="12">_xlfn.RANK.EQ(O6,$D6:$R6,1)</f>
        <v>#N/A</v>
      </c>
      <c r="AI6" s="1" t="e">
        <f t="shared" ref="AI6" si="13">_xlfn.RANK.EQ(P6,$D6:$R6,1)</f>
        <v>#N/A</v>
      </c>
      <c r="AJ6" s="1" t="e">
        <f t="shared" ref="AJ6" si="14">_xlfn.RANK.EQ(Q6,$D6:$R6,1)</f>
        <v>#N/A</v>
      </c>
      <c r="AK6" s="1" t="e">
        <f t="shared" ref="AK6" si="15">_xlfn.RANK.EQ(R6,$D6:$R6,1)</f>
        <v>#N/A</v>
      </c>
    </row>
    <row r="7" x14ac:dyDescent="0.3">
      <c r="A7" s="25"/>
      <c r="B7" s="22" t="s">
        <v>985</v>
      </c>
      <c r="C7" s="9" t="s">
        <v>1018</v>
      </c>
      <c r="D7" s="8">
        <v>114275249.89063448</v>
      </c>
      <c r="E7" s="8">
        <v>13908538424.873579</v>
      </c>
      <c r="F7" s="8">
        <v>777521347.53911042</v>
      </c>
      <c r="G7" s="8">
        <v>13164295970.521557</v>
      </c>
      <c r="H7" s="8">
        <v>2336693270.4576135</v>
      </c>
      <c r="I7" s="8">
        <v>2968204043.0912933</v>
      </c>
      <c r="J7" s="8">
        <v>159889682.64069787</v>
      </c>
      <c r="K7" s="8">
        <v>7675118651.5371075</v>
      </c>
      <c r="L7" s="8">
        <v>2472987258.7414536</v>
      </c>
      <c r="M7" s="8">
        <v>14122378133.354725</v>
      </c>
      <c r="N7" s="8"/>
      <c r="O7" s="8"/>
      <c r="P7" s="8"/>
      <c r="Q7" s="8"/>
      <c r="R7" s="8"/>
      <c r="S7" s="15"/>
      <c r="T7" s="9" t="s">
        <v>31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x14ac:dyDescent="0.3">
      <c r="A8" s="25"/>
      <c r="B8" s="23" t="s">
        <v>985</v>
      </c>
      <c r="C8" s="5" t="s">
        <v>1019</v>
      </c>
      <c r="D8" s="6">
        <v>3.6265624999999999</v>
      </c>
      <c r="E8" s="6">
        <v>0.55989583333333337</v>
      </c>
      <c r="F8" s="6">
        <v>0.58750000000000002</v>
      </c>
      <c r="G8" s="6">
        <v>0.58906250000000004</v>
      </c>
      <c r="H8" s="6">
        <v>0.40052083333333333</v>
      </c>
      <c r="I8" s="6">
        <v>0.35520833333333335</v>
      </c>
      <c r="J8" s="6">
        <v>1.8473958333333333</v>
      </c>
      <c r="K8" s="6">
        <v>0.31927083333333334</v>
      </c>
      <c r="L8" s="6">
        <v>0.35364583333333333</v>
      </c>
      <c r="M8" s="6">
        <v>0.5708333333333333</v>
      </c>
      <c r="N8" s="6"/>
      <c r="O8" s="6"/>
      <c r="P8" s="6"/>
      <c r="Q8" s="6"/>
      <c r="R8" s="6"/>
      <c r="S8" s="7"/>
      <c r="T8" s="5" t="s">
        <v>32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x14ac:dyDescent="0.3">
      <c r="A9" s="25"/>
      <c r="B9" s="21" t="s">
        <v>986</v>
      </c>
      <c r="C9" s="3" t="s">
        <v>1020</v>
      </c>
      <c r="D9" s="4">
        <v>60932.74418077161</v>
      </c>
      <c r="E9" s="4">
        <v>316103.33092145534</v>
      </c>
      <c r="F9" s="4">
        <v>224281.25094681827</v>
      </c>
      <c r="G9" s="4">
        <v>249776.24265958773</v>
      </c>
      <c r="H9" s="4">
        <v>416707.14713463507</v>
      </c>
      <c r="I9" s="4">
        <v>80413.863036619659</v>
      </c>
      <c r="J9" s="4">
        <v>76818.943208867495</v>
      </c>
      <c r="K9" s="4">
        <v>82430.543150941186</v>
      </c>
      <c r="L9" s="4">
        <v>82026.655959182623</v>
      </c>
      <c r="M9" s="4">
        <v>247108.49137744916</v>
      </c>
      <c r="N9" s="4"/>
      <c r="O9" s="4"/>
      <c r="P9" s="4"/>
      <c r="Q9" s="4"/>
      <c r="R9" s="4"/>
      <c r="S9" s="2" t="s">
        <v>2</v>
      </c>
      <c r="T9" s="3" t="s">
        <v>30</v>
      </c>
      <c r="W9" s="1">
        <f t="shared" ref="W9" si="16">_xlfn.RANK.EQ(D9,$D9:$R9,1)</f>
        <v>1</v>
      </c>
      <c r="X9" s="1">
        <f t="shared" ref="X9" si="17">_xlfn.RANK.EQ(E9,$D9:$R9,1)</f>
        <v>4</v>
      </c>
      <c r="Y9" s="1">
        <f t="shared" ref="Y9" si="18">_xlfn.RANK.EQ(F9,$D9:$R9,1)</f>
        <v>2</v>
      </c>
      <c r="Z9" s="1">
        <f t="shared" ref="Z9" si="19">_xlfn.RANK.EQ(G9,$D9:$R9,1)</f>
        <v>8</v>
      </c>
      <c r="AA9" s="1">
        <f t="shared" ref="AA9" si="20">_xlfn.RANK.EQ(H9,$D9:$R9,1)</f>
        <v>9</v>
      </c>
      <c r="AB9" s="1">
        <f t="shared" ref="AB9" si="21">_xlfn.RANK.EQ(I9,$D9:$R9,1)</f>
        <v>6</v>
      </c>
      <c r="AC9" s="1">
        <f t="shared" ref="AC9" si="22">_xlfn.RANK.EQ(J9,$D9:$R9,1)</f>
        <v>5</v>
      </c>
      <c r="AD9" s="1">
        <f t="shared" ref="AD9" si="23">_xlfn.RANK.EQ(K9,$D9:$R9,1)</f>
        <v>7</v>
      </c>
      <c r="AE9" s="1">
        <f t="shared" ref="AE9" si="24">_xlfn.RANK.EQ(L9,$D9:$R9,1)</f>
        <v>3</v>
      </c>
      <c r="AF9" s="1" t="e">
        <f t="shared" ref="AF9" si="25">_xlfn.RANK.EQ(M9,$D9:$R9,1)</f>
        <v>#N/A</v>
      </c>
      <c r="AG9" s="1" t="e">
        <f t="shared" ref="AG9" si="26">_xlfn.RANK.EQ(N9,$D9:$R9,1)</f>
        <v>#N/A</v>
      </c>
      <c r="AH9" s="1" t="e">
        <f t="shared" ref="AH9" si="27">_xlfn.RANK.EQ(O9,$D9:$R9,1)</f>
        <v>#N/A</v>
      </c>
      <c r="AI9" s="1" t="e">
        <f t="shared" ref="AI9" si="28">_xlfn.RANK.EQ(P9,$D9:$R9,1)</f>
        <v>#N/A</v>
      </c>
      <c r="AJ9" s="1" t="e">
        <f t="shared" ref="AJ9" si="29">_xlfn.RANK.EQ(Q9,$D9:$R9,1)</f>
        <v>#N/A</v>
      </c>
      <c r="AK9" s="1" t="e">
        <f t="shared" ref="AK9" si="30">_xlfn.RANK.EQ(R9,$D9:$R9,1)</f>
        <v>#N/A</v>
      </c>
    </row>
    <row r="10" x14ac:dyDescent="0.3">
      <c r="A10" s="25"/>
      <c r="B10" s="22" t="s">
        <v>986</v>
      </c>
      <c r="C10" s="9" t="s">
        <v>1021</v>
      </c>
      <c r="D10" s="8">
        <v>9558.3357526936743</v>
      </c>
      <c r="E10" s="8">
        <v>16334.13874748168</v>
      </c>
      <c r="F10" s="8">
        <v>23269.599911214937</v>
      </c>
      <c r="G10" s="8">
        <v>31259.343156438219</v>
      </c>
      <c r="H10" s="8">
        <v>53499.940827450278</v>
      </c>
      <c r="I10" s="8">
        <v>17541.879787842965</v>
      </c>
      <c r="J10" s="8">
        <v>26761.692943308761</v>
      </c>
      <c r="K10" s="8">
        <v>17962.433821447376</v>
      </c>
      <c r="L10" s="8">
        <v>26259.780118497663</v>
      </c>
      <c r="M10" s="8">
        <v>30027.662083739226</v>
      </c>
      <c r="N10" s="8"/>
      <c r="O10" s="8"/>
      <c r="P10" s="8"/>
      <c r="Q10" s="8"/>
      <c r="R10" s="8"/>
      <c r="S10" s="15"/>
      <c r="T10" s="9" t="s">
        <v>31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x14ac:dyDescent="0.3">
      <c r="A11" s="27"/>
      <c r="B11" s="23" t="s">
        <v>986</v>
      </c>
      <c r="C11" s="5" t="s">
        <v>1022</v>
      </c>
      <c r="D11" s="6">
        <v>3.5406249999999999</v>
      </c>
      <c r="E11" s="6">
        <v>0.56093749999999998</v>
      </c>
      <c r="F11" s="6">
        <v>0.5932291666666667</v>
      </c>
      <c r="G11" s="6">
        <v>0.59687500000000004</v>
      </c>
      <c r="H11" s="6">
        <v>0.39010416666666664</v>
      </c>
      <c r="I11" s="6">
        <v>0.34062500000000001</v>
      </c>
      <c r="J11" s="6">
        <v>1.8218749999999999</v>
      </c>
      <c r="K11" s="6">
        <v>0.3046875</v>
      </c>
      <c r="L11" s="6">
        <v>0.33020833333333333</v>
      </c>
      <c r="M11" s="6">
        <v>0.58854166666666663</v>
      </c>
      <c r="N11" s="6"/>
      <c r="O11" s="6"/>
      <c r="P11" s="6"/>
      <c r="Q11" s="6"/>
      <c r="R11" s="6"/>
      <c r="S11" s="7"/>
      <c r="T11" s="5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4.4" customHeight="true" x14ac:dyDescent="0.3">
      <c r="A12" s="28" t="s">
        <v>35</v>
      </c>
      <c r="B12" s="21" t="s">
        <v>987</v>
      </c>
      <c r="C12" s="3" t="s">
        <v>1023</v>
      </c>
      <c r="D12" s="4">
        <v>1019.9872945531936</v>
      </c>
      <c r="E12" s="4">
        <v>54210.661107180757</v>
      </c>
      <c r="F12" s="4">
        <v>1612.2185007101573</v>
      </c>
      <c r="G12" s="4">
        <v>6290.4283188955242</v>
      </c>
      <c r="H12" s="4">
        <v>2251.0139966491015</v>
      </c>
      <c r="I12" s="4">
        <v>2767.5246428386022</v>
      </c>
      <c r="J12" s="4">
        <v>1061.4656319894093</v>
      </c>
      <c r="K12" s="4">
        <v>2321.9700757029518</v>
      </c>
      <c r="L12" s="4">
        <v>2673.557473112548</v>
      </c>
      <c r="M12" s="4">
        <v>5758.5972275097129</v>
      </c>
      <c r="N12" s="4"/>
      <c r="O12" s="4"/>
      <c r="P12" s="4"/>
      <c r="Q12" s="4"/>
      <c r="R12" s="4"/>
      <c r="S12" s="2" t="s">
        <v>3</v>
      </c>
      <c r="T12" s="3" t="s">
        <v>30</v>
      </c>
      <c r="W12" s="1">
        <f t="shared" ref="W12" si="31">_xlfn.RANK.EQ(D12,$D12:$R12,1)</f>
        <v>1</v>
      </c>
      <c r="X12" s="1">
        <f t="shared" ref="X12" si="32">_xlfn.RANK.EQ(E12,$D12:$R12,1)</f>
        <v>6</v>
      </c>
      <c r="Y12" s="1">
        <f t="shared" ref="Y12" si="33">_xlfn.RANK.EQ(F12,$D12:$R12,1)</f>
        <v>2</v>
      </c>
      <c r="Z12" s="1">
        <f t="shared" ref="Z12" si="34">_xlfn.RANK.EQ(G12,$D12:$R12,1)</f>
        <v>7</v>
      </c>
      <c r="AA12" s="1">
        <f t="shared" ref="AA12" si="35">_xlfn.RANK.EQ(H12,$D12:$R12,1)</f>
        <v>8</v>
      </c>
      <c r="AB12" s="1">
        <f t="shared" ref="AB12" si="36">_xlfn.RANK.EQ(I12,$D12:$R12,1)</f>
        <v>3</v>
      </c>
      <c r="AC12" s="1">
        <f t="shared" ref="AC12" si="37">_xlfn.RANK.EQ(J12,$D12:$R12,1)</f>
        <v>9</v>
      </c>
      <c r="AD12" s="1">
        <f t="shared" ref="AD12" si="38">_xlfn.RANK.EQ(K12,$D12:$R12,1)</f>
        <v>4</v>
      </c>
      <c r="AE12" s="1">
        <f t="shared" ref="AE12" si="39">_xlfn.RANK.EQ(L12,$D12:$R12,1)</f>
        <v>5</v>
      </c>
      <c r="AF12" s="1" t="e">
        <f t="shared" ref="AF12" si="40">_xlfn.RANK.EQ(M12,$D12:$R12,1)</f>
        <v>#N/A</v>
      </c>
      <c r="AG12" s="1" t="e">
        <f t="shared" ref="AG12" si="41">_xlfn.RANK.EQ(N12,$D12:$R12,1)</f>
        <v>#N/A</v>
      </c>
      <c r="AH12" s="1" t="e">
        <f t="shared" ref="AH12" si="42">_xlfn.RANK.EQ(O12,$D12:$R12,1)</f>
        <v>#N/A</v>
      </c>
      <c r="AI12" s="1" t="e">
        <f t="shared" ref="AI12" si="43">_xlfn.RANK.EQ(P12,$D12:$R12,1)</f>
        <v>#N/A</v>
      </c>
      <c r="AJ12" s="1" t="e">
        <f t="shared" ref="AJ12" si="44">_xlfn.RANK.EQ(Q12,$D12:$R12,1)</f>
        <v>#N/A</v>
      </c>
      <c r="AK12" s="1" t="e">
        <f t="shared" ref="AK12" si="45">_xlfn.RANK.EQ(R12,$D12:$R12,1)</f>
        <v>#N/A</v>
      </c>
    </row>
    <row r="13" x14ac:dyDescent="0.3">
      <c r="A13" s="25"/>
      <c r="B13" s="22" t="s">
        <v>987</v>
      </c>
      <c r="C13" s="9" t="s">
        <v>1024</v>
      </c>
      <c r="D13" s="8">
        <v>80.751346268270964</v>
      </c>
      <c r="E13" s="8">
        <v>8625.0828939978892</v>
      </c>
      <c r="F13" s="8">
        <v>174.71618221854567</v>
      </c>
      <c r="G13" s="8">
        <v>1764.7732387784431</v>
      </c>
      <c r="H13" s="8">
        <v>499.55453709834728</v>
      </c>
      <c r="I13" s="8">
        <v>570.89124115603556</v>
      </c>
      <c r="J13" s="8">
        <v>74.053838314517549</v>
      </c>
      <c r="K13" s="8">
        <v>841.94919356219555</v>
      </c>
      <c r="L13" s="8">
        <v>420.4784379990063</v>
      </c>
      <c r="M13" s="8">
        <v>2009.177635252996</v>
      </c>
      <c r="N13" s="8"/>
      <c r="O13" s="8"/>
      <c r="P13" s="8"/>
      <c r="Q13" s="8"/>
      <c r="R13" s="8"/>
      <c r="S13" s="15"/>
      <c r="T13" s="9" t="s">
        <v>31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x14ac:dyDescent="0.3">
      <c r="A14" s="25"/>
      <c r="B14" s="23" t="s">
        <v>987</v>
      </c>
      <c r="C14" s="5" t="s">
        <v>1025</v>
      </c>
      <c r="D14" s="6">
        <v>3.4093749999999998</v>
      </c>
      <c r="E14" s="6">
        <v>0.56562500000000004</v>
      </c>
      <c r="F14" s="6">
        <v>0.6020833333333333</v>
      </c>
      <c r="G14" s="6">
        <v>0.59010416666666665</v>
      </c>
      <c r="H14" s="6">
        <v>0.37812499999999999</v>
      </c>
      <c r="I14" s="6">
        <v>0.33281250000000001</v>
      </c>
      <c r="J14" s="6">
        <v>1.8973958333333334</v>
      </c>
      <c r="K14" s="6">
        <v>0.32916666666666666</v>
      </c>
      <c r="L14" s="6">
        <v>0.34739583333333335</v>
      </c>
      <c r="M14" s="6">
        <v>0.5864583333333333</v>
      </c>
      <c r="N14" s="6"/>
      <c r="O14" s="6"/>
      <c r="P14" s="6"/>
      <c r="Q14" s="6"/>
      <c r="R14" s="6"/>
      <c r="S14" s="7"/>
      <c r="T14" s="5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x14ac:dyDescent="0.3">
      <c r="A15" s="25"/>
      <c r="B15" s="21" t="s">
        <v>988</v>
      </c>
      <c r="C15" s="3" t="s">
        <v>1026</v>
      </c>
      <c r="D15" s="4">
        <v>520.98646109616789</v>
      </c>
      <c r="E15" s="4">
        <v>521.32964290225232</v>
      </c>
      <c r="F15" s="4">
        <v>521.22728171503388</v>
      </c>
      <c r="G15" s="4">
        <v>521.40208552603428</v>
      </c>
      <c r="H15" s="4">
        <v>521.35614701472139</v>
      </c>
      <c r="I15" s="4">
        <v>520.92494898399525</v>
      </c>
      <c r="J15" s="4">
        <v>521.40685447179089</v>
      </c>
      <c r="K15" s="4">
        <v>521.40660036096813</v>
      </c>
      <c r="L15" s="4">
        <v>520.92492293859743</v>
      </c>
      <c r="M15" s="4">
        <v>521.39440453510201</v>
      </c>
      <c r="N15" s="4"/>
      <c r="O15" s="4"/>
      <c r="P15" s="4"/>
      <c r="Q15" s="4"/>
      <c r="R15" s="4"/>
      <c r="S15" s="2" t="s">
        <v>4</v>
      </c>
      <c r="T15" s="3" t="s">
        <v>30</v>
      </c>
      <c r="W15" s="1">
        <f t="shared" ref="W15" si="46">_xlfn.RANK.EQ(D15,$D15:$R15,1)</f>
        <v>1</v>
      </c>
      <c r="X15" s="1">
        <f t="shared" ref="X15" si="47">_xlfn.RANK.EQ(E15,$D15:$R15,1)</f>
        <v>5</v>
      </c>
      <c r="Y15" s="1">
        <f t="shared" ref="Y15" si="48">_xlfn.RANK.EQ(F15,$D15:$R15,1)</f>
        <v>8</v>
      </c>
      <c r="Z15" s="1">
        <f t="shared" ref="Z15" si="49">_xlfn.RANK.EQ(G15,$D15:$R15,1)</f>
        <v>9</v>
      </c>
      <c r="AA15" s="1">
        <f t="shared" ref="AA15" si="50">_xlfn.RANK.EQ(H15,$D15:$R15,1)</f>
        <v>6</v>
      </c>
      <c r="AB15" s="1">
        <f t="shared" ref="AB15" si="51">_xlfn.RANK.EQ(I15,$D15:$R15,1)</f>
        <v>3</v>
      </c>
      <c r="AC15" s="1">
        <f t="shared" ref="AC15" si="52">_xlfn.RANK.EQ(J15,$D15:$R15,1)</f>
        <v>2</v>
      </c>
      <c r="AD15" s="1">
        <f t="shared" ref="AD15" si="53">_xlfn.RANK.EQ(K15,$D15:$R15,1)</f>
        <v>7</v>
      </c>
      <c r="AE15" s="1">
        <f t="shared" ref="AE15" si="54">_xlfn.RANK.EQ(L15,$D15:$R15,1)</f>
        <v>4</v>
      </c>
      <c r="AF15" s="1" t="e">
        <f t="shared" ref="AF15" si="55">_xlfn.RANK.EQ(M15,$D15:$R15,1)</f>
        <v>#N/A</v>
      </c>
      <c r="AG15" s="1" t="e">
        <f t="shared" ref="AG15" si="56">_xlfn.RANK.EQ(N15,$D15:$R15,1)</f>
        <v>#N/A</v>
      </c>
      <c r="AH15" s="1" t="e">
        <f t="shared" ref="AH15" si="57">_xlfn.RANK.EQ(O15,$D15:$R15,1)</f>
        <v>#N/A</v>
      </c>
      <c r="AI15" s="1" t="e">
        <f t="shared" ref="AI15" si="58">_xlfn.RANK.EQ(P15,$D15:$R15,1)</f>
        <v>#N/A</v>
      </c>
      <c r="AJ15" s="1" t="e">
        <f t="shared" ref="AJ15" si="59">_xlfn.RANK.EQ(Q15,$D15:$R15,1)</f>
        <v>#N/A</v>
      </c>
      <c r="AK15" s="1" t="e">
        <f t="shared" ref="AK15" si="60">_xlfn.RANK.EQ(R15,$D15:$R15,1)</f>
        <v>#N/A</v>
      </c>
    </row>
    <row r="16" x14ac:dyDescent="0.3">
      <c r="A16" s="25"/>
      <c r="B16" s="22" t="s">
        <v>988</v>
      </c>
      <c r="C16" s="9" t="s">
        <v>1027</v>
      </c>
      <c r="D16" s="8">
        <v>0.14014006384364136</v>
      </c>
      <c r="E16" s="8">
        <v>0.072301650175197379</v>
      </c>
      <c r="F16" s="8">
        <v>0.072276883576072287</v>
      </c>
      <c r="G16" s="8">
        <v>0.027582251017992044</v>
      </c>
      <c r="H16" s="8">
        <v>0.050984609248083346</v>
      </c>
      <c r="I16" s="8">
        <v>0.05033365625705194</v>
      </c>
      <c r="J16" s="8">
        <v>0.023754010237140522</v>
      </c>
      <c r="K16" s="8">
        <v>0.024955369180414487</v>
      </c>
      <c r="L16" s="8">
        <v>0.059017974675990681</v>
      </c>
      <c r="M16" s="8">
        <v>0.024026914670463043</v>
      </c>
      <c r="N16" s="8"/>
      <c r="O16" s="8"/>
      <c r="P16" s="8"/>
      <c r="Q16" s="8"/>
      <c r="R16" s="8"/>
      <c r="S16" s="15"/>
      <c r="T16" s="9" t="s">
        <v>31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x14ac:dyDescent="0.3">
      <c r="A17" s="25"/>
      <c r="B17" s="23" t="s">
        <v>988</v>
      </c>
      <c r="C17" s="5" t="s">
        <v>1028</v>
      </c>
      <c r="D17" s="6">
        <v>3.5322916666666666</v>
      </c>
      <c r="E17" s="6">
        <v>0.6322916666666667</v>
      </c>
      <c r="F17" s="6">
        <v>0.67083333333333328</v>
      </c>
      <c r="G17" s="6">
        <v>0.64739583333333328</v>
      </c>
      <c r="H17" s="6">
        <v>0.43906250000000002</v>
      </c>
      <c r="I17" s="6">
        <v>0.41249999999999998</v>
      </c>
      <c r="J17" s="6">
        <v>1.8765624999999999</v>
      </c>
      <c r="K17" s="6">
        <v>0.48645833333333333</v>
      </c>
      <c r="L17" s="6">
        <v>0.36145833333333333</v>
      </c>
      <c r="M17" s="6">
        <v>0.63072916666666667</v>
      </c>
      <c r="N17" s="6"/>
      <c r="O17" s="6"/>
      <c r="P17" s="6"/>
      <c r="Q17" s="6"/>
      <c r="R17" s="6"/>
      <c r="S17" s="7"/>
      <c r="T17" s="5" t="s">
        <v>32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x14ac:dyDescent="0.3">
      <c r="A18" s="25"/>
      <c r="B18" s="21" t="s">
        <v>989</v>
      </c>
      <c r="C18" s="3" t="s">
        <v>1029</v>
      </c>
      <c r="D18" s="4">
        <v>727.66215853513177</v>
      </c>
      <c r="E18" s="4">
        <v>756.04254023918634</v>
      </c>
      <c r="F18" s="4">
        <v>744.41438463284067</v>
      </c>
      <c r="G18" s="4">
        <v>697.96866915423175</v>
      </c>
      <c r="H18" s="4">
        <v>711.31388974933373</v>
      </c>
      <c r="I18" s="4">
        <v>703.95883655949422</v>
      </c>
      <c r="J18" s="4">
        <v>731.77568578275168</v>
      </c>
      <c r="K18" s="4">
        <v>681.42569327644378</v>
      </c>
      <c r="L18" s="4">
        <v>703.57291696217499</v>
      </c>
      <c r="M18" s="4">
        <v>697.06698926977663</v>
      </c>
      <c r="N18" s="4"/>
      <c r="O18" s="4"/>
      <c r="P18" s="4"/>
      <c r="Q18" s="4"/>
      <c r="R18" s="4"/>
      <c r="S18" s="2" t="s">
        <v>5</v>
      </c>
      <c r="T18" s="3" t="s">
        <v>30</v>
      </c>
      <c r="W18" s="1">
        <f t="shared" ref="W18" si="61">_xlfn.RANK.EQ(D18,$D18:$R18,1)</f>
        <v>3</v>
      </c>
      <c r="X18" s="1">
        <f t="shared" ref="X18" si="62">_xlfn.RANK.EQ(E18,$D18:$R18,1)</f>
        <v>4</v>
      </c>
      <c r="Y18" s="1">
        <f t="shared" ref="Y18" si="63">_xlfn.RANK.EQ(F18,$D18:$R18,1)</f>
        <v>6</v>
      </c>
      <c r="Z18" s="1">
        <f t="shared" ref="Z18" si="64">_xlfn.RANK.EQ(G18,$D18:$R18,1)</f>
        <v>7</v>
      </c>
      <c r="AA18" s="1">
        <f t="shared" ref="AA18" si="65">_xlfn.RANK.EQ(H18,$D18:$R18,1)</f>
        <v>9</v>
      </c>
      <c r="AB18" s="1">
        <f t="shared" ref="AB18" si="66">_xlfn.RANK.EQ(I18,$D18:$R18,1)</f>
        <v>5</v>
      </c>
      <c r="AC18" s="1">
        <f t="shared" ref="AC18" si="67">_xlfn.RANK.EQ(J18,$D18:$R18,1)</f>
        <v>8</v>
      </c>
      <c r="AD18" s="1">
        <f t="shared" ref="AD18" si="68">_xlfn.RANK.EQ(K18,$D18:$R18,1)</f>
        <v>2</v>
      </c>
      <c r="AE18" s="1">
        <f t="shared" ref="AE18" si="69">_xlfn.RANK.EQ(L18,$D18:$R18,1)</f>
        <v>1</v>
      </c>
      <c r="AF18" s="1" t="e">
        <f t="shared" ref="AF18" si="70">_xlfn.RANK.EQ(M18,$D18:$R18,1)</f>
        <v>#N/A</v>
      </c>
      <c r="AG18" s="1" t="e">
        <f t="shared" ref="AG18" si="71">_xlfn.RANK.EQ(N18,$D18:$R18,1)</f>
        <v>#N/A</v>
      </c>
      <c r="AH18" s="1" t="e">
        <f t="shared" ref="AH18" si="72">_xlfn.RANK.EQ(O18,$D18:$R18,1)</f>
        <v>#N/A</v>
      </c>
      <c r="AI18" s="1" t="e">
        <f t="shared" ref="AI18" si="73">_xlfn.RANK.EQ(P18,$D18:$R18,1)</f>
        <v>#N/A</v>
      </c>
      <c r="AJ18" s="1" t="e">
        <f t="shared" ref="AJ18" si="74">_xlfn.RANK.EQ(Q18,$D18:$R18,1)</f>
        <v>#N/A</v>
      </c>
      <c r="AK18" s="1" t="e">
        <f t="shared" ref="AK18" si="75">_xlfn.RANK.EQ(R18,$D18:$R18,1)</f>
        <v>#N/A</v>
      </c>
    </row>
    <row r="19" x14ac:dyDescent="0.3">
      <c r="A19" s="25"/>
      <c r="B19" s="22" t="s">
        <v>989</v>
      </c>
      <c r="C19" s="9" t="s">
        <v>1030</v>
      </c>
      <c r="D19" s="8">
        <v>7.8277679031750571</v>
      </c>
      <c r="E19" s="8">
        <v>2.7056669741808053</v>
      </c>
      <c r="F19" s="8">
        <v>6.1509259289669949</v>
      </c>
      <c r="G19" s="8">
        <v>5.602179545494141</v>
      </c>
      <c r="H19" s="8">
        <v>8.7488602493544114</v>
      </c>
      <c r="I19" s="8">
        <v>6.3521504573917245</v>
      </c>
      <c r="J19" s="8">
        <v>5.3875116957632887</v>
      </c>
      <c r="K19" s="8">
        <v>7.8214917530640786</v>
      </c>
      <c r="L19" s="8">
        <v>4.5947389357140942</v>
      </c>
      <c r="M19" s="8">
        <v>4.7672500659752961</v>
      </c>
      <c r="N19" s="8"/>
      <c r="O19" s="8"/>
      <c r="P19" s="8"/>
      <c r="Q19" s="8"/>
      <c r="R19" s="8"/>
      <c r="S19" s="15"/>
      <c r="T19" s="9" t="s">
        <v>31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x14ac:dyDescent="0.3">
      <c r="A20" s="25"/>
      <c r="B20" s="23" t="s">
        <v>989</v>
      </c>
      <c r="C20" s="5" t="s">
        <v>1031</v>
      </c>
      <c r="D20" s="6">
        <v>50.2109375</v>
      </c>
      <c r="E20" s="6">
        <v>12.965104166666666</v>
      </c>
      <c r="F20" s="6">
        <v>7.3546874999999998</v>
      </c>
      <c r="G20" s="6">
        <v>3.9302083333333333</v>
      </c>
      <c r="H20" s="6">
        <v>3.5958333333333332</v>
      </c>
      <c r="I20" s="6">
        <v>3.2635416666666668</v>
      </c>
      <c r="J20" s="6">
        <v>4.7770833333333336</v>
      </c>
      <c r="K20" s="6">
        <v>3.3156249999999998</v>
      </c>
      <c r="L20" s="6">
        <v>3.2541666666666669</v>
      </c>
      <c r="M20" s="6">
        <v>3.6953125</v>
      </c>
      <c r="N20" s="6"/>
      <c r="O20" s="6"/>
      <c r="P20" s="6"/>
      <c r="Q20" s="6"/>
      <c r="R20" s="6"/>
      <c r="S20" s="7"/>
      <c r="T20" s="5" t="s">
        <v>32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x14ac:dyDescent="0.3">
      <c r="A21" s="25"/>
      <c r="B21" s="21" t="s">
        <v>990</v>
      </c>
      <c r="C21" s="3" t="s">
        <v>1032</v>
      </c>
      <c r="D21" s="4">
        <v>708.75501325951802</v>
      </c>
      <c r="E21" s="4">
        <v>3124.849585442741</v>
      </c>
      <c r="F21" s="4">
        <v>745.06013262784154</v>
      </c>
      <c r="G21" s="4">
        <v>1241.8407085652798</v>
      </c>
      <c r="H21" s="4">
        <v>789.50031280687165</v>
      </c>
      <c r="I21" s="4">
        <v>864.83028178195877</v>
      </c>
      <c r="J21" s="4">
        <v>707.18123009838007</v>
      </c>
      <c r="K21" s="4">
        <v>885.76658779730155</v>
      </c>
      <c r="L21" s="4">
        <v>860.4861945840205</v>
      </c>
      <c r="M21" s="4">
        <v>1250.9837231638144</v>
      </c>
      <c r="N21" s="4"/>
      <c r="O21" s="4"/>
      <c r="P21" s="4"/>
      <c r="Q21" s="4"/>
      <c r="R21" s="4"/>
      <c r="S21" s="2" t="s">
        <v>6</v>
      </c>
      <c r="T21" s="3" t="s">
        <v>30</v>
      </c>
      <c r="W21" s="1">
        <f t="shared" ref="W21" si="76">_xlfn.RANK.EQ(D21,$D21:$R21,1)</f>
        <v>1</v>
      </c>
      <c r="X21" s="1">
        <f t="shared" ref="X21" si="77">_xlfn.RANK.EQ(E21,$D21:$R21,1)</f>
        <v>6</v>
      </c>
      <c r="Y21" s="1">
        <f t="shared" ref="Y21" si="78">_xlfn.RANK.EQ(F21,$D21:$R21,1)</f>
        <v>2</v>
      </c>
      <c r="Z21" s="1">
        <f t="shared" ref="Z21" si="79">_xlfn.RANK.EQ(G21,$D21:$R21,1)</f>
        <v>7</v>
      </c>
      <c r="AA21" s="1">
        <f t="shared" ref="AA21" si="80">_xlfn.RANK.EQ(H21,$D21:$R21,1)</f>
        <v>8</v>
      </c>
      <c r="AB21" s="1">
        <f t="shared" ref="AB21" si="81">_xlfn.RANK.EQ(I21,$D21:$R21,1)</f>
        <v>4</v>
      </c>
      <c r="AC21" s="1">
        <f t="shared" ref="AC21" si="82">_xlfn.RANK.EQ(J21,$D21:$R21,1)</f>
        <v>9</v>
      </c>
      <c r="AD21" s="1">
        <f t="shared" ref="AD21" si="83">_xlfn.RANK.EQ(K21,$D21:$R21,1)</f>
        <v>3</v>
      </c>
      <c r="AE21" s="1">
        <f t="shared" ref="AE21" si="84">_xlfn.RANK.EQ(L21,$D21:$R21,1)</f>
        <v>5</v>
      </c>
      <c r="AF21" s="1" t="e">
        <f t="shared" ref="AF21" si="85">_xlfn.RANK.EQ(M21,$D21:$R21,1)</f>
        <v>#N/A</v>
      </c>
      <c r="AG21" s="1" t="e">
        <f t="shared" ref="AG21" si="86">_xlfn.RANK.EQ(N21,$D21:$R21,1)</f>
        <v>#N/A</v>
      </c>
      <c r="AH21" s="1" t="e">
        <f t="shared" ref="AH21" si="87">_xlfn.RANK.EQ(O21,$D21:$R21,1)</f>
        <v>#N/A</v>
      </c>
      <c r="AI21" s="1" t="e">
        <f t="shared" ref="AI21" si="88">_xlfn.RANK.EQ(P21,$D21:$R21,1)</f>
        <v>#N/A</v>
      </c>
      <c r="AJ21" s="1" t="e">
        <f t="shared" ref="AJ21" si="89">_xlfn.RANK.EQ(Q21,$D21:$R21,1)</f>
        <v>#N/A</v>
      </c>
      <c r="AK21" s="1" t="e">
        <f t="shared" ref="AK21" si="90">_xlfn.RANK.EQ(R21,$D21:$R21,1)</f>
        <v>#N/A</v>
      </c>
    </row>
    <row r="22" x14ac:dyDescent="0.3">
      <c r="A22" s="25"/>
      <c r="B22" s="22" t="s">
        <v>990</v>
      </c>
      <c r="C22" s="9" t="s">
        <v>1033</v>
      </c>
      <c r="D22" s="8">
        <v>1.3057786506059577</v>
      </c>
      <c r="E22" s="8">
        <v>142.26085412169661</v>
      </c>
      <c r="F22" s="8">
        <v>9.5858554465349428</v>
      </c>
      <c r="G22" s="8">
        <v>114.04585542113585</v>
      </c>
      <c r="H22" s="8">
        <v>22.382538878281242</v>
      </c>
      <c r="I22" s="8">
        <v>24.2222563273756</v>
      </c>
      <c r="J22" s="8">
        <v>4.26039881338514</v>
      </c>
      <c r="K22" s="8">
        <v>66.423175486558435</v>
      </c>
      <c r="L22" s="8">
        <v>25.671291931424346</v>
      </c>
      <c r="M22" s="8">
        <v>123.65130779275492</v>
      </c>
      <c r="N22" s="8"/>
      <c r="O22" s="8"/>
      <c r="P22" s="8"/>
      <c r="Q22" s="8"/>
      <c r="R22" s="8"/>
      <c r="S22" s="15"/>
      <c r="T22" s="9" t="s">
        <v>31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x14ac:dyDescent="0.3">
      <c r="A23" s="25"/>
      <c r="B23" s="23" t="s">
        <v>990</v>
      </c>
      <c r="C23" s="5" t="s">
        <v>1034</v>
      </c>
      <c r="D23" s="6">
        <v>4.3062500000000004</v>
      </c>
      <c r="E23" s="6">
        <v>0.74375000000000002</v>
      </c>
      <c r="F23" s="6">
        <v>0.71250000000000002</v>
      </c>
      <c r="G23" s="6">
        <v>0.64427083333333335</v>
      </c>
      <c r="H23" s="6">
        <v>0.46145833333333336</v>
      </c>
      <c r="I23" s="6">
        <v>0.40364583333333331</v>
      </c>
      <c r="J23" s="6">
        <v>1.8703125</v>
      </c>
      <c r="K23" s="6">
        <v>0.38645833333333335</v>
      </c>
      <c r="L23" s="6">
        <v>0.40364583333333331</v>
      </c>
      <c r="M23" s="6">
        <v>0.63802083333333337</v>
      </c>
      <c r="N23" s="6"/>
      <c r="O23" s="6"/>
      <c r="P23" s="6"/>
      <c r="Q23" s="6"/>
      <c r="R23" s="6"/>
      <c r="S23" s="7"/>
      <c r="T23" s="5" t="s">
        <v>32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x14ac:dyDescent="0.3">
      <c r="A24" s="25"/>
      <c r="B24" s="21" t="s">
        <v>991</v>
      </c>
      <c r="C24" s="3" t="s">
        <v>1035</v>
      </c>
      <c r="D24" s="4">
        <v>1528.7975675760201</v>
      </c>
      <c r="E24" s="4">
        <v>2088.9392254209397</v>
      </c>
      <c r="F24" s="4">
        <v>1559.7828338098475</v>
      </c>
      <c r="G24" s="4">
        <v>1477.3798662811939</v>
      </c>
      <c r="H24" s="4">
        <v>1333.666756062491</v>
      </c>
      <c r="I24" s="4">
        <v>1077.2547340996521</v>
      </c>
      <c r="J24" s="4">
        <v>1473.9361153961861</v>
      </c>
      <c r="K24" s="4">
        <v>1475.2039211640347</v>
      </c>
      <c r="L24" s="4">
        <v>1081.9715460634939</v>
      </c>
      <c r="M24" s="4">
        <v>1491.8162594268222</v>
      </c>
      <c r="N24" s="4"/>
      <c r="O24" s="4"/>
      <c r="P24" s="4"/>
      <c r="Q24" s="4"/>
      <c r="R24" s="4"/>
      <c r="S24" s="2" t="s">
        <v>7</v>
      </c>
      <c r="T24" s="3" t="s">
        <v>30</v>
      </c>
      <c r="W24" s="1">
        <f t="shared" ref="W24" si="91">_xlfn.RANK.EQ(D24,$D24:$R24,1)</f>
        <v>2</v>
      </c>
      <c r="X24" s="1">
        <f t="shared" ref="X24" si="92">_xlfn.RANK.EQ(E24,$D24:$R24,1)</f>
        <v>5</v>
      </c>
      <c r="Y24" s="1">
        <f t="shared" ref="Y24" si="93">_xlfn.RANK.EQ(F24,$D24:$R24,1)</f>
        <v>4</v>
      </c>
      <c r="Z24" s="1">
        <f t="shared" ref="Z24" si="94">_xlfn.RANK.EQ(G24,$D24:$R24,1)</f>
        <v>8</v>
      </c>
      <c r="AA24" s="1">
        <f t="shared" ref="AA24" si="95">_xlfn.RANK.EQ(H24,$D24:$R24,1)</f>
        <v>9</v>
      </c>
      <c r="AB24" s="1">
        <f t="shared" ref="AB24" si="96">_xlfn.RANK.EQ(I24,$D24:$R24,1)</f>
        <v>6</v>
      </c>
      <c r="AC24" s="1">
        <f t="shared" ref="AC24" si="97">_xlfn.RANK.EQ(J24,$D24:$R24,1)</f>
        <v>7</v>
      </c>
      <c r="AD24" s="1">
        <f t="shared" ref="AD24" si="98">_xlfn.RANK.EQ(K24,$D24:$R24,1)</f>
        <v>3</v>
      </c>
      <c r="AE24" s="1">
        <f t="shared" ref="AE24" si="99">_xlfn.RANK.EQ(L24,$D24:$R24,1)</f>
        <v>1</v>
      </c>
      <c r="AF24" s="1" t="e">
        <f t="shared" ref="AF24" si="100">_xlfn.RANK.EQ(M24,$D24:$R24,1)</f>
        <v>#N/A</v>
      </c>
      <c r="AG24" s="1" t="e">
        <f t="shared" ref="AG24" si="101">_xlfn.RANK.EQ(N24,$D24:$R24,1)</f>
        <v>#N/A</v>
      </c>
      <c r="AH24" s="1" t="e">
        <f t="shared" ref="AH24" si="102">_xlfn.RANK.EQ(O24,$D24:$R24,1)</f>
        <v>#N/A</v>
      </c>
      <c r="AI24" s="1" t="e">
        <f t="shared" ref="AI24" si="103">_xlfn.RANK.EQ(P24,$D24:$R24,1)</f>
        <v>#N/A</v>
      </c>
      <c r="AJ24" s="1" t="e">
        <f t="shared" ref="AJ24" si="104">_xlfn.RANK.EQ(Q24,$D24:$R24,1)</f>
        <v>#N/A</v>
      </c>
      <c r="AK24" s="1" t="e">
        <f t="shared" ref="AK24" si="105">_xlfn.RANK.EQ(R24,$D24:$R24,1)</f>
        <v>#N/A</v>
      </c>
    </row>
    <row r="25" x14ac:dyDescent="0.3">
      <c r="A25" s="25"/>
      <c r="B25" s="22" t="s">
        <v>991</v>
      </c>
      <c r="C25" s="9" t="s">
        <v>1036</v>
      </c>
      <c r="D25" s="8">
        <v>49.908196143677841</v>
      </c>
      <c r="E25" s="8">
        <v>52.093745632477912</v>
      </c>
      <c r="F25" s="8">
        <v>42.971963556078514</v>
      </c>
      <c r="G25" s="8">
        <v>46.373855921588003</v>
      </c>
      <c r="H25" s="8">
        <v>72.914610520686139</v>
      </c>
      <c r="I25" s="8">
        <v>22.219186966394286</v>
      </c>
      <c r="J25" s="8">
        <v>42.38082256298383</v>
      </c>
      <c r="K25" s="8">
        <v>175.18044456619137</v>
      </c>
      <c r="L25" s="8">
        <v>28.064968677620485</v>
      </c>
      <c r="M25" s="8">
        <v>60.247217656354003</v>
      </c>
      <c r="N25" s="8"/>
      <c r="O25" s="8"/>
      <c r="P25" s="8"/>
      <c r="Q25" s="8"/>
      <c r="R25" s="8"/>
      <c r="S25" s="15"/>
      <c r="T25" s="9" t="s">
        <v>31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x14ac:dyDescent="0.3">
      <c r="A26" s="25"/>
      <c r="B26" s="23" t="s">
        <v>991</v>
      </c>
      <c r="C26" s="5" t="s">
        <v>1037</v>
      </c>
      <c r="D26" s="6">
        <v>2.1067708333333335</v>
      </c>
      <c r="E26" s="6">
        <v>0.16302083333333334</v>
      </c>
      <c r="F26" s="6">
        <v>0.42135416666666664</v>
      </c>
      <c r="G26" s="6">
        <v>0.5619791666666667</v>
      </c>
      <c r="H26" s="6">
        <v>0.33177083333333335</v>
      </c>
      <c r="I26" s="6">
        <v>0.31145833333333334</v>
      </c>
      <c r="J26" s="6">
        <v>1.715625</v>
      </c>
      <c r="K26" s="6">
        <v>0.25052083333333336</v>
      </c>
      <c r="L26" s="6">
        <v>0.234375</v>
      </c>
      <c r="M26" s="6">
        <v>0.51770833333333333</v>
      </c>
      <c r="N26" s="6"/>
      <c r="O26" s="6"/>
      <c r="P26" s="6"/>
      <c r="Q26" s="6"/>
      <c r="R26" s="6"/>
      <c r="S26" s="7"/>
      <c r="T26" s="5" t="s">
        <v>32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x14ac:dyDescent="0.3">
      <c r="A27" s="25"/>
      <c r="B27" s="21" t="s">
        <v>992</v>
      </c>
      <c r="C27" s="3" t="s">
        <v>1038</v>
      </c>
      <c r="D27" s="4">
        <v>1905.2043384821143</v>
      </c>
      <c r="E27" s="4">
        <v>2301.1631552276367</v>
      </c>
      <c r="F27" s="4">
        <v>1866.766053633416</v>
      </c>
      <c r="G27" s="4">
        <v>1658.2861080006248</v>
      </c>
      <c r="H27" s="4">
        <v>1889.5216395930931</v>
      </c>
      <c r="I27" s="4">
        <v>1775.2902580653217</v>
      </c>
      <c r="J27" s="4">
        <v>1761.3597808936438</v>
      </c>
      <c r="K27" s="4">
        <v>2005.1111585902972</v>
      </c>
      <c r="L27" s="4">
        <v>1774.8301991769958</v>
      </c>
      <c r="M27" s="4">
        <v>1630.6854190045292</v>
      </c>
      <c r="N27" s="4"/>
      <c r="O27" s="4"/>
      <c r="P27" s="4"/>
      <c r="Q27" s="4"/>
      <c r="R27" s="4"/>
      <c r="S27" s="2" t="s">
        <v>8</v>
      </c>
      <c r="T27" s="3" t="s">
        <v>30</v>
      </c>
      <c r="W27" s="1">
        <f t="shared" ref="W27" si="106">_xlfn.RANK.EQ(D27,$D27:$R27,1)</f>
        <v>1</v>
      </c>
      <c r="X27" s="1">
        <f t="shared" ref="X27" si="107">_xlfn.RANK.EQ(E27,$D27:$R27,1)</f>
        <v>7</v>
      </c>
      <c r="Y27" s="1">
        <f t="shared" ref="Y27" si="108">_xlfn.RANK.EQ(F27,$D27:$R27,1)</f>
        <v>2</v>
      </c>
      <c r="Z27" s="1">
        <f t="shared" ref="Z27" si="109">_xlfn.RANK.EQ(G27,$D27:$R27,1)</f>
        <v>8</v>
      </c>
      <c r="AA27" s="1">
        <f t="shared" ref="AA27" si="110">_xlfn.RANK.EQ(H27,$D27:$R27,1)</f>
        <v>9</v>
      </c>
      <c r="AB27" s="1">
        <f t="shared" ref="AB27" si="111">_xlfn.RANK.EQ(I27,$D27:$R27,1)</f>
        <v>5</v>
      </c>
      <c r="AC27" s="1">
        <f t="shared" ref="AC27" si="112">_xlfn.RANK.EQ(J27,$D27:$R27,1)</f>
        <v>4</v>
      </c>
      <c r="AD27" s="1">
        <f t="shared" ref="AD27" si="113">_xlfn.RANK.EQ(K27,$D27:$R27,1)</f>
        <v>6</v>
      </c>
      <c r="AE27" s="1">
        <f t="shared" ref="AE27" si="114">_xlfn.RANK.EQ(L27,$D27:$R27,1)</f>
        <v>3</v>
      </c>
      <c r="AF27" s="1" t="e">
        <f t="shared" ref="AF27" si="115">_xlfn.RANK.EQ(M27,$D27:$R27,1)</f>
        <v>#N/A</v>
      </c>
      <c r="AG27" s="1" t="e">
        <f t="shared" ref="AG27" si="116">_xlfn.RANK.EQ(N27,$D27:$R27,1)</f>
        <v>#N/A</v>
      </c>
      <c r="AH27" s="1" t="e">
        <f t="shared" ref="AH27" si="117">_xlfn.RANK.EQ(O27,$D27:$R27,1)</f>
        <v>#N/A</v>
      </c>
      <c r="AI27" s="1" t="e">
        <f t="shared" ref="AI27" si="118">_xlfn.RANK.EQ(P27,$D27:$R27,1)</f>
        <v>#N/A</v>
      </c>
      <c r="AJ27" s="1" t="e">
        <f t="shared" ref="AJ27" si="119">_xlfn.RANK.EQ(Q27,$D27:$R27,1)</f>
        <v>#N/A</v>
      </c>
      <c r="AK27" s="1" t="e">
        <f t="shared" ref="AK27" si="120">_xlfn.RANK.EQ(R27,$D27:$R27,1)</f>
        <v>#N/A</v>
      </c>
    </row>
    <row r="28" x14ac:dyDescent="0.3">
      <c r="A28" s="25"/>
      <c r="B28" s="22" t="s">
        <v>992</v>
      </c>
      <c r="C28" s="9" t="s">
        <v>1039</v>
      </c>
      <c r="D28" s="8">
        <v>55.417467103719176</v>
      </c>
      <c r="E28" s="8">
        <v>56.274730788485698</v>
      </c>
      <c r="F28" s="8">
        <v>53.146082615344881</v>
      </c>
      <c r="G28" s="8">
        <v>134.06616488634944</v>
      </c>
      <c r="H28" s="8">
        <v>105.65727999023184</v>
      </c>
      <c r="I28" s="8">
        <v>75.769503234126091</v>
      </c>
      <c r="J28" s="8">
        <v>73.738101277844734</v>
      </c>
      <c r="K28" s="8">
        <v>57.87815435162819</v>
      </c>
      <c r="L28" s="8">
        <v>66.539056419273294</v>
      </c>
      <c r="M28" s="8">
        <v>55.632434376691485</v>
      </c>
      <c r="N28" s="8"/>
      <c r="O28" s="8"/>
      <c r="P28" s="8"/>
      <c r="Q28" s="8"/>
      <c r="R28" s="8"/>
      <c r="S28" s="15"/>
      <c r="T28" s="9" t="s">
        <v>31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x14ac:dyDescent="0.3">
      <c r="A29" s="25"/>
      <c r="B29" s="23" t="s">
        <v>992</v>
      </c>
      <c r="C29" s="5" t="s">
        <v>1040</v>
      </c>
      <c r="D29" s="6">
        <v>4.0979166666666664</v>
      </c>
      <c r="E29" s="6">
        <v>0.62812500000000004</v>
      </c>
      <c r="F29" s="6">
        <v>0.63072916666666667</v>
      </c>
      <c r="G29" s="6">
        <v>0.6645833333333333</v>
      </c>
      <c r="H29" s="6">
        <v>0.45260416666666664</v>
      </c>
      <c r="I29" s="6">
        <v>0.37552083333333336</v>
      </c>
      <c r="J29" s="6">
        <v>1.9630208333333334</v>
      </c>
      <c r="K29" s="6">
        <v>0.38072916666666667</v>
      </c>
      <c r="L29" s="6">
        <v>0.38385416666666666</v>
      </c>
      <c r="M29" s="6">
        <v>0.60520833333333335</v>
      </c>
      <c r="N29" s="6"/>
      <c r="O29" s="6"/>
      <c r="P29" s="6"/>
      <c r="Q29" s="6"/>
      <c r="R29" s="6"/>
      <c r="S29" s="7"/>
      <c r="T29" s="5" t="s">
        <v>32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x14ac:dyDescent="0.3">
      <c r="A30" s="25"/>
      <c r="B30" s="21" t="s">
        <v>993</v>
      </c>
      <c r="C30" s="3" t="s">
        <v>1041</v>
      </c>
      <c r="D30" s="4">
        <v>18822.953133101193</v>
      </c>
      <c r="E30" s="4">
        <v>30991.008343497986</v>
      </c>
      <c r="F30" s="4">
        <v>18248.72836223253</v>
      </c>
      <c r="G30" s="4">
        <v>18540.755341486292</v>
      </c>
      <c r="H30" s="4">
        <v>18466.806385549447</v>
      </c>
      <c r="I30" s="4">
        <v>5899.8827882793285</v>
      </c>
      <c r="J30" s="4">
        <v>14381.273185781029</v>
      </c>
      <c r="K30" s="4">
        <v>30185.627079458842</v>
      </c>
      <c r="L30" s="4">
        <v>5934.081711439404</v>
      </c>
      <c r="M30" s="4">
        <v>19385.69956727279</v>
      </c>
      <c r="N30" s="4"/>
      <c r="O30" s="4"/>
      <c r="P30" s="4"/>
      <c r="Q30" s="4"/>
      <c r="R30" s="4"/>
      <c r="S30" s="2" t="s">
        <v>9</v>
      </c>
      <c r="T30" s="3" t="s">
        <v>30</v>
      </c>
      <c r="W30" s="1">
        <f t="shared" ref="W30" si="121">_xlfn.RANK.EQ(D30,$D30:$R30,1)</f>
        <v>2</v>
      </c>
      <c r="X30" s="1">
        <f t="shared" ref="X30" si="122">_xlfn.RANK.EQ(E30,$D30:$R30,1)</f>
        <v>6</v>
      </c>
      <c r="Y30" s="1">
        <f t="shared" ref="Y30" si="123">_xlfn.RANK.EQ(F30,$D30:$R30,1)</f>
        <v>3</v>
      </c>
      <c r="Z30" s="1">
        <f t="shared" ref="Z30" si="124">_xlfn.RANK.EQ(G30,$D30:$R30,1)</f>
        <v>8</v>
      </c>
      <c r="AA30" s="1">
        <f t="shared" ref="AA30" si="125">_xlfn.RANK.EQ(H30,$D30:$R30,1)</f>
        <v>9</v>
      </c>
      <c r="AB30" s="1">
        <f t="shared" ref="AB30" si="126">_xlfn.RANK.EQ(I30,$D30:$R30,1)</f>
        <v>5</v>
      </c>
      <c r="AC30" s="1">
        <f t="shared" ref="AC30" si="127">_xlfn.RANK.EQ(J30,$D30:$R30,1)</f>
        <v>7</v>
      </c>
      <c r="AD30" s="1">
        <f t="shared" ref="AD30" si="128">_xlfn.RANK.EQ(K30,$D30:$R30,1)</f>
        <v>4</v>
      </c>
      <c r="AE30" s="1">
        <f t="shared" ref="AE30" si="129">_xlfn.RANK.EQ(L30,$D30:$R30,1)</f>
        <v>1</v>
      </c>
      <c r="AF30" s="1" t="e">
        <f t="shared" ref="AF30" si="130">_xlfn.RANK.EQ(M30,$D30:$R30,1)</f>
        <v>#N/A</v>
      </c>
      <c r="AG30" s="1" t="e">
        <f t="shared" ref="AG30" si="131">_xlfn.RANK.EQ(N30,$D30:$R30,1)</f>
        <v>#N/A</v>
      </c>
      <c r="AH30" s="1" t="e">
        <f t="shared" ref="AH30" si="132">_xlfn.RANK.EQ(O30,$D30:$R30,1)</f>
        <v>#N/A</v>
      </c>
      <c r="AI30" s="1" t="e">
        <f t="shared" ref="AI30" si="133">_xlfn.RANK.EQ(P30,$D30:$R30,1)</f>
        <v>#N/A</v>
      </c>
      <c r="AJ30" s="1" t="e">
        <f t="shared" ref="AJ30" si="134">_xlfn.RANK.EQ(Q30,$D30:$R30,1)</f>
        <v>#N/A</v>
      </c>
      <c r="AK30" s="1" t="e">
        <f t="shared" ref="AK30" si="135">_xlfn.RANK.EQ(R30,$D30:$R30,1)</f>
        <v>#N/A</v>
      </c>
    </row>
    <row r="31" x14ac:dyDescent="0.3">
      <c r="A31" s="25"/>
      <c r="B31" s="22" t="s">
        <v>993</v>
      </c>
      <c r="C31" s="9" t="s">
        <v>1042</v>
      </c>
      <c r="D31" s="8">
        <v>1492.2208193080364</v>
      </c>
      <c r="E31" s="8">
        <v>1178.2839527128847</v>
      </c>
      <c r="F31" s="8">
        <v>1901.2359519291922</v>
      </c>
      <c r="G31" s="8">
        <v>3706.2187131805417</v>
      </c>
      <c r="H31" s="8">
        <v>2102.4622410327092</v>
      </c>
      <c r="I31" s="8">
        <v>524.43759347382411</v>
      </c>
      <c r="J31" s="8">
        <v>1245.839914554449</v>
      </c>
      <c r="K31" s="8">
        <v>1381.6452058115931</v>
      </c>
      <c r="L31" s="8">
        <v>559.57146580619815</v>
      </c>
      <c r="M31" s="8">
        <v>4067.0888986032387</v>
      </c>
      <c r="N31" s="8"/>
      <c r="O31" s="8"/>
      <c r="P31" s="8"/>
      <c r="Q31" s="8"/>
      <c r="R31" s="8"/>
      <c r="S31" s="15"/>
      <c r="T31" s="9" t="s">
        <v>31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x14ac:dyDescent="0.3">
      <c r="A32" s="25"/>
      <c r="B32" s="23" t="s">
        <v>993</v>
      </c>
      <c r="C32" s="5" t="s">
        <v>1043</v>
      </c>
      <c r="D32" s="6">
        <v>3.8489583333333335</v>
      </c>
      <c r="E32" s="6">
        <v>0.56770833333333337</v>
      </c>
      <c r="F32" s="6">
        <v>0.6171875</v>
      </c>
      <c r="G32" s="6">
        <v>0.62187499999999996</v>
      </c>
      <c r="H32" s="6">
        <v>0.43229166666666669</v>
      </c>
      <c r="I32" s="6">
        <v>0.36458333333333331</v>
      </c>
      <c r="J32" s="6">
        <v>1.7953125000000001</v>
      </c>
      <c r="K32" s="6">
        <v>0.33958333333333335</v>
      </c>
      <c r="L32" s="6">
        <v>0.34895833333333331</v>
      </c>
      <c r="M32" s="6">
        <v>0.59375</v>
      </c>
      <c r="N32" s="6"/>
      <c r="O32" s="6"/>
      <c r="P32" s="6"/>
      <c r="Q32" s="6"/>
      <c r="R32" s="6"/>
      <c r="S32" s="7"/>
      <c r="T32" s="5" t="s">
        <v>32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x14ac:dyDescent="0.3">
      <c r="A33" s="25"/>
      <c r="B33" s="21" t="s">
        <v>994</v>
      </c>
      <c r="C33" s="3" t="s">
        <v>1044</v>
      </c>
      <c r="D33" s="4">
        <v>22465.512878446956</v>
      </c>
      <c r="E33" s="4">
        <v>29882.319526240823</v>
      </c>
      <c r="F33" s="4">
        <v>23569.556992217957</v>
      </c>
      <c r="G33" s="4">
        <v>21819.421825542566</v>
      </c>
      <c r="H33" s="4">
        <v>31810.927602943812</v>
      </c>
      <c r="I33" s="4">
        <v>21720.3282106058</v>
      </c>
      <c r="J33" s="4">
        <v>16248.714775934726</v>
      </c>
      <c r="K33" s="4">
        <v>33253.940182459606</v>
      </c>
      <c r="L33" s="4">
        <v>21720.665276720669</v>
      </c>
      <c r="M33" s="4">
        <v>24419.099766685718</v>
      </c>
      <c r="N33" s="4"/>
      <c r="O33" s="4"/>
      <c r="P33" s="4"/>
      <c r="Q33" s="4"/>
      <c r="R33" s="4"/>
      <c r="S33" s="2" t="s">
        <v>10</v>
      </c>
      <c r="T33" s="3" t="s">
        <v>30</v>
      </c>
      <c r="W33" s="1">
        <f t="shared" ref="W33" si="136">_xlfn.RANK.EQ(D33,$D33:$R33,1)</f>
        <v>1</v>
      </c>
      <c r="X33" s="1">
        <f t="shared" ref="X33" si="137">_xlfn.RANK.EQ(E33,$D33:$R33,1)</f>
        <v>6</v>
      </c>
      <c r="Y33" s="1">
        <f t="shared" ref="Y33" si="138">_xlfn.RANK.EQ(F33,$D33:$R33,1)</f>
        <v>2</v>
      </c>
      <c r="Z33" s="1">
        <f t="shared" ref="Z33" si="139">_xlfn.RANK.EQ(G33,$D33:$R33,1)</f>
        <v>9</v>
      </c>
      <c r="AA33" s="1">
        <f t="shared" ref="AA33" si="140">_xlfn.RANK.EQ(H33,$D33:$R33,1)</f>
        <v>8</v>
      </c>
      <c r="AB33" s="1">
        <f t="shared" ref="AB33" si="141">_xlfn.RANK.EQ(I33,$D33:$R33,1)</f>
        <v>3</v>
      </c>
      <c r="AC33" s="1">
        <f t="shared" ref="AC33" si="142">_xlfn.RANK.EQ(J33,$D33:$R33,1)</f>
        <v>4</v>
      </c>
      <c r="AD33" s="1">
        <f t="shared" ref="AD33" si="143">_xlfn.RANK.EQ(K33,$D33:$R33,1)</f>
        <v>7</v>
      </c>
      <c r="AE33" s="1">
        <f t="shared" ref="AE33" si="144">_xlfn.RANK.EQ(L33,$D33:$R33,1)</f>
        <v>5</v>
      </c>
      <c r="AF33" s="1" t="e">
        <f t="shared" ref="AF33" si="145">_xlfn.RANK.EQ(M33,$D33:$R33,1)</f>
        <v>#N/A</v>
      </c>
      <c r="AG33" s="1" t="e">
        <f t="shared" ref="AG33" si="146">_xlfn.RANK.EQ(N33,$D33:$R33,1)</f>
        <v>#N/A</v>
      </c>
      <c r="AH33" s="1" t="e">
        <f t="shared" ref="AH33" si="147">_xlfn.RANK.EQ(O33,$D33:$R33,1)</f>
        <v>#N/A</v>
      </c>
      <c r="AI33" s="1" t="e">
        <f t="shared" ref="AI33" si="148">_xlfn.RANK.EQ(P33,$D33:$R33,1)</f>
        <v>#N/A</v>
      </c>
      <c r="AJ33" s="1" t="e">
        <f t="shared" ref="AJ33" si="149">_xlfn.RANK.EQ(Q33,$D33:$R33,1)</f>
        <v>#N/A</v>
      </c>
      <c r="AK33" s="1" t="e">
        <f t="shared" ref="AK33" si="150">_xlfn.RANK.EQ(R33,$D33:$R33,1)</f>
        <v>#N/A</v>
      </c>
    </row>
    <row r="34" x14ac:dyDescent="0.3">
      <c r="A34" s="25"/>
      <c r="B34" s="22" t="s">
        <v>994</v>
      </c>
      <c r="C34" s="9" t="s">
        <v>1045</v>
      </c>
      <c r="D34" s="8">
        <v>1714.2999933467852</v>
      </c>
      <c r="E34" s="8">
        <v>1288.0968796800969</v>
      </c>
      <c r="F34" s="8">
        <v>1968.0188333072397</v>
      </c>
      <c r="G34" s="8">
        <v>5771.1983521143111</v>
      </c>
      <c r="H34" s="8">
        <v>1377.3492652956713</v>
      </c>
      <c r="I34" s="8">
        <v>1080.6921235934035</v>
      </c>
      <c r="J34" s="8">
        <v>1342.7149214577605</v>
      </c>
      <c r="K34" s="8">
        <v>531.95659950957543</v>
      </c>
      <c r="L34" s="8">
        <v>988.95039831076383</v>
      </c>
      <c r="M34" s="8">
        <v>7098.6897799532035</v>
      </c>
      <c r="N34" s="8"/>
      <c r="O34" s="8"/>
      <c r="P34" s="8"/>
      <c r="Q34" s="8"/>
      <c r="R34" s="8"/>
      <c r="S34" s="15"/>
      <c r="T34" s="9" t="s">
        <v>31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x14ac:dyDescent="0.3">
      <c r="A35" s="25"/>
      <c r="B35" s="23" t="s">
        <v>994</v>
      </c>
      <c r="C35" s="5" t="s">
        <v>1046</v>
      </c>
      <c r="D35" s="6">
        <v>5.6520833333333336</v>
      </c>
      <c r="E35" s="6">
        <v>1.0489583333333334</v>
      </c>
      <c r="F35" s="6">
        <v>0.90833333333333333</v>
      </c>
      <c r="G35" s="6">
        <v>0.75260416666666663</v>
      </c>
      <c r="H35" s="6">
        <v>0.55156249999999996</v>
      </c>
      <c r="I35" s="6">
        <v>0.4921875</v>
      </c>
      <c r="J35" s="6">
        <v>2.2322916666666668</v>
      </c>
      <c r="K35" s="6">
        <v>0.48645833333333333</v>
      </c>
      <c r="L35" s="6">
        <v>0.5307291666666667</v>
      </c>
      <c r="M35" s="6">
        <v>0.72343749999999996</v>
      </c>
      <c r="N35" s="6"/>
      <c r="O35" s="6"/>
      <c r="P35" s="6"/>
      <c r="Q35" s="6"/>
      <c r="R35" s="6"/>
      <c r="S35" s="7"/>
      <c r="T35" s="5" t="s">
        <v>32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x14ac:dyDescent="0.3">
      <c r="A36" s="25"/>
      <c r="B36" s="21" t="s">
        <v>995</v>
      </c>
      <c r="C36" s="3" t="s">
        <v>1047</v>
      </c>
      <c r="D36" s="4">
        <v>1203.082967344186</v>
      </c>
      <c r="E36" s="4">
        <v>1204.3473030405739</v>
      </c>
      <c r="F36" s="4">
        <v>1203.5671739376442</v>
      </c>
      <c r="G36" s="4">
        <v>1204.9588469714554</v>
      </c>
      <c r="H36" s="4">
        <v>1204.3336783041011</v>
      </c>
      <c r="I36" s="4">
        <v>1201.3830972480587</v>
      </c>
      <c r="J36" s="4">
        <v>1200.8088168844808</v>
      </c>
      <c r="K36" s="4">
        <v>1204.9578546925104</v>
      </c>
      <c r="L36" s="4">
        <v>1201.3519778413313</v>
      </c>
      <c r="M36" s="4">
        <v>1204.7918323365498</v>
      </c>
      <c r="N36" s="4"/>
      <c r="O36" s="4"/>
      <c r="P36" s="4"/>
      <c r="Q36" s="4"/>
      <c r="R36" s="4"/>
      <c r="S36" s="2" t="s">
        <v>11</v>
      </c>
      <c r="T36" s="3" t="s">
        <v>30</v>
      </c>
      <c r="W36" s="1">
        <f t="shared" ref="W36" si="151">_xlfn.RANK.EQ(D36,$D36:$R36,1)</f>
        <v>3</v>
      </c>
      <c r="X36" s="1">
        <f t="shared" ref="X36" si="152">_xlfn.RANK.EQ(E36,$D36:$R36,1)</f>
        <v>6</v>
      </c>
      <c r="Y36" s="1">
        <f t="shared" ref="Y36" si="153">_xlfn.RANK.EQ(F36,$D36:$R36,1)</f>
        <v>2</v>
      </c>
      <c r="Z36" s="1">
        <f t="shared" ref="Z36" si="154">_xlfn.RANK.EQ(G36,$D36:$R36,1)</f>
        <v>9</v>
      </c>
      <c r="AA36" s="1">
        <f t="shared" ref="AA36" si="155">_xlfn.RANK.EQ(H36,$D36:$R36,1)</f>
        <v>8</v>
      </c>
      <c r="AB36" s="1">
        <f t="shared" ref="AB36" si="156">_xlfn.RANK.EQ(I36,$D36:$R36,1)</f>
        <v>5</v>
      </c>
      <c r="AC36" s="1">
        <f t="shared" ref="AC36" si="157">_xlfn.RANK.EQ(J36,$D36:$R36,1)</f>
        <v>1</v>
      </c>
      <c r="AD36" s="1">
        <f t="shared" ref="AD36" si="158">_xlfn.RANK.EQ(K36,$D36:$R36,1)</f>
        <v>7</v>
      </c>
      <c r="AE36" s="1">
        <f t="shared" ref="AE36" si="159">_xlfn.RANK.EQ(L36,$D36:$R36,1)</f>
        <v>4</v>
      </c>
      <c r="AF36" s="1" t="e">
        <f t="shared" ref="AF36" si="160">_xlfn.RANK.EQ(M36,$D36:$R36,1)</f>
        <v>#N/A</v>
      </c>
      <c r="AG36" s="1" t="e">
        <f t="shared" ref="AG36" si="161">_xlfn.RANK.EQ(N36,$D36:$R36,1)</f>
        <v>#N/A</v>
      </c>
      <c r="AH36" s="1" t="e">
        <f t="shared" ref="AH36" si="162">_xlfn.RANK.EQ(O36,$D36:$R36,1)</f>
        <v>#N/A</v>
      </c>
      <c r="AI36" s="1" t="e">
        <f t="shared" ref="AI36" si="163">_xlfn.RANK.EQ(P36,$D36:$R36,1)</f>
        <v>#N/A</v>
      </c>
      <c r="AJ36" s="1" t="e">
        <f t="shared" ref="AJ36" si="164">_xlfn.RANK.EQ(Q36,$D36:$R36,1)</f>
        <v>#N/A</v>
      </c>
      <c r="AK36" s="1" t="e">
        <f t="shared" ref="AK36" si="165">_xlfn.RANK.EQ(R36,$D36:$R36,1)</f>
        <v>#N/A</v>
      </c>
    </row>
    <row r="37" x14ac:dyDescent="0.3">
      <c r="A37" s="25"/>
      <c r="B37" s="22" t="s">
        <v>995</v>
      </c>
      <c r="C37" s="9" t="s">
        <v>1048</v>
      </c>
      <c r="D37" s="8">
        <v>0.49081739877101754</v>
      </c>
      <c r="E37" s="8">
        <v>0.52683770115357031</v>
      </c>
      <c r="F37" s="8">
        <v>0.48823958606711088</v>
      </c>
      <c r="G37" s="8">
        <v>0.30829247162462586</v>
      </c>
      <c r="H37" s="8">
        <v>0.58386849612315006</v>
      </c>
      <c r="I37" s="8">
        <v>0.21665801561031414</v>
      </c>
      <c r="J37" s="8">
        <v>0.24419236484841048</v>
      </c>
      <c r="K37" s="8">
        <v>0.34428716065209375</v>
      </c>
      <c r="L37" s="8">
        <v>0.18882894980645365</v>
      </c>
      <c r="M37" s="8">
        <v>0.78151686281910537</v>
      </c>
      <c r="N37" s="8"/>
      <c r="O37" s="8"/>
      <c r="P37" s="8"/>
      <c r="Q37" s="8"/>
      <c r="R37" s="8"/>
      <c r="S37" s="15"/>
      <c r="T37" s="9" t="s">
        <v>31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x14ac:dyDescent="0.3">
      <c r="A38" s="25"/>
      <c r="B38" s="23" t="s">
        <v>995</v>
      </c>
      <c r="C38" s="5" t="s">
        <v>1049</v>
      </c>
      <c r="D38" s="6">
        <v>12.898958333333333</v>
      </c>
      <c r="E38" s="6">
        <v>3.0177083333333332</v>
      </c>
      <c r="F38" s="6">
        <v>1.9854166666666666</v>
      </c>
      <c r="G38" s="6">
        <v>1.2718750000000001</v>
      </c>
      <c r="H38" s="6">
        <v>1.0010416666666666</v>
      </c>
      <c r="I38" s="6">
        <v>0.91249999999999998</v>
      </c>
      <c r="J38" s="6">
        <v>2.3651041666666668</v>
      </c>
      <c r="K38" s="6">
        <v>0.93281250000000004</v>
      </c>
      <c r="L38" s="6">
        <v>0.94635416666666672</v>
      </c>
      <c r="M38" s="6">
        <v>1.1682291666666667</v>
      </c>
      <c r="N38" s="6"/>
      <c r="O38" s="6"/>
      <c r="P38" s="6"/>
      <c r="Q38" s="6"/>
      <c r="R38" s="6"/>
      <c r="S38" s="7"/>
      <c r="T38" s="5" t="s">
        <v>32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x14ac:dyDescent="0.3">
      <c r="A39" s="25"/>
      <c r="B39" s="21" t="s">
        <v>996</v>
      </c>
      <c r="C39" s="3" t="s">
        <v>1050</v>
      </c>
      <c r="D39" s="4">
        <v>1300.5973187090108</v>
      </c>
      <c r="E39" s="4">
        <v>1308.2949665547217</v>
      </c>
      <c r="F39" s="4">
        <v>1300.5459961191038</v>
      </c>
      <c r="G39" s="4">
        <v>1303.845704786929</v>
      </c>
      <c r="H39" s="4">
        <v>1300.7019061860881</v>
      </c>
      <c r="I39" s="4">
        <v>1300.9379700209429</v>
      </c>
      <c r="J39" s="4">
        <v>1300.5603679344208</v>
      </c>
      <c r="K39" s="4">
        <v>1300.8642591838345</v>
      </c>
      <c r="L39" s="4">
        <v>1300.9524055222385</v>
      </c>
      <c r="M39" s="4">
        <v>1303.6364142962846</v>
      </c>
      <c r="N39" s="4"/>
      <c r="O39" s="4"/>
      <c r="P39" s="4"/>
      <c r="Q39" s="4"/>
      <c r="R39" s="4"/>
      <c r="S39" s="2" t="s">
        <v>12</v>
      </c>
      <c r="T39" s="3" t="s">
        <v>30</v>
      </c>
      <c r="W39" s="1">
        <f t="shared" ref="W39" si="166">_xlfn.RANK.EQ(D39,$D39:$R39,1)</f>
        <v>3</v>
      </c>
      <c r="X39" s="1">
        <f t="shared" ref="X39" si="167">_xlfn.RANK.EQ(E39,$D39:$R39,1)</f>
        <v>6</v>
      </c>
      <c r="Y39" s="1">
        <f t="shared" ref="Y39" si="168">_xlfn.RANK.EQ(F39,$D39:$R39,1)</f>
        <v>1</v>
      </c>
      <c r="Z39" s="1">
        <f t="shared" ref="Z39" si="169">_xlfn.RANK.EQ(G39,$D39:$R39,1)</f>
        <v>7</v>
      </c>
      <c r="AA39" s="1">
        <f t="shared" ref="AA39" si="170">_xlfn.RANK.EQ(H39,$D39:$R39,1)</f>
        <v>8</v>
      </c>
      <c r="AB39" s="1">
        <f t="shared" ref="AB39" si="171">_xlfn.RANK.EQ(I39,$D39:$R39,1)</f>
        <v>2</v>
      </c>
      <c r="AC39" s="1">
        <f t="shared" ref="AC39" si="172">_xlfn.RANK.EQ(J39,$D39:$R39,1)</f>
        <v>9</v>
      </c>
      <c r="AD39" s="1">
        <f t="shared" ref="AD39" si="173">_xlfn.RANK.EQ(K39,$D39:$R39,1)</f>
        <v>4</v>
      </c>
      <c r="AE39" s="1">
        <f t="shared" ref="AE39" si="174">_xlfn.RANK.EQ(L39,$D39:$R39,1)</f>
        <v>5</v>
      </c>
      <c r="AF39" s="1" t="e">
        <f t="shared" ref="AF39" si="175">_xlfn.RANK.EQ(M39,$D39:$R39,1)</f>
        <v>#N/A</v>
      </c>
      <c r="AG39" s="1" t="e">
        <f t="shared" ref="AG39" si="176">_xlfn.RANK.EQ(N39,$D39:$R39,1)</f>
        <v>#N/A</v>
      </c>
      <c r="AH39" s="1" t="e">
        <f t="shared" ref="AH39" si="177">_xlfn.RANK.EQ(O39,$D39:$R39,1)</f>
        <v>#N/A</v>
      </c>
      <c r="AI39" s="1" t="e">
        <f t="shared" ref="AI39" si="178">_xlfn.RANK.EQ(P39,$D39:$R39,1)</f>
        <v>#N/A</v>
      </c>
      <c r="AJ39" s="1" t="e">
        <f t="shared" ref="AJ39" si="179">_xlfn.RANK.EQ(Q39,$D39:$R39,1)</f>
        <v>#N/A</v>
      </c>
      <c r="AK39" s="1" t="e">
        <f t="shared" ref="AK39" si="180">_xlfn.RANK.EQ(R39,$D39:$R39,1)</f>
        <v>#N/A</v>
      </c>
    </row>
    <row r="40" x14ac:dyDescent="0.3">
      <c r="A40" s="25"/>
      <c r="B40" s="22" t="s">
        <v>996</v>
      </c>
      <c r="C40" s="9" t="s">
        <v>1051</v>
      </c>
      <c r="D40" s="8">
        <v>0.08438997981487191</v>
      </c>
      <c r="E40" s="8">
        <v>0.26099821014338254</v>
      </c>
      <c r="F40" s="8">
        <v>0.068398134783875186</v>
      </c>
      <c r="G40" s="8">
        <v>0.48849129451793505</v>
      </c>
      <c r="H40" s="8">
        <v>0.10067136902784463</v>
      </c>
      <c r="I40" s="8">
        <v>0.10678123790162353</v>
      </c>
      <c r="J40" s="8">
        <v>0.051861820687216433</v>
      </c>
      <c r="K40" s="8">
        <v>0.4454144491357373</v>
      </c>
      <c r="L40" s="8">
        <v>0.091126619873573636</v>
      </c>
      <c r="M40" s="8">
        <v>0.62570033743427123</v>
      </c>
      <c r="N40" s="8"/>
      <c r="O40" s="8"/>
      <c r="P40" s="8"/>
      <c r="Q40" s="8"/>
      <c r="R40" s="8"/>
      <c r="S40" s="15"/>
      <c r="T40" s="9" t="s">
        <v>31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x14ac:dyDescent="0.3">
      <c r="A41" s="25"/>
      <c r="B41" s="23" t="s">
        <v>996</v>
      </c>
      <c r="C41" s="5" t="s">
        <v>1052</v>
      </c>
      <c r="D41" s="6">
        <v>3.3546874999999998</v>
      </c>
      <c r="E41" s="6">
        <v>0.52708333333333335</v>
      </c>
      <c r="F41" s="6">
        <v>0.56354166666666672</v>
      </c>
      <c r="G41" s="6">
        <v>0.57343750000000004</v>
      </c>
      <c r="H41" s="6">
        <v>0.36770833333333336</v>
      </c>
      <c r="I41" s="6">
        <v>0.34427083333333336</v>
      </c>
      <c r="J41" s="6">
        <v>1.8932291666666667</v>
      </c>
      <c r="K41" s="6">
        <v>0.32135416666666666</v>
      </c>
      <c r="L41" s="6">
        <v>0.36770833333333336</v>
      </c>
      <c r="M41" s="6">
        <v>0.59114583333333337</v>
      </c>
      <c r="N41" s="6"/>
      <c r="O41" s="6"/>
      <c r="P41" s="6"/>
      <c r="Q41" s="6"/>
      <c r="R41" s="6"/>
      <c r="S41" s="7"/>
      <c r="T41" s="5" t="s">
        <v>32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x14ac:dyDescent="0.3">
      <c r="A42" s="25"/>
      <c r="B42" s="21" t="s">
        <v>997</v>
      </c>
      <c r="C42" s="3" t="s">
        <v>1053</v>
      </c>
      <c r="D42" s="4">
        <v>1400.3721494571457</v>
      </c>
      <c r="E42" s="4">
        <v>2079.9318477792553</v>
      </c>
      <c r="F42" s="4">
        <v>1400.3646534247093</v>
      </c>
      <c r="G42" s="4">
        <v>1562.7504432532091</v>
      </c>
      <c r="H42" s="4">
        <v>1425.6314127180017</v>
      </c>
      <c r="I42" s="4">
        <v>1446.8450446832217</v>
      </c>
      <c r="J42" s="4">
        <v>1400.4439243362781</v>
      </c>
      <c r="K42" s="4">
        <v>1448.8848016711192</v>
      </c>
      <c r="L42" s="4">
        <v>1447.6445440738212</v>
      </c>
      <c r="M42" s="4">
        <v>1552.8149275595752</v>
      </c>
      <c r="N42" s="4"/>
      <c r="O42" s="4"/>
      <c r="P42" s="4"/>
      <c r="Q42" s="4"/>
      <c r="R42" s="4"/>
      <c r="S42" s="2" t="s">
        <v>13</v>
      </c>
      <c r="T42" s="3" t="s">
        <v>30</v>
      </c>
      <c r="W42" s="1">
        <f t="shared" ref="W42" si="181">_xlfn.RANK.EQ(D42,$D42:$R42,1)</f>
        <v>1</v>
      </c>
      <c r="X42" s="1">
        <f t="shared" ref="X42" si="182">_xlfn.RANK.EQ(E42,$D42:$R42,1)</f>
        <v>6</v>
      </c>
      <c r="Y42" s="1">
        <f t="shared" ref="Y42" si="183">_xlfn.RANK.EQ(F42,$D42:$R42,1)</f>
        <v>2</v>
      </c>
      <c r="Z42" s="1">
        <f t="shared" ref="Z42" si="184">_xlfn.RANK.EQ(G42,$D42:$R42,1)</f>
        <v>7</v>
      </c>
      <c r="AA42" s="1">
        <f t="shared" ref="AA42" si="185">_xlfn.RANK.EQ(H42,$D42:$R42,1)</f>
        <v>8</v>
      </c>
      <c r="AB42" s="1">
        <f t="shared" ref="AB42" si="186">_xlfn.RANK.EQ(I42,$D42:$R42,1)</f>
        <v>4</v>
      </c>
      <c r="AC42" s="1">
        <f t="shared" ref="AC42" si="187">_xlfn.RANK.EQ(J42,$D42:$R42,1)</f>
        <v>9</v>
      </c>
      <c r="AD42" s="1">
        <f t="shared" ref="AD42" si="188">_xlfn.RANK.EQ(K42,$D42:$R42,1)</f>
        <v>3</v>
      </c>
      <c r="AE42" s="1">
        <f t="shared" ref="AE42" si="189">_xlfn.RANK.EQ(L42,$D42:$R42,1)</f>
        <v>5</v>
      </c>
      <c r="AF42" s="1" t="e">
        <f t="shared" ref="AF42" si="190">_xlfn.RANK.EQ(M42,$D42:$R42,1)</f>
        <v>#N/A</v>
      </c>
      <c r="AG42" s="1" t="e">
        <f t="shared" ref="AG42" si="191">_xlfn.RANK.EQ(N42,$D42:$R42,1)</f>
        <v>#N/A</v>
      </c>
      <c r="AH42" s="1" t="e">
        <f t="shared" ref="AH42" si="192">_xlfn.RANK.EQ(O42,$D42:$R42,1)</f>
        <v>#N/A</v>
      </c>
      <c r="AI42" s="1" t="e">
        <f t="shared" ref="AI42" si="193">_xlfn.RANK.EQ(P42,$D42:$R42,1)</f>
        <v>#N/A</v>
      </c>
      <c r="AJ42" s="1" t="e">
        <f t="shared" ref="AJ42" si="194">_xlfn.RANK.EQ(Q42,$D42:$R42,1)</f>
        <v>#N/A</v>
      </c>
      <c r="AK42" s="1" t="e">
        <f t="shared" ref="AK42" si="195">_xlfn.RANK.EQ(R42,$D42:$R42,1)</f>
        <v>#N/A</v>
      </c>
    </row>
    <row r="43" x14ac:dyDescent="0.3">
      <c r="A43" s="25"/>
      <c r="B43" s="22" t="s">
        <v>997</v>
      </c>
      <c r="C43" s="9" t="s">
        <v>1054</v>
      </c>
      <c r="D43" s="8">
        <v>0.11949843451439607</v>
      </c>
      <c r="E43" s="8">
        <v>58.607484583344366</v>
      </c>
      <c r="F43" s="8">
        <v>0.10686284932393318</v>
      </c>
      <c r="G43" s="8">
        <v>40.79854401136771</v>
      </c>
      <c r="H43" s="8">
        <v>10.591398535640744</v>
      </c>
      <c r="I43" s="8">
        <v>7.6711187214236283</v>
      </c>
      <c r="J43" s="8">
        <v>0.069821451382061736</v>
      </c>
      <c r="K43" s="8">
        <v>21.514892393307676</v>
      </c>
      <c r="L43" s="8">
        <v>6.3815768001358579</v>
      </c>
      <c r="M43" s="8">
        <v>37.914766804308229</v>
      </c>
      <c r="N43" s="8"/>
      <c r="O43" s="8"/>
      <c r="P43" s="8"/>
      <c r="Q43" s="8"/>
      <c r="R43" s="8"/>
      <c r="S43" s="15"/>
      <c r="T43" s="9" t="s">
        <v>31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x14ac:dyDescent="0.3">
      <c r="A44" s="25"/>
      <c r="B44" s="23" t="s">
        <v>997</v>
      </c>
      <c r="C44" s="5" t="s">
        <v>1055</v>
      </c>
      <c r="D44" s="6">
        <v>3.4432291666666668</v>
      </c>
      <c r="E44" s="6">
        <v>0.5385416666666667</v>
      </c>
      <c r="F44" s="6">
        <v>0.59114583333333337</v>
      </c>
      <c r="G44" s="6">
        <v>0.6088541666666667</v>
      </c>
      <c r="H44" s="6">
        <v>0.40156249999999999</v>
      </c>
      <c r="I44" s="6">
        <v>0.36822916666666666</v>
      </c>
      <c r="J44" s="6">
        <v>1.8411458333333333</v>
      </c>
      <c r="K44" s="6">
        <v>0.30937500000000001</v>
      </c>
      <c r="L44" s="6">
        <v>0.33750000000000002</v>
      </c>
      <c r="M44" s="6">
        <v>0.58750000000000002</v>
      </c>
      <c r="N44" s="6"/>
      <c r="O44" s="6"/>
      <c r="P44" s="6"/>
      <c r="Q44" s="6"/>
      <c r="R44" s="6"/>
      <c r="S44" s="7"/>
      <c r="T44" s="5" t="s">
        <v>32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x14ac:dyDescent="0.3">
      <c r="A45" s="25"/>
      <c r="B45" s="21" t="s">
        <v>998</v>
      </c>
      <c r="C45" s="3" t="s">
        <v>1056</v>
      </c>
      <c r="D45" s="4">
        <v>1690.6958594719113</v>
      </c>
      <c r="E45" s="4">
        <v>8340380.7513488196</v>
      </c>
      <c r="F45" s="4">
        <v>2422.6801250761082</v>
      </c>
      <c r="G45" s="4">
        <v>98007.375952075934</v>
      </c>
      <c r="H45" s="4">
        <v>16258.889054010144</v>
      </c>
      <c r="I45" s="4">
        <v>19774.410921867511</v>
      </c>
      <c r="J45" s="4">
        <v>1704.7863911709685</v>
      </c>
      <c r="K45" s="4">
        <v>16821.157425300487</v>
      </c>
      <c r="L45" s="4">
        <v>21266.190717231577</v>
      </c>
      <c r="M45" s="4">
        <v>71420.829085270889</v>
      </c>
      <c r="N45" s="4"/>
      <c r="O45" s="4"/>
      <c r="P45" s="4"/>
      <c r="Q45" s="4"/>
      <c r="R45" s="4"/>
      <c r="S45" s="2" t="s">
        <v>14</v>
      </c>
      <c r="T45" s="3" t="s">
        <v>30</v>
      </c>
      <c r="W45" s="1">
        <f t="shared" ref="W45" si="196">_xlfn.RANK.EQ(D45,$D45:$R45,1)</f>
        <v>2</v>
      </c>
      <c r="X45" s="1">
        <f t="shared" ref="X45" si="197">_xlfn.RANK.EQ(E45,$D45:$R45,1)</f>
        <v>6</v>
      </c>
      <c r="Y45" s="1">
        <f t="shared" ref="Y45" si="198">_xlfn.RANK.EQ(F45,$D45:$R45,1)</f>
        <v>1</v>
      </c>
      <c r="Z45" s="1">
        <f t="shared" ref="Z45" si="199">_xlfn.RANK.EQ(G45,$D45:$R45,1)</f>
        <v>7</v>
      </c>
      <c r="AA45" s="1">
        <f t="shared" ref="AA45" si="200">_xlfn.RANK.EQ(H45,$D45:$R45,1)</f>
        <v>9</v>
      </c>
      <c r="AB45" s="1">
        <f t="shared" ref="AB45" si="201">_xlfn.RANK.EQ(I45,$D45:$R45,1)</f>
        <v>5</v>
      </c>
      <c r="AC45" s="1">
        <f t="shared" ref="AC45" si="202">_xlfn.RANK.EQ(J45,$D45:$R45,1)</f>
        <v>8</v>
      </c>
      <c r="AD45" s="1">
        <f t="shared" ref="AD45" si="203">_xlfn.RANK.EQ(K45,$D45:$R45,1)</f>
        <v>3</v>
      </c>
      <c r="AE45" s="1">
        <f t="shared" ref="AE45" si="204">_xlfn.RANK.EQ(L45,$D45:$R45,1)</f>
        <v>4</v>
      </c>
      <c r="AF45" s="1" t="e">
        <f t="shared" ref="AF45" si="205">_xlfn.RANK.EQ(M45,$D45:$R45,1)</f>
        <v>#N/A</v>
      </c>
      <c r="AG45" s="1" t="e">
        <f t="shared" ref="AG45" si="206">_xlfn.RANK.EQ(N45,$D45:$R45,1)</f>
        <v>#N/A</v>
      </c>
      <c r="AH45" s="1" t="e">
        <f t="shared" ref="AH45" si="207">_xlfn.RANK.EQ(O45,$D45:$R45,1)</f>
        <v>#N/A</v>
      </c>
      <c r="AI45" s="1" t="e">
        <f t="shared" ref="AI45" si="208">_xlfn.RANK.EQ(P45,$D45:$R45,1)</f>
        <v>#N/A</v>
      </c>
      <c r="AJ45" s="1" t="e">
        <f t="shared" ref="AJ45" si="209">_xlfn.RANK.EQ(Q45,$D45:$R45,1)</f>
        <v>#N/A</v>
      </c>
      <c r="AK45" s="1" t="e">
        <f t="shared" ref="AK45" si="210">_xlfn.RANK.EQ(R45,$D45:$R45,1)</f>
        <v>#N/A</v>
      </c>
    </row>
    <row r="46" x14ac:dyDescent="0.3">
      <c r="A46" s="25"/>
      <c r="B46" s="22" t="s">
        <v>998</v>
      </c>
      <c r="C46" s="9" t="s">
        <v>1057</v>
      </c>
      <c r="D46" s="8">
        <v>26.009031657399486</v>
      </c>
      <c r="E46" s="8">
        <v>3541147.0438239402</v>
      </c>
      <c r="F46" s="8">
        <v>475.31203266310808</v>
      </c>
      <c r="G46" s="8">
        <v>68907.526449925252</v>
      </c>
      <c r="H46" s="8">
        <v>11128.259814896945</v>
      </c>
      <c r="I46" s="8">
        <v>14767.434308400359</v>
      </c>
      <c r="J46" s="8">
        <v>50.282804863285762</v>
      </c>
      <c r="K46" s="8">
        <v>19855.908044603322</v>
      </c>
      <c r="L46" s="8">
        <v>15714.505544332938</v>
      </c>
      <c r="M46" s="8">
        <v>47075.806228882269</v>
      </c>
      <c r="N46" s="8"/>
      <c r="O46" s="8"/>
      <c r="P46" s="8"/>
      <c r="Q46" s="8"/>
      <c r="R46" s="8"/>
      <c r="S46" s="15"/>
      <c r="T46" s="9" t="s">
        <v>31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x14ac:dyDescent="0.3">
      <c r="A47" s="25"/>
      <c r="B47" s="23" t="s">
        <v>998</v>
      </c>
      <c r="C47" s="5" t="s">
        <v>1058</v>
      </c>
      <c r="D47" s="6">
        <v>3.9750000000000001</v>
      </c>
      <c r="E47" s="6">
        <v>0.70156249999999998</v>
      </c>
      <c r="F47" s="6">
        <v>0.67708333333333337</v>
      </c>
      <c r="G47" s="6">
        <v>0.61875000000000002</v>
      </c>
      <c r="H47" s="6">
        <v>0.42864583333333334</v>
      </c>
      <c r="I47" s="6">
        <v>0.39531250000000001</v>
      </c>
      <c r="J47" s="6">
        <v>1.8515625</v>
      </c>
      <c r="K47" s="6">
        <v>0.34270833333333334</v>
      </c>
      <c r="L47" s="6">
        <v>0.37031249999999999</v>
      </c>
      <c r="M47" s="6">
        <v>0.63072916666666667</v>
      </c>
      <c r="N47" s="6"/>
      <c r="O47" s="6"/>
      <c r="P47" s="6"/>
      <c r="Q47" s="6"/>
      <c r="R47" s="6"/>
      <c r="S47" s="7"/>
      <c r="T47" s="5" t="s">
        <v>32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x14ac:dyDescent="0.3">
      <c r="A48" s="25"/>
      <c r="B48" s="21" t="s">
        <v>999</v>
      </c>
      <c r="C48" s="3" t="s">
        <v>1059</v>
      </c>
      <c r="D48" s="4">
        <v>1645.7255593119894</v>
      </c>
      <c r="E48" s="4">
        <v>1647.4587846314032</v>
      </c>
      <c r="F48" s="4">
        <v>1646.7449191450569</v>
      </c>
      <c r="G48" s="4">
        <v>1646.490675147011</v>
      </c>
      <c r="H48" s="4">
        <v>1646.9814738472282</v>
      </c>
      <c r="I48" s="4">
        <v>1643.4884125957362</v>
      </c>
      <c r="J48" s="4">
        <v>1645.6682723996896</v>
      </c>
      <c r="K48" s="4">
        <v>1647.6348393390351</v>
      </c>
      <c r="L48" s="4">
        <v>1643.661691053439</v>
      </c>
      <c r="M48" s="4">
        <v>1646.4384740020132</v>
      </c>
      <c r="N48" s="4"/>
      <c r="O48" s="4"/>
      <c r="P48" s="4"/>
      <c r="Q48" s="4"/>
      <c r="R48" s="4"/>
      <c r="S48" s="2" t="s">
        <v>15</v>
      </c>
      <c r="T48" s="3" t="s">
        <v>30</v>
      </c>
      <c r="W48" s="1">
        <f t="shared" ref="W48" si="211">_xlfn.RANK.EQ(D48,$D48:$R48,1)</f>
        <v>1</v>
      </c>
      <c r="X48" s="1">
        <f t="shared" ref="X48" si="212">_xlfn.RANK.EQ(E48,$D48:$R48,1)</f>
        <v>4</v>
      </c>
      <c r="Y48" s="1">
        <f t="shared" ref="Y48" si="213">_xlfn.RANK.EQ(F48,$D48:$R48,1)</f>
        <v>5</v>
      </c>
      <c r="Z48" s="1">
        <f t="shared" ref="Z48" si="214">_xlfn.RANK.EQ(G48,$D48:$R48,1)</f>
        <v>9</v>
      </c>
      <c r="AA48" s="1">
        <f t="shared" ref="AA48" si="215">_xlfn.RANK.EQ(H48,$D48:$R48,1)</f>
        <v>8</v>
      </c>
      <c r="AB48" s="1">
        <f t="shared" ref="AB48" si="216">_xlfn.RANK.EQ(I48,$D48:$R48,1)</f>
        <v>3</v>
      </c>
      <c r="AC48" s="1">
        <f t="shared" ref="AC48" si="217">_xlfn.RANK.EQ(J48,$D48:$R48,1)</f>
        <v>6</v>
      </c>
      <c r="AD48" s="1">
        <f t="shared" ref="AD48" si="218">_xlfn.RANK.EQ(K48,$D48:$R48,1)</f>
        <v>7</v>
      </c>
      <c r="AE48" s="1">
        <f t="shared" ref="AE48" si="219">_xlfn.RANK.EQ(L48,$D48:$R48,1)</f>
        <v>2</v>
      </c>
      <c r="AF48" s="1" t="e">
        <f t="shared" ref="AF48" si="220">_xlfn.RANK.EQ(M48,$D48:$R48,1)</f>
        <v>#N/A</v>
      </c>
      <c r="AG48" s="1" t="e">
        <f t="shared" ref="AG48" si="221">_xlfn.RANK.EQ(N48,$D48:$R48,1)</f>
        <v>#N/A</v>
      </c>
      <c r="AH48" s="1" t="e">
        <f t="shared" ref="AH48" si="222">_xlfn.RANK.EQ(O48,$D48:$R48,1)</f>
        <v>#N/A</v>
      </c>
      <c r="AI48" s="1" t="e">
        <f t="shared" ref="AI48" si="223">_xlfn.RANK.EQ(P48,$D48:$R48,1)</f>
        <v>#N/A</v>
      </c>
      <c r="AJ48" s="1" t="e">
        <f t="shared" ref="AJ48" si="224">_xlfn.RANK.EQ(Q48,$D48:$R48,1)</f>
        <v>#N/A</v>
      </c>
      <c r="AK48" s="1" t="e">
        <f t="shared" ref="AK48" si="225">_xlfn.RANK.EQ(R48,$D48:$R48,1)</f>
        <v>#N/A</v>
      </c>
    </row>
    <row r="49" x14ac:dyDescent="0.3">
      <c r="A49" s="25"/>
      <c r="B49" s="22" t="s">
        <v>999</v>
      </c>
      <c r="C49" s="9" t="s">
        <v>1060</v>
      </c>
      <c r="D49" s="8">
        <v>0.60857851641943639</v>
      </c>
      <c r="E49" s="8">
        <v>0.22952058117148982</v>
      </c>
      <c r="F49" s="8">
        <v>0.51882767821190867</v>
      </c>
      <c r="G49" s="8">
        <v>0.58620508394515136</v>
      </c>
      <c r="H49" s="8">
        <v>0.45819167380612585</v>
      </c>
      <c r="I49" s="8">
        <v>0.80610634024037764</v>
      </c>
      <c r="J49" s="8">
        <v>1.1463395510859802</v>
      </c>
      <c r="K49" s="8">
        <v>0.19929384324302821</v>
      </c>
      <c r="L49" s="8">
        <v>0.57903265052010988</v>
      </c>
      <c r="M49" s="8">
        <v>0.63941114643734887</v>
      </c>
      <c r="N49" s="8"/>
      <c r="O49" s="8"/>
      <c r="P49" s="8"/>
      <c r="Q49" s="8"/>
      <c r="R49" s="8"/>
      <c r="S49" s="15"/>
      <c r="T49" s="9" t="s">
        <v>31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x14ac:dyDescent="0.3">
      <c r="A50" s="27"/>
      <c r="B50" s="23" t="s">
        <v>999</v>
      </c>
      <c r="C50" s="5" t="s">
        <v>1061</v>
      </c>
      <c r="D50" s="6">
        <v>4.1463541666666668</v>
      </c>
      <c r="E50" s="6">
        <v>0.67500000000000004</v>
      </c>
      <c r="F50" s="6">
        <v>0.68593749999999998</v>
      </c>
      <c r="G50" s="6">
        <v>0.65364583333333337</v>
      </c>
      <c r="H50" s="6">
        <v>0.43645833333333334</v>
      </c>
      <c r="I50" s="6">
        <v>0.37812499999999999</v>
      </c>
      <c r="J50" s="6">
        <v>1.8692708333333334</v>
      </c>
      <c r="K50" s="6">
        <v>0.37968750000000001</v>
      </c>
      <c r="L50" s="6">
        <v>0.37760416666666669</v>
      </c>
      <c r="M50" s="6">
        <v>0.6255208333333333</v>
      </c>
      <c r="N50" s="6"/>
      <c r="O50" s="6"/>
      <c r="P50" s="6"/>
      <c r="Q50" s="6"/>
      <c r="R50" s="6"/>
      <c r="S50" s="7"/>
      <c r="T50" s="5" t="s">
        <v>32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4" customHeight="true" x14ac:dyDescent="0.3">
      <c r="A51" s="28" t="s">
        <v>36</v>
      </c>
      <c r="B51" s="21" t="s">
        <v>1000</v>
      </c>
      <c r="C51" s="3" t="s">
        <v>1062</v>
      </c>
      <c r="D51" s="4">
        <v>18588236.712912194</v>
      </c>
      <c r="E51" s="4">
        <v>702114558.33987999</v>
      </c>
      <c r="F51" s="4">
        <v>51391597.693890408</v>
      </c>
      <c r="G51" s="4">
        <v>73377540.830392152</v>
      </c>
      <c r="H51" s="4">
        <v>79364626.307849437</v>
      </c>
      <c r="I51" s="4">
        <v>123929276.94136572</v>
      </c>
      <c r="J51" s="4">
        <v>26967464.406480856</v>
      </c>
      <c r="K51" s="4">
        <v>17356950.741602857</v>
      </c>
      <c r="L51" s="4">
        <v>121928556.68889906</v>
      </c>
      <c r="M51" s="4">
        <v>76375364.44496578</v>
      </c>
      <c r="N51" s="4"/>
      <c r="O51" s="4"/>
      <c r="P51" s="4"/>
      <c r="Q51" s="4"/>
      <c r="R51" s="4"/>
      <c r="S51" s="2" t="s">
        <v>16</v>
      </c>
      <c r="T51" s="3" t="s">
        <v>30</v>
      </c>
      <c r="W51" s="1">
        <f t="shared" ref="W51" si="226">_xlfn.RANK.EQ(D51,$D51:$R51,1)</f>
        <v>1</v>
      </c>
      <c r="X51" s="1">
        <f t="shared" ref="X51" si="227">_xlfn.RANK.EQ(E51,$D51:$R51,1)</f>
        <v>3</v>
      </c>
      <c r="Y51" s="1">
        <f t="shared" ref="Y51" si="228">_xlfn.RANK.EQ(F51,$D51:$R51,1)</f>
        <v>2</v>
      </c>
      <c r="Z51" s="1">
        <f t="shared" ref="Z51" si="229">_xlfn.RANK.EQ(G51,$D51:$R51,1)</f>
        <v>7</v>
      </c>
      <c r="AA51" s="1">
        <f t="shared" ref="AA51" si="230">_xlfn.RANK.EQ(H51,$D51:$R51,1)</f>
        <v>8</v>
      </c>
      <c r="AB51" s="1">
        <f t="shared" ref="AB51" si="231">_xlfn.RANK.EQ(I51,$D51:$R51,1)</f>
        <v>4</v>
      </c>
      <c r="AC51" s="1">
        <f t="shared" ref="AC51" si="232">_xlfn.RANK.EQ(J51,$D51:$R51,1)</f>
        <v>9</v>
      </c>
      <c r="AD51" s="1">
        <f t="shared" ref="AD51" si="233">_xlfn.RANK.EQ(K51,$D51:$R51,1)</f>
        <v>5</v>
      </c>
      <c r="AE51" s="1">
        <f t="shared" ref="AE51" si="234">_xlfn.RANK.EQ(L51,$D51:$R51,1)</f>
        <v>6</v>
      </c>
      <c r="AF51" s="1" t="e">
        <f t="shared" ref="AF51" si="235">_xlfn.RANK.EQ(M51,$D51:$R51,1)</f>
        <v>#N/A</v>
      </c>
      <c r="AG51" s="1" t="e">
        <f t="shared" ref="AG51" si="236">_xlfn.RANK.EQ(N51,$D51:$R51,1)</f>
        <v>#N/A</v>
      </c>
      <c r="AH51" s="1" t="e">
        <f t="shared" ref="AH51" si="237">_xlfn.RANK.EQ(O51,$D51:$R51,1)</f>
        <v>#N/A</v>
      </c>
      <c r="AI51" s="1" t="e">
        <f t="shared" ref="AI51" si="238">_xlfn.RANK.EQ(P51,$D51:$R51,1)</f>
        <v>#N/A</v>
      </c>
      <c r="AJ51" s="1" t="e">
        <f t="shared" ref="AJ51" si="239">_xlfn.RANK.EQ(Q51,$D51:$R51,1)</f>
        <v>#N/A</v>
      </c>
      <c r="AK51" s="1" t="e">
        <f t="shared" ref="AK51" si="240">_xlfn.RANK.EQ(R51,$D51:$R51,1)</f>
        <v>#N/A</v>
      </c>
    </row>
    <row r="52" x14ac:dyDescent="0.3">
      <c r="A52" s="25"/>
      <c r="B52" s="22" t="s">
        <v>1000</v>
      </c>
      <c r="C52" s="9" t="s">
        <v>1063</v>
      </c>
      <c r="D52" s="8">
        <v>4566842.6358699696</v>
      </c>
      <c r="E52" s="8">
        <v>256303795.11239418</v>
      </c>
      <c r="F52" s="8">
        <v>18577842.912049249</v>
      </c>
      <c r="G52" s="8">
        <v>29171386.324891273</v>
      </c>
      <c r="H52" s="8">
        <v>34176237.556642555</v>
      </c>
      <c r="I52" s="8">
        <v>55079480.593460001</v>
      </c>
      <c r="J52" s="8">
        <v>8362008.7984568039</v>
      </c>
      <c r="K52" s="8">
        <v>9015396.0643932447</v>
      </c>
      <c r="L52" s="8">
        <v>39126785.617749378</v>
      </c>
      <c r="M52" s="8">
        <v>34814337.169278182</v>
      </c>
      <c r="N52" s="8"/>
      <c r="O52" s="8"/>
      <c r="P52" s="8"/>
      <c r="Q52" s="8"/>
      <c r="R52" s="8"/>
      <c r="S52" s="15"/>
      <c r="T52" s="9" t="s">
        <v>31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x14ac:dyDescent="0.3">
      <c r="A53" s="25"/>
      <c r="B53" s="23" t="s">
        <v>1000</v>
      </c>
      <c r="C53" s="5" t="s">
        <v>1064</v>
      </c>
      <c r="D53" s="6">
        <v>4.5880208333333332</v>
      </c>
      <c r="E53" s="6">
        <v>0.81770833333333337</v>
      </c>
      <c r="F53" s="6">
        <v>0.7807291666666667</v>
      </c>
      <c r="G53" s="6">
        <v>0.66145833333333337</v>
      </c>
      <c r="H53" s="6">
        <v>0.48177083333333331</v>
      </c>
      <c r="I53" s="6">
        <v>0.44687500000000002</v>
      </c>
      <c r="J53" s="6">
        <v>2.0526041666666668</v>
      </c>
      <c r="K53" s="6">
        <v>0.40520833333333334</v>
      </c>
      <c r="L53" s="6">
        <v>0.42031249999999998</v>
      </c>
      <c r="M53" s="6">
        <v>0.66874999999999996</v>
      </c>
      <c r="N53" s="6"/>
      <c r="O53" s="6"/>
      <c r="P53" s="6"/>
      <c r="Q53" s="6"/>
      <c r="R53" s="6"/>
      <c r="S53" s="7"/>
      <c r="T53" s="5" t="s">
        <v>32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x14ac:dyDescent="0.3">
      <c r="A54" s="25"/>
      <c r="B54" s="21" t="s">
        <v>1001</v>
      </c>
      <c r="C54" s="3" t="s">
        <v>1065</v>
      </c>
      <c r="D54" s="4">
        <v>13339901.069750989</v>
      </c>
      <c r="E54" s="4">
        <v>21272374466.231529</v>
      </c>
      <c r="F54" s="4">
        <v>26180334.017766047</v>
      </c>
      <c r="G54" s="4">
        <v>1530109705.9410071</v>
      </c>
      <c r="H54" s="4">
        <v>9972384.5577817746</v>
      </c>
      <c r="I54" s="4">
        <v>131249684.87785952</v>
      </c>
      <c r="J54" s="4">
        <v>799529.14711796015</v>
      </c>
      <c r="K54" s="4">
        <v>22924628.391685352</v>
      </c>
      <c r="L54" s="4">
        <v>130216558.62843415</v>
      </c>
      <c r="M54" s="4">
        <v>1392129338.5814474</v>
      </c>
      <c r="N54" s="4"/>
      <c r="O54" s="4"/>
      <c r="P54" s="4"/>
      <c r="Q54" s="4"/>
      <c r="R54" s="4"/>
      <c r="S54" s="2" t="s">
        <v>17</v>
      </c>
      <c r="T54" s="3" t="s">
        <v>30</v>
      </c>
      <c r="W54" s="1">
        <f t="shared" ref="W54" si="241">_xlfn.RANK.EQ(D54,$D54:$R54,1)</f>
        <v>1</v>
      </c>
      <c r="X54" s="1">
        <f t="shared" ref="X54" si="242">_xlfn.RANK.EQ(E54,$D54:$R54,1)</f>
        <v>4</v>
      </c>
      <c r="Y54" s="1">
        <f t="shared" ref="Y54" si="243">_xlfn.RANK.EQ(F54,$D54:$R54,1)</f>
        <v>2</v>
      </c>
      <c r="Z54" s="1">
        <f t="shared" ref="Z54" si="244">_xlfn.RANK.EQ(G54,$D54:$R54,1)</f>
        <v>7</v>
      </c>
      <c r="AA54" s="1">
        <f t="shared" ref="AA54" si="245">_xlfn.RANK.EQ(H54,$D54:$R54,1)</f>
        <v>8</v>
      </c>
      <c r="AB54" s="1">
        <f t="shared" ref="AB54" si="246">_xlfn.RANK.EQ(I54,$D54:$R54,1)</f>
        <v>3</v>
      </c>
      <c r="AC54" s="1">
        <f t="shared" ref="AC54" si="247">_xlfn.RANK.EQ(J54,$D54:$R54,1)</f>
        <v>9</v>
      </c>
      <c r="AD54" s="1">
        <f t="shared" ref="AD54" si="248">_xlfn.RANK.EQ(K54,$D54:$R54,1)</f>
        <v>5</v>
      </c>
      <c r="AE54" s="1">
        <f t="shared" ref="AE54" si="249">_xlfn.RANK.EQ(L54,$D54:$R54,1)</f>
        <v>6</v>
      </c>
      <c r="AF54" s="1" t="e">
        <f t="shared" ref="AF54" si="250">_xlfn.RANK.EQ(M54,$D54:$R54,1)</f>
        <v>#N/A</v>
      </c>
      <c r="AG54" s="1" t="e">
        <f t="shared" ref="AG54" si="251">_xlfn.RANK.EQ(N54,$D54:$R54,1)</f>
        <v>#N/A</v>
      </c>
      <c r="AH54" s="1" t="e">
        <f t="shared" ref="AH54" si="252">_xlfn.RANK.EQ(O54,$D54:$R54,1)</f>
        <v>#N/A</v>
      </c>
      <c r="AI54" s="1" t="e">
        <f t="shared" ref="AI54" si="253">_xlfn.RANK.EQ(P54,$D54:$R54,1)</f>
        <v>#N/A</v>
      </c>
      <c r="AJ54" s="1" t="e">
        <f t="shared" ref="AJ54" si="254">_xlfn.RANK.EQ(Q54,$D54:$R54,1)</f>
        <v>#N/A</v>
      </c>
      <c r="AK54" s="1" t="e">
        <f t="shared" ref="AK54" si="255">_xlfn.RANK.EQ(R54,$D54:$R54,1)</f>
        <v>#N/A</v>
      </c>
    </row>
    <row r="55" x14ac:dyDescent="0.3">
      <c r="A55" s="25"/>
      <c r="B55" s="22" t="s">
        <v>1001</v>
      </c>
      <c r="C55" s="9" t="s">
        <v>1066</v>
      </c>
      <c r="D55" s="8">
        <v>18006883.012173083</v>
      </c>
      <c r="E55" s="8">
        <v>5139913456.5270147</v>
      </c>
      <c r="F55" s="8">
        <v>17929885.82864853</v>
      </c>
      <c r="G55" s="8">
        <v>1297702726.0453353</v>
      </c>
      <c r="H55" s="8">
        <v>31609169.340297446</v>
      </c>
      <c r="I55" s="8">
        <v>39803567.059888229</v>
      </c>
      <c r="J55" s="8">
        <v>3606422.9485011026</v>
      </c>
      <c r="K55" s="8">
        <v>102554901.64101976</v>
      </c>
      <c r="L55" s="8">
        <v>40640073.440781526</v>
      </c>
      <c r="M55" s="8">
        <v>1234032982.9343455</v>
      </c>
      <c r="N55" s="8"/>
      <c r="O55" s="8"/>
      <c r="P55" s="8"/>
      <c r="Q55" s="8"/>
      <c r="R55" s="8"/>
      <c r="S55" s="15"/>
      <c r="T55" s="9" t="s">
        <v>31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x14ac:dyDescent="0.3">
      <c r="A56" s="25"/>
      <c r="B56" s="23" t="s">
        <v>1001</v>
      </c>
      <c r="C56" s="5" t="s">
        <v>1067</v>
      </c>
      <c r="D56" s="6">
        <v>3.6812499999999999</v>
      </c>
      <c r="E56" s="6">
        <v>0.61197916666666663</v>
      </c>
      <c r="F56" s="6">
        <v>0.61927083333333333</v>
      </c>
      <c r="G56" s="6">
        <v>0.62083333333333335</v>
      </c>
      <c r="H56" s="6">
        <v>0.42864583333333334</v>
      </c>
      <c r="I56" s="6">
        <v>0.40677083333333336</v>
      </c>
      <c r="J56" s="6">
        <v>1.7947916666666666</v>
      </c>
      <c r="K56" s="6">
        <v>0.33333333333333331</v>
      </c>
      <c r="L56" s="6">
        <v>0.38697916666666665</v>
      </c>
      <c r="M56" s="6">
        <v>0.6322916666666667</v>
      </c>
      <c r="N56" s="6"/>
      <c r="O56" s="6"/>
      <c r="P56" s="6"/>
      <c r="Q56" s="6"/>
      <c r="R56" s="6"/>
      <c r="S56" s="7"/>
      <c r="T56" s="5" t="s">
        <v>32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x14ac:dyDescent="0.3">
      <c r="A57" s="25"/>
      <c r="B57" s="21" t="s">
        <v>1002</v>
      </c>
      <c r="C57" s="3" t="s">
        <v>1068</v>
      </c>
      <c r="D57" s="4">
        <v>2068.4904765639685</v>
      </c>
      <c r="E57" s="4">
        <v>5819.433955863341</v>
      </c>
      <c r="F57" s="4">
        <v>2147.885637141565</v>
      </c>
      <c r="G57" s="4">
        <v>2396.5028503456838</v>
      </c>
      <c r="H57" s="4">
        <v>2152.2754014260431</v>
      </c>
      <c r="I57" s="4">
        <v>2159.5857048213602</v>
      </c>
      <c r="J57" s="4">
        <v>2069.1576004402536</v>
      </c>
      <c r="K57" s="4">
        <v>2082.4757211977358</v>
      </c>
      <c r="L57" s="4">
        <v>2156.8437713331614</v>
      </c>
      <c r="M57" s="4">
        <v>2470.0955621161411</v>
      </c>
      <c r="N57" s="4"/>
      <c r="O57" s="4"/>
      <c r="P57" s="4"/>
      <c r="Q57" s="4"/>
      <c r="R57" s="4"/>
      <c r="S57" s="2" t="s">
        <v>18</v>
      </c>
      <c r="T57" s="3" t="s">
        <v>30</v>
      </c>
      <c r="W57" s="1">
        <f t="shared" ref="W57" si="256">_xlfn.RANK.EQ(D57,$D57:$R57,1)</f>
        <v>1</v>
      </c>
      <c r="X57" s="1">
        <f t="shared" ref="X57" si="257">_xlfn.RANK.EQ(E57,$D57:$R57,1)</f>
        <v>4</v>
      </c>
      <c r="Y57" s="1">
        <f t="shared" ref="Y57" si="258">_xlfn.RANK.EQ(F57,$D57:$R57,1)</f>
        <v>2</v>
      </c>
      <c r="Z57" s="1">
        <f t="shared" ref="Z57" si="259">_xlfn.RANK.EQ(G57,$D57:$R57,1)</f>
        <v>7</v>
      </c>
      <c r="AA57" s="1">
        <f t="shared" ref="AA57" si="260">_xlfn.RANK.EQ(H57,$D57:$R57,1)</f>
        <v>8</v>
      </c>
      <c r="AB57" s="1">
        <f t="shared" ref="AB57" si="261">_xlfn.RANK.EQ(I57,$D57:$R57,1)</f>
        <v>6</v>
      </c>
      <c r="AC57" s="1">
        <f t="shared" ref="AC57" si="262">_xlfn.RANK.EQ(J57,$D57:$R57,1)</f>
        <v>9</v>
      </c>
      <c r="AD57" s="1">
        <f t="shared" ref="AD57" si="263">_xlfn.RANK.EQ(K57,$D57:$R57,1)</f>
        <v>3</v>
      </c>
      <c r="AE57" s="1">
        <f t="shared" ref="AE57" si="264">_xlfn.RANK.EQ(L57,$D57:$R57,1)</f>
        <v>5</v>
      </c>
      <c r="AF57" s="1" t="e">
        <f t="shared" ref="AF57" si="265">_xlfn.RANK.EQ(M57,$D57:$R57,1)</f>
        <v>#N/A</v>
      </c>
      <c r="AG57" s="1" t="e">
        <f t="shared" ref="AG57" si="266">_xlfn.RANK.EQ(N57,$D57:$R57,1)</f>
        <v>#N/A</v>
      </c>
      <c r="AH57" s="1" t="e">
        <f t="shared" ref="AH57" si="267">_xlfn.RANK.EQ(O57,$D57:$R57,1)</f>
        <v>#N/A</v>
      </c>
      <c r="AI57" s="1" t="e">
        <f t="shared" ref="AI57" si="268">_xlfn.RANK.EQ(P57,$D57:$R57,1)</f>
        <v>#N/A</v>
      </c>
      <c r="AJ57" s="1" t="e">
        <f t="shared" ref="AJ57" si="269">_xlfn.RANK.EQ(Q57,$D57:$R57,1)</f>
        <v>#N/A</v>
      </c>
      <c r="AK57" s="1" t="e">
        <f t="shared" ref="AK57" si="270">_xlfn.RANK.EQ(R57,$D57:$R57,1)</f>
        <v>#N/A</v>
      </c>
    </row>
    <row r="58" x14ac:dyDescent="0.3">
      <c r="A58" s="25"/>
      <c r="B58" s="22" t="s">
        <v>1002</v>
      </c>
      <c r="C58" s="9" t="s">
        <v>1069</v>
      </c>
      <c r="D58" s="8">
        <v>38.689757144121515</v>
      </c>
      <c r="E58" s="8">
        <v>1189.7282182011895</v>
      </c>
      <c r="F58" s="8">
        <v>47.606680481049843</v>
      </c>
      <c r="G58" s="8">
        <v>115.54154499402924</v>
      </c>
      <c r="H58" s="8">
        <v>44.129865049066417</v>
      </c>
      <c r="I58" s="8">
        <v>58.492199602022886</v>
      </c>
      <c r="J58" s="8">
        <v>33.358031949808236</v>
      </c>
      <c r="K58" s="8">
        <v>60.249662861525636</v>
      </c>
      <c r="L58" s="8">
        <v>56.3758676944624</v>
      </c>
      <c r="M58" s="8">
        <v>172.31556332155171</v>
      </c>
      <c r="N58" s="8"/>
      <c r="O58" s="8"/>
      <c r="P58" s="8"/>
      <c r="Q58" s="8"/>
      <c r="R58" s="8"/>
      <c r="S58" s="15"/>
      <c r="T58" s="9" t="s">
        <v>31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x14ac:dyDescent="0.3">
      <c r="A59" s="25"/>
      <c r="B59" s="23" t="s">
        <v>1002</v>
      </c>
      <c r="C59" s="5" t="s">
        <v>1070</v>
      </c>
      <c r="D59" s="6">
        <v>13.817187499999999</v>
      </c>
      <c r="E59" s="6">
        <v>3.1838541666666669</v>
      </c>
      <c r="F59" s="6">
        <v>2.0687500000000001</v>
      </c>
      <c r="G59" s="6">
        <v>1.2234375</v>
      </c>
      <c r="H59" s="6">
        <v>1.0411458333333334</v>
      </c>
      <c r="I59" s="6">
        <v>0.95833333333333337</v>
      </c>
      <c r="J59" s="6">
        <v>2.5822916666666669</v>
      </c>
      <c r="K59" s="6">
        <v>1.0244791666666666</v>
      </c>
      <c r="L59" s="6">
        <v>1.0432291666666667</v>
      </c>
      <c r="M59" s="6">
        <v>1.2578125</v>
      </c>
      <c r="N59" s="6"/>
      <c r="O59" s="6"/>
      <c r="P59" s="6"/>
      <c r="Q59" s="6"/>
      <c r="R59" s="6"/>
      <c r="S59" s="7"/>
      <c r="T59" s="5" t="s">
        <v>32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x14ac:dyDescent="0.3">
      <c r="A60" s="25"/>
      <c r="B60" s="21" t="s">
        <v>1003</v>
      </c>
      <c r="C60" s="3" t="s">
        <v>1071</v>
      </c>
      <c r="D60" s="4">
        <v>33168.897666551144</v>
      </c>
      <c r="E60" s="4">
        <v>1052649.9349435202</v>
      </c>
      <c r="F60" s="4">
        <v>161539.686133715</v>
      </c>
      <c r="G60" s="4">
        <v>179460.66240449701</v>
      </c>
      <c r="H60" s="4">
        <v>281020.6959866219</v>
      </c>
      <c r="I60" s="4">
        <v>258835.21881674704</v>
      </c>
      <c r="J60" s="4">
        <v>143965.16078003618</v>
      </c>
      <c r="K60" s="4">
        <v>108160.93159018301</v>
      </c>
      <c r="L60" s="4">
        <v>222094.13856404583</v>
      </c>
      <c r="M60" s="4">
        <v>160375.61010497223</v>
      </c>
      <c r="N60" s="4"/>
      <c r="O60" s="4"/>
      <c r="P60" s="4"/>
      <c r="Q60" s="4"/>
      <c r="R60" s="4"/>
      <c r="S60" s="2" t="s">
        <v>19</v>
      </c>
      <c r="T60" s="3" t="s">
        <v>30</v>
      </c>
      <c r="W60" s="1">
        <f t="shared" ref="W60" si="271">_xlfn.RANK.EQ(D60,$D60:$R60,1)</f>
        <v>1</v>
      </c>
      <c r="X60" s="1">
        <f t="shared" ref="X60" si="272">_xlfn.RANK.EQ(E60,$D60:$R60,1)</f>
        <v>3</v>
      </c>
      <c r="Y60" s="1">
        <f t="shared" ref="Y60" si="273">_xlfn.RANK.EQ(F60,$D60:$R60,1)</f>
        <v>2</v>
      </c>
      <c r="Z60" s="1">
        <f t="shared" ref="Z60" si="274">_xlfn.RANK.EQ(G60,$D60:$R60,1)</f>
        <v>7</v>
      </c>
      <c r="AA60" s="1">
        <f t="shared" ref="AA60" si="275">_xlfn.RANK.EQ(H60,$D60:$R60,1)</f>
        <v>9</v>
      </c>
      <c r="AB60" s="1">
        <f t="shared" ref="AB60" si="276">_xlfn.RANK.EQ(I60,$D60:$R60,1)</f>
        <v>6</v>
      </c>
      <c r="AC60" s="1">
        <f t="shared" ref="AC60" si="277">_xlfn.RANK.EQ(J60,$D60:$R60,1)</f>
        <v>8</v>
      </c>
      <c r="AD60" s="1">
        <f t="shared" ref="AD60" si="278">_xlfn.RANK.EQ(K60,$D60:$R60,1)</f>
        <v>5</v>
      </c>
      <c r="AE60" s="1">
        <f t="shared" ref="AE60" si="279">_xlfn.RANK.EQ(L60,$D60:$R60,1)</f>
        <v>4</v>
      </c>
      <c r="AF60" s="1" t="e">
        <f t="shared" ref="AF60" si="280">_xlfn.RANK.EQ(M60,$D60:$R60,1)</f>
        <v>#N/A</v>
      </c>
      <c r="AG60" s="1" t="e">
        <f t="shared" ref="AG60" si="281">_xlfn.RANK.EQ(N60,$D60:$R60,1)</f>
        <v>#N/A</v>
      </c>
      <c r="AH60" s="1" t="e">
        <f t="shared" ref="AH60" si="282">_xlfn.RANK.EQ(O60,$D60:$R60,1)</f>
        <v>#N/A</v>
      </c>
      <c r="AI60" s="1" t="e">
        <f t="shared" ref="AI60" si="283">_xlfn.RANK.EQ(P60,$D60:$R60,1)</f>
        <v>#N/A</v>
      </c>
      <c r="AJ60" s="1" t="e">
        <f t="shared" ref="AJ60" si="284">_xlfn.RANK.EQ(Q60,$D60:$R60,1)</f>
        <v>#N/A</v>
      </c>
      <c r="AK60" s="1" t="e">
        <f t="shared" ref="AK60" si="285">_xlfn.RANK.EQ(R60,$D60:$R60,1)</f>
        <v>#N/A</v>
      </c>
    </row>
    <row r="61" x14ac:dyDescent="0.3">
      <c r="A61" s="25"/>
      <c r="B61" s="22" t="s">
        <v>1003</v>
      </c>
      <c r="C61" s="9" t="s">
        <v>1072</v>
      </c>
      <c r="D61" s="8">
        <v>11371.940985416797</v>
      </c>
      <c r="E61" s="8">
        <v>346068.7834580245</v>
      </c>
      <c r="F61" s="8">
        <v>28974.790406953765</v>
      </c>
      <c r="G61" s="8">
        <v>62245.481057653298</v>
      </c>
      <c r="H61" s="8">
        <v>90827.212323960324</v>
      </c>
      <c r="I61" s="8">
        <v>85081.631333423691</v>
      </c>
      <c r="J61" s="8">
        <v>41765.357495898548</v>
      </c>
      <c r="K61" s="8">
        <v>31288.439369460324</v>
      </c>
      <c r="L61" s="8">
        <v>63690.32446057324</v>
      </c>
      <c r="M61" s="8">
        <v>39511.308112595529</v>
      </c>
      <c r="N61" s="8"/>
      <c r="O61" s="8"/>
      <c r="P61" s="8"/>
      <c r="Q61" s="8"/>
      <c r="R61" s="8"/>
      <c r="S61" s="15"/>
      <c r="T61" s="9" t="s">
        <v>31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x14ac:dyDescent="0.3">
      <c r="A62" s="25"/>
      <c r="B62" s="23" t="s">
        <v>1003</v>
      </c>
      <c r="C62" s="5" t="s">
        <v>1073</v>
      </c>
      <c r="D62" s="6">
        <v>3.8572916666666668</v>
      </c>
      <c r="E62" s="6">
        <v>0.61458333333333337</v>
      </c>
      <c r="F62" s="6">
        <v>0.68593749999999998</v>
      </c>
      <c r="G62" s="6">
        <v>0.6401041666666667</v>
      </c>
      <c r="H62" s="6">
        <v>0.4296875</v>
      </c>
      <c r="I62" s="6">
        <v>0.36302083333333335</v>
      </c>
      <c r="J62" s="6">
        <v>2.0473958333333333</v>
      </c>
      <c r="K62" s="6">
        <v>0.33750000000000002</v>
      </c>
      <c r="L62" s="6">
        <v>0.36041666666666666</v>
      </c>
      <c r="M62" s="6">
        <v>0.63020833333333337</v>
      </c>
      <c r="N62" s="6"/>
      <c r="O62" s="6"/>
      <c r="P62" s="6"/>
      <c r="Q62" s="6"/>
      <c r="R62" s="6"/>
      <c r="S62" s="7"/>
      <c r="T62" s="5" t="s">
        <v>32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x14ac:dyDescent="0.3">
      <c r="A63" s="25"/>
      <c r="B63" s="21" t="s">
        <v>1004</v>
      </c>
      <c r="C63" s="3" t="s">
        <v>1074</v>
      </c>
      <c r="D63" s="4">
        <v>8126485.0443044351</v>
      </c>
      <c r="E63" s="4">
        <v>223243265.85808641</v>
      </c>
      <c r="F63" s="4">
        <v>16945656.828871708</v>
      </c>
      <c r="G63" s="4">
        <v>35625396.204046905</v>
      </c>
      <c r="H63" s="4">
        <v>32850008.092908181</v>
      </c>
      <c r="I63" s="4">
        <v>76058045.724139497</v>
      </c>
      <c r="J63" s="4">
        <v>10679915.370592361</v>
      </c>
      <c r="K63" s="4">
        <v>7622791.3627789011</v>
      </c>
      <c r="L63" s="4">
        <v>76981297.323112771</v>
      </c>
      <c r="M63" s="4">
        <v>27873980.036608048</v>
      </c>
      <c r="N63" s="4"/>
      <c r="O63" s="4"/>
      <c r="P63" s="4"/>
      <c r="Q63" s="4"/>
      <c r="R63" s="4"/>
      <c r="S63" s="2" t="s">
        <v>20</v>
      </c>
      <c r="T63" s="3" t="s">
        <v>30</v>
      </c>
      <c r="W63" s="1">
        <f t="shared" ref="W63" si="286">_xlfn.RANK.EQ(D63,$D63:$R63,1)</f>
        <v>1</v>
      </c>
      <c r="X63" s="1">
        <f t="shared" ref="X63" si="287">_xlfn.RANK.EQ(E63,$D63:$R63,1)</f>
        <v>3</v>
      </c>
      <c r="Y63" s="1">
        <f t="shared" ref="Y63" si="288">_xlfn.RANK.EQ(F63,$D63:$R63,1)</f>
        <v>2</v>
      </c>
      <c r="Z63" s="1">
        <f t="shared" ref="Z63" si="289">_xlfn.RANK.EQ(G63,$D63:$R63,1)</f>
        <v>7</v>
      </c>
      <c r="AA63" s="1">
        <f t="shared" ref="AA63" si="290">_xlfn.RANK.EQ(H63,$D63:$R63,1)</f>
        <v>9</v>
      </c>
      <c r="AB63" s="1">
        <f t="shared" ref="AB63" si="291">_xlfn.RANK.EQ(I63,$D63:$R63,1)</f>
        <v>4</v>
      </c>
      <c r="AC63" s="1">
        <f t="shared" ref="AC63" si="292">_xlfn.RANK.EQ(J63,$D63:$R63,1)</f>
        <v>8</v>
      </c>
      <c r="AD63" s="1">
        <f t="shared" ref="AD63" si="293">_xlfn.RANK.EQ(K63,$D63:$R63,1)</f>
        <v>5</v>
      </c>
      <c r="AE63" s="1">
        <f t="shared" ref="AE63" si="294">_xlfn.RANK.EQ(L63,$D63:$R63,1)</f>
        <v>6</v>
      </c>
      <c r="AF63" s="1" t="e">
        <f t="shared" ref="AF63" si="295">_xlfn.RANK.EQ(M63,$D63:$R63,1)</f>
        <v>#N/A</v>
      </c>
      <c r="AG63" s="1" t="e">
        <f t="shared" ref="AG63" si="296">_xlfn.RANK.EQ(N63,$D63:$R63,1)</f>
        <v>#N/A</v>
      </c>
      <c r="AH63" s="1" t="e">
        <f t="shared" ref="AH63" si="297">_xlfn.RANK.EQ(O63,$D63:$R63,1)</f>
        <v>#N/A</v>
      </c>
      <c r="AI63" s="1" t="e">
        <f t="shared" ref="AI63" si="298">_xlfn.RANK.EQ(P63,$D63:$R63,1)</f>
        <v>#N/A</v>
      </c>
      <c r="AJ63" s="1" t="e">
        <f t="shared" ref="AJ63" si="299">_xlfn.RANK.EQ(Q63,$D63:$R63,1)</f>
        <v>#N/A</v>
      </c>
      <c r="AK63" s="1" t="e">
        <f t="shared" ref="AK63" si="300">_xlfn.RANK.EQ(R63,$D63:$R63,1)</f>
        <v>#N/A</v>
      </c>
    </row>
    <row r="64" x14ac:dyDescent="0.3">
      <c r="A64" s="25"/>
      <c r="B64" s="22" t="s">
        <v>1004</v>
      </c>
      <c r="C64" s="9" t="s">
        <v>1075</v>
      </c>
      <c r="D64" s="8">
        <v>2623842.9843927533</v>
      </c>
      <c r="E64" s="8">
        <v>79079140.796964094</v>
      </c>
      <c r="F64" s="8">
        <v>5397645.8281603595</v>
      </c>
      <c r="G64" s="8">
        <v>24151424.787851404</v>
      </c>
      <c r="H64" s="8">
        <v>11593474.899859145</v>
      </c>
      <c r="I64" s="8">
        <v>32115311.37393292</v>
      </c>
      <c r="J64" s="8">
        <v>3075694.8446282614</v>
      </c>
      <c r="K64" s="8">
        <v>4078307.4967445335</v>
      </c>
      <c r="L64" s="8">
        <v>31643028.602651324</v>
      </c>
      <c r="M64" s="8">
        <v>11466325.914976295</v>
      </c>
      <c r="N64" s="8"/>
      <c r="O64" s="8"/>
      <c r="P64" s="8"/>
      <c r="Q64" s="8"/>
      <c r="R64" s="8"/>
      <c r="S64" s="15"/>
      <c r="T64" s="9" t="s">
        <v>31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x14ac:dyDescent="0.3">
      <c r="A65" s="25"/>
      <c r="B65" s="23" t="s">
        <v>1004</v>
      </c>
      <c r="C65" s="5" t="s">
        <v>1076</v>
      </c>
      <c r="D65" s="6">
        <v>4.3453125000000004</v>
      </c>
      <c r="E65" s="6">
        <v>0.74479166666666663</v>
      </c>
      <c r="F65" s="6">
        <v>0.7182291666666667</v>
      </c>
      <c r="G65" s="6">
        <v>0.65364583333333337</v>
      </c>
      <c r="H65" s="6">
        <v>0.46614583333333331</v>
      </c>
      <c r="I65" s="6">
        <v>0.4140625</v>
      </c>
      <c r="J65" s="6">
        <v>1.8557291666666667</v>
      </c>
      <c r="K65" s="6">
        <v>0.36145833333333333</v>
      </c>
      <c r="L65" s="6">
        <v>0.38854166666666667</v>
      </c>
      <c r="M65" s="6">
        <v>0.66249999999999998</v>
      </c>
      <c r="N65" s="6"/>
      <c r="O65" s="6"/>
      <c r="P65" s="6"/>
      <c r="Q65" s="6"/>
      <c r="R65" s="6"/>
      <c r="S65" s="7"/>
      <c r="T65" s="5" t="s">
        <v>32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x14ac:dyDescent="0.3">
      <c r="A66" s="25"/>
      <c r="B66" s="21" t="s">
        <v>1005</v>
      </c>
      <c r="C66" s="3" t="s">
        <v>1077</v>
      </c>
      <c r="D66" s="4">
        <v>5713.4478890736618</v>
      </c>
      <c r="E66" s="4">
        <v>24722.846036165793</v>
      </c>
      <c r="F66" s="4">
        <v>6083.4212252213356</v>
      </c>
      <c r="G66" s="4">
        <v>5282.3069978221638</v>
      </c>
      <c r="H66" s="4">
        <v>6665.1253224925831</v>
      </c>
      <c r="I66" s="4">
        <v>6088.7732277213281</v>
      </c>
      <c r="J66" s="4">
        <v>5684.0683442405862</v>
      </c>
      <c r="K66" s="4">
        <v>7052.807394441822</v>
      </c>
      <c r="L66" s="4">
        <v>5971.4740127748228</v>
      </c>
      <c r="M66" s="4">
        <v>5029.1515378508866</v>
      </c>
      <c r="N66" s="4"/>
      <c r="O66" s="4"/>
      <c r="P66" s="4"/>
      <c r="Q66" s="4"/>
      <c r="R66" s="4"/>
      <c r="S66" s="2" t="s">
        <v>21</v>
      </c>
      <c r="T66" s="3" t="s">
        <v>30</v>
      </c>
      <c r="W66" s="1">
        <f t="shared" ref="W66" si="301">_xlfn.RANK.EQ(D66,$D66:$R66,1)</f>
        <v>3</v>
      </c>
      <c r="X66" s="1">
        <f t="shared" ref="X66" si="302">_xlfn.RANK.EQ(E66,$D66:$R66,1)</f>
        <v>1</v>
      </c>
      <c r="Y66" s="1">
        <f t="shared" ref="Y66" si="303">_xlfn.RANK.EQ(F66,$D66:$R66,1)</f>
        <v>4</v>
      </c>
      <c r="Z66" s="1">
        <f t="shared" ref="Z66" si="304">_xlfn.RANK.EQ(G66,$D66:$R66,1)</f>
        <v>7</v>
      </c>
      <c r="AA66" s="1">
        <f t="shared" ref="AA66" si="305">_xlfn.RANK.EQ(H66,$D66:$R66,1)</f>
        <v>8</v>
      </c>
      <c r="AB66" s="1">
        <f t="shared" ref="AB66" si="306">_xlfn.RANK.EQ(I66,$D66:$R66,1)</f>
        <v>2</v>
      </c>
      <c r="AC66" s="1">
        <f t="shared" ref="AC66" si="307">_xlfn.RANK.EQ(J66,$D66:$R66,1)</f>
        <v>9</v>
      </c>
      <c r="AD66" s="1">
        <f t="shared" ref="AD66" si="308">_xlfn.RANK.EQ(K66,$D66:$R66,1)</f>
        <v>6</v>
      </c>
      <c r="AE66" s="1">
        <f t="shared" ref="AE66" si="309">_xlfn.RANK.EQ(L66,$D66:$R66,1)</f>
        <v>5</v>
      </c>
      <c r="AF66" s="1" t="e">
        <f t="shared" ref="AF66" si="310">_xlfn.RANK.EQ(M66,$D66:$R66,1)</f>
        <v>#N/A</v>
      </c>
      <c r="AG66" s="1" t="e">
        <f t="shared" ref="AG66" si="311">_xlfn.RANK.EQ(N66,$D66:$R66,1)</f>
        <v>#N/A</v>
      </c>
      <c r="AH66" s="1" t="e">
        <f t="shared" ref="AH66" si="312">_xlfn.RANK.EQ(O66,$D66:$R66,1)</f>
        <v>#N/A</v>
      </c>
      <c r="AI66" s="1" t="e">
        <f t="shared" ref="AI66" si="313">_xlfn.RANK.EQ(P66,$D66:$R66,1)</f>
        <v>#N/A</v>
      </c>
      <c r="AJ66" s="1" t="e">
        <f t="shared" ref="AJ66" si="314">_xlfn.RANK.EQ(Q66,$D66:$R66,1)</f>
        <v>#N/A</v>
      </c>
      <c r="AK66" s="1" t="e">
        <f t="shared" ref="AK66" si="315">_xlfn.RANK.EQ(R66,$D66:$R66,1)</f>
        <v>#N/A</v>
      </c>
    </row>
    <row r="67" x14ac:dyDescent="0.3">
      <c r="A67" s="25"/>
      <c r="B67" s="22" t="s">
        <v>1005</v>
      </c>
      <c r="C67" s="9" t="s">
        <v>1078</v>
      </c>
      <c r="D67" s="8">
        <v>566.14676700761174</v>
      </c>
      <c r="E67" s="8">
        <v>11800.665756471917</v>
      </c>
      <c r="F67" s="8">
        <v>660.89386145140406</v>
      </c>
      <c r="G67" s="8">
        <v>976.46516120949286</v>
      </c>
      <c r="H67" s="8">
        <v>706.49010977703222</v>
      </c>
      <c r="I67" s="8">
        <v>544.17116212503129</v>
      </c>
      <c r="J67" s="8">
        <v>579.89239237301513</v>
      </c>
      <c r="K67" s="8">
        <v>236.24774468815841</v>
      </c>
      <c r="L67" s="8">
        <v>589.71310438712771</v>
      </c>
      <c r="M67" s="8">
        <v>795.87560408175</v>
      </c>
      <c r="N67" s="8"/>
      <c r="O67" s="8"/>
      <c r="P67" s="8"/>
      <c r="Q67" s="8"/>
      <c r="R67" s="8"/>
      <c r="S67" s="15"/>
      <c r="T67" s="9" t="s">
        <v>31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x14ac:dyDescent="0.3">
      <c r="A68" s="27"/>
      <c r="B68" s="23" t="s">
        <v>1005</v>
      </c>
      <c r="C68" s="5" t="s">
        <v>1079</v>
      </c>
      <c r="D68" s="6">
        <v>5.2223958333333336</v>
      </c>
      <c r="E68" s="6">
        <v>1.0057291666666666</v>
      </c>
      <c r="F68" s="6">
        <v>0.82291666666666663</v>
      </c>
      <c r="G68" s="6">
        <v>0.69843750000000004</v>
      </c>
      <c r="H68" s="6">
        <v>0.49114583333333334</v>
      </c>
      <c r="I68" s="6">
        <v>0.43385416666666665</v>
      </c>
      <c r="J68" s="6">
        <v>1.9510416666666666</v>
      </c>
      <c r="K68" s="6">
        <v>0.45937499999999998</v>
      </c>
      <c r="L68" s="6">
        <v>0.47552083333333334</v>
      </c>
      <c r="M68" s="6">
        <v>0.7192708333333333</v>
      </c>
      <c r="N68" s="6"/>
      <c r="O68" s="6"/>
      <c r="P68" s="6"/>
      <c r="Q68" s="6"/>
      <c r="R68" s="6"/>
      <c r="S68" s="7"/>
      <c r="T68" s="5" t="s">
        <v>32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4" customHeight="true" x14ac:dyDescent="0.3">
      <c r="A69" s="28" t="s">
        <v>37</v>
      </c>
      <c r="B69" s="21" t="s">
        <v>1006</v>
      </c>
      <c r="C69" s="3" t="s">
        <v>1080</v>
      </c>
      <c r="D69" s="4">
        <v>2500</v>
      </c>
      <c r="E69" s="4">
        <v>2500.0000111317195</v>
      </c>
      <c r="F69" s="4">
        <v>2500</v>
      </c>
      <c r="G69" s="4">
        <v>3124.851254065838</v>
      </c>
      <c r="H69" s="4">
        <v>2720.1443998925529</v>
      </c>
      <c r="I69" s="4">
        <v>2793.5978719326954</v>
      </c>
      <c r="J69" s="4">
        <v>2710.6224103911818</v>
      </c>
      <c r="K69" s="4">
        <v>2711.854160543322</v>
      </c>
      <c r="L69" s="4">
        <v>2771.5029816154361</v>
      </c>
      <c r="M69" s="4">
        <v>3111.6254585360416</v>
      </c>
      <c r="N69" s="4"/>
      <c r="O69" s="4"/>
      <c r="P69" s="4"/>
      <c r="Q69" s="4"/>
      <c r="R69" s="4"/>
      <c r="S69" s="2" t="s">
        <v>22</v>
      </c>
      <c r="T69" s="3" t="s">
        <v>30</v>
      </c>
      <c r="W69" s="1">
        <f t="shared" ref="W69" si="316">_xlfn.RANK.EQ(D69,$D69:$R69,1)</f>
        <v>1</v>
      </c>
      <c r="X69" s="1">
        <f t="shared" ref="X69" si="317">_xlfn.RANK.EQ(E69,$D69:$R69,1)</f>
        <v>5</v>
      </c>
      <c r="Y69" s="1">
        <f t="shared" ref="Y69" si="318">_xlfn.RANK.EQ(F69,$D69:$R69,1)</f>
        <v>2</v>
      </c>
      <c r="Z69" s="1">
        <f t="shared" ref="Z69" si="319">_xlfn.RANK.EQ(G69,$D69:$R69,1)</f>
        <v>7</v>
      </c>
      <c r="AA69" s="1">
        <f t="shared" ref="AA69" si="320">_xlfn.RANK.EQ(H69,$D69:$R69,1)</f>
        <v>9</v>
      </c>
      <c r="AB69" s="1">
        <f t="shared" ref="AB69" si="321">_xlfn.RANK.EQ(I69,$D69:$R69,1)</f>
        <v>6</v>
      </c>
      <c r="AC69" s="1">
        <f t="shared" ref="AC69" si="322">_xlfn.RANK.EQ(J69,$D69:$R69,1)</f>
        <v>8</v>
      </c>
      <c r="AD69" s="1">
        <f t="shared" ref="AD69" si="323">_xlfn.RANK.EQ(K69,$D69:$R69,1)</f>
        <v>3</v>
      </c>
      <c r="AE69" s="1">
        <f t="shared" ref="AE69" si="324">_xlfn.RANK.EQ(L69,$D69:$R69,1)</f>
        <v>4</v>
      </c>
      <c r="AF69" s="1" t="e">
        <f t="shared" ref="AF69" si="325">_xlfn.RANK.EQ(M69,$D69:$R69,1)</f>
        <v>#N/A</v>
      </c>
      <c r="AG69" s="1" t="e">
        <f t="shared" ref="AG69" si="326">_xlfn.RANK.EQ(N69,$D69:$R69,1)</f>
        <v>#N/A</v>
      </c>
      <c r="AH69" s="1" t="e">
        <f t="shared" ref="AH69" si="327">_xlfn.RANK.EQ(O69,$D69:$R69,1)</f>
        <v>#N/A</v>
      </c>
      <c r="AI69" s="1" t="e">
        <f t="shared" ref="AI69" si="328">_xlfn.RANK.EQ(P69,$D69:$R69,1)</f>
        <v>#N/A</v>
      </c>
      <c r="AJ69" s="1" t="e">
        <f t="shared" ref="AJ69" si="329">_xlfn.RANK.EQ(Q69,$D69:$R69,1)</f>
        <v>#N/A</v>
      </c>
      <c r="AK69" s="1" t="e">
        <f t="shared" ref="AK69" si="330">_xlfn.RANK.EQ(R69,$D69:$R69,1)</f>
        <v>#N/A</v>
      </c>
    </row>
    <row r="70" x14ac:dyDescent="0.3">
      <c r="A70" s="25"/>
      <c r="B70" s="22" t="s">
        <v>1006</v>
      </c>
      <c r="C70" s="9" t="s">
        <v>1081</v>
      </c>
      <c r="D70" s="8">
        <v>0</v>
      </c>
      <c r="E70" s="8">
        <v>1.0838251927341866e-05</v>
      </c>
      <c r="F70" s="8">
        <v>0</v>
      </c>
      <c r="G70" s="8">
        <v>162.55113276578149</v>
      </c>
      <c r="H70" s="8">
        <v>22.079722368189401</v>
      </c>
      <c r="I70" s="8">
        <v>52.231281643380584</v>
      </c>
      <c r="J70" s="8">
        <v>12.982026089120504</v>
      </c>
      <c r="K70" s="8">
        <v>43.104532799861992</v>
      </c>
      <c r="L70" s="8">
        <v>35.09378077005686</v>
      </c>
      <c r="M70" s="8">
        <v>128.38391213991648</v>
      </c>
      <c r="N70" s="8"/>
      <c r="O70" s="8"/>
      <c r="P70" s="8"/>
      <c r="Q70" s="8"/>
      <c r="R70" s="8"/>
      <c r="S70" s="15"/>
      <c r="T70" s="9" t="s">
        <v>31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x14ac:dyDescent="0.3">
      <c r="A71" s="25"/>
      <c r="B71" s="23" t="s">
        <v>1006</v>
      </c>
      <c r="C71" s="5" t="s">
        <v>1082</v>
      </c>
      <c r="D71" s="6">
        <v>11.6109375</v>
      </c>
      <c r="E71" s="6">
        <v>3.3916666666666666</v>
      </c>
      <c r="F71" s="6">
        <v>2.2192708333333333</v>
      </c>
      <c r="G71" s="6">
        <v>1.3244791666666667</v>
      </c>
      <c r="H71" s="6">
        <v>1.1239583333333334</v>
      </c>
      <c r="I71" s="6">
        <v>1.1015625</v>
      </c>
      <c r="J71" s="6">
        <v>2.6114583333333332</v>
      </c>
      <c r="K71" s="6">
        <v>1.0385416666666667</v>
      </c>
      <c r="L71" s="6">
        <v>1.0432291666666667</v>
      </c>
      <c r="M71" s="6">
        <v>1.3510416666666667</v>
      </c>
      <c r="N71" s="6"/>
      <c r="O71" s="6"/>
      <c r="P71" s="6"/>
      <c r="Q71" s="6"/>
      <c r="R71" s="6"/>
      <c r="S71" s="7"/>
      <c r="T71" s="5" t="s">
        <v>32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x14ac:dyDescent="0.3">
      <c r="A72" s="25"/>
      <c r="B72" s="21" t="s">
        <v>1007</v>
      </c>
      <c r="C72" s="3" t="s">
        <v>1083</v>
      </c>
      <c r="D72" s="4">
        <v>2600</v>
      </c>
      <c r="E72" s="4">
        <v>2600.0016752357315</v>
      </c>
      <c r="F72" s="4">
        <v>2600.0001264574589</v>
      </c>
      <c r="G72" s="4">
        <v>2602.4060181729033</v>
      </c>
      <c r="H72" s="4">
        <v>2915.970642304901</v>
      </c>
      <c r="I72" s="4">
        <v>2902.756105474994</v>
      </c>
      <c r="J72" s="4">
        <v>2900.0018928186428</v>
      </c>
      <c r="K72" s="4">
        <v>2905.4941682716103</v>
      </c>
      <c r="L72" s="4">
        <v>2907.2648869473414</v>
      </c>
      <c r="M72" s="4">
        <v>2601.82616046871</v>
      </c>
      <c r="N72" s="4"/>
      <c r="O72" s="4"/>
      <c r="P72" s="4"/>
      <c r="Q72" s="4"/>
      <c r="R72" s="4"/>
      <c r="S72" s="2" t="s">
        <v>23</v>
      </c>
      <c r="T72" s="3" t="s">
        <v>30</v>
      </c>
      <c r="W72" s="1">
        <f t="shared" ref="W72" si="331">_xlfn.RANK.EQ(D72,$D72:$R72,1)</f>
        <v>1</v>
      </c>
      <c r="X72" s="1">
        <f t="shared" ref="X72" si="332">_xlfn.RANK.EQ(E72,$D72:$R72,1)</f>
        <v>7</v>
      </c>
      <c r="Y72" s="1">
        <f t="shared" ref="Y72" si="333">_xlfn.RANK.EQ(F72,$D72:$R72,1)</f>
        <v>2</v>
      </c>
      <c r="Z72" s="1">
        <f t="shared" ref="Z72" si="334">_xlfn.RANK.EQ(G72,$D72:$R72,1)</f>
        <v>9</v>
      </c>
      <c r="AA72" s="1">
        <f t="shared" ref="AA72" si="335">_xlfn.RANK.EQ(H72,$D72:$R72,1)</f>
        <v>8</v>
      </c>
      <c r="AB72" s="1">
        <f t="shared" ref="AB72" si="336">_xlfn.RANK.EQ(I72,$D72:$R72,1)</f>
        <v>5</v>
      </c>
      <c r="AC72" s="1">
        <f t="shared" ref="AC72" si="337">_xlfn.RANK.EQ(J72,$D72:$R72,1)</f>
        <v>6</v>
      </c>
      <c r="AD72" s="1">
        <f t="shared" ref="AD72" si="338">_xlfn.RANK.EQ(K72,$D72:$R72,1)</f>
        <v>4</v>
      </c>
      <c r="AE72" s="1">
        <f t="shared" ref="AE72" si="339">_xlfn.RANK.EQ(L72,$D72:$R72,1)</f>
        <v>3</v>
      </c>
      <c r="AF72" s="1" t="e">
        <f t="shared" ref="AF72" si="340">_xlfn.RANK.EQ(M72,$D72:$R72,1)</f>
        <v>#N/A</v>
      </c>
      <c r="AG72" s="1" t="e">
        <f t="shared" ref="AG72" si="341">_xlfn.RANK.EQ(N72,$D72:$R72,1)</f>
        <v>#N/A</v>
      </c>
      <c r="AH72" s="1" t="e">
        <f t="shared" ref="AH72" si="342">_xlfn.RANK.EQ(O72,$D72:$R72,1)</f>
        <v>#N/A</v>
      </c>
      <c r="AI72" s="1" t="e">
        <f t="shared" ref="AI72" si="343">_xlfn.RANK.EQ(P72,$D72:$R72,1)</f>
        <v>#N/A</v>
      </c>
      <c r="AJ72" s="1" t="e">
        <f t="shared" ref="AJ72" si="344">_xlfn.RANK.EQ(Q72,$D72:$R72,1)</f>
        <v>#N/A</v>
      </c>
      <c r="AK72" s="1" t="e">
        <f t="shared" ref="AK72" si="345">_xlfn.RANK.EQ(R72,$D72:$R72,1)</f>
        <v>#N/A</v>
      </c>
    </row>
    <row r="73" x14ac:dyDescent="0.3">
      <c r="A73" s="25"/>
      <c r="B73" s="22" t="s">
        <v>1007</v>
      </c>
      <c r="C73" s="9" t="s">
        <v>1084</v>
      </c>
      <c r="D73" s="8">
        <v>0</v>
      </c>
      <c r="E73" s="8">
        <v>0.00075510517876626454</v>
      </c>
      <c r="F73" s="8">
        <v>0.00043087528069004</v>
      </c>
      <c r="G73" s="8">
        <v>2.8803063296313121</v>
      </c>
      <c r="H73" s="8">
        <v>14.484729695050454</v>
      </c>
      <c r="I73" s="8">
        <v>9.3459292835758792</v>
      </c>
      <c r="J73" s="8">
        <v>32.662570939513799</v>
      </c>
      <c r="K73" s="8">
        <v>22.419688404664459</v>
      </c>
      <c r="L73" s="8">
        <v>9.8435307000500831</v>
      </c>
      <c r="M73" s="8">
        <v>0.90588333813227051</v>
      </c>
      <c r="N73" s="8"/>
      <c r="O73" s="8"/>
      <c r="P73" s="8"/>
      <c r="Q73" s="8"/>
      <c r="R73" s="8"/>
      <c r="S73" s="15"/>
      <c r="T73" s="9" t="s">
        <v>31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x14ac:dyDescent="0.3">
      <c r="A74" s="25"/>
      <c r="B74" s="23" t="s">
        <v>1007</v>
      </c>
      <c r="C74" s="5" t="s">
        <v>1085</v>
      </c>
      <c r="D74" s="6">
        <v>9.3656249999999996</v>
      </c>
      <c r="E74" s="6">
        <v>2.2072916666666669</v>
      </c>
      <c r="F74" s="6">
        <v>1.5546875</v>
      </c>
      <c r="G74" s="6">
        <v>1.0161458333333333</v>
      </c>
      <c r="H74" s="6">
        <v>0.9135416666666667</v>
      </c>
      <c r="I74" s="6">
        <v>0.77812499999999996</v>
      </c>
      <c r="J74" s="6">
        <v>2.1875</v>
      </c>
      <c r="K74" s="6">
        <v>0.73541666666666672</v>
      </c>
      <c r="L74" s="6">
        <v>0.7494791666666667</v>
      </c>
      <c r="M74" s="6">
        <v>1.0447916666666666</v>
      </c>
      <c r="N74" s="6"/>
      <c r="O74" s="6"/>
      <c r="P74" s="6"/>
      <c r="Q74" s="6"/>
      <c r="R74" s="6"/>
      <c r="S74" s="7"/>
      <c r="T74" s="5" t="s">
        <v>32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x14ac:dyDescent="0.3">
      <c r="A75" s="25"/>
      <c r="B75" s="21" t="s">
        <v>1008</v>
      </c>
      <c r="C75" s="3" t="s">
        <v>1086</v>
      </c>
      <c r="D75" s="4">
        <v>2700</v>
      </c>
      <c r="E75" s="4">
        <v>2700.0000005256175</v>
      </c>
      <c r="F75" s="4">
        <v>2700</v>
      </c>
      <c r="G75" s="4">
        <v>2703.7604980160636</v>
      </c>
      <c r="H75" s="4">
        <v>2862.0422593815078</v>
      </c>
      <c r="I75" s="4">
        <v>2827.2843466434924</v>
      </c>
      <c r="J75" s="4">
        <v>2851.2834664664865</v>
      </c>
      <c r="K75" s="4">
        <v>2807.2483564947347</v>
      </c>
      <c r="L75" s="4">
        <v>2830.7634598161681</v>
      </c>
      <c r="M75" s="4">
        <v>2713.013847449075</v>
      </c>
      <c r="N75" s="4"/>
      <c r="O75" s="4"/>
      <c r="P75" s="4"/>
      <c r="Q75" s="4"/>
      <c r="R75" s="4"/>
      <c r="S75" s="2" t="s">
        <v>24</v>
      </c>
      <c r="T75" s="3" t="s">
        <v>30</v>
      </c>
      <c r="W75" s="1">
        <f t="shared" ref="W75" si="346">_xlfn.RANK.EQ(D75,$D75:$R75,1)</f>
        <v>1</v>
      </c>
      <c r="X75" s="1">
        <f t="shared" ref="X75" si="347">_xlfn.RANK.EQ(E75,$D75:$R75,1)</f>
        <v>2</v>
      </c>
      <c r="Y75" s="1">
        <f t="shared" ref="Y75" si="348">_xlfn.RANK.EQ(F75,$D75:$R75,1)</f>
        <v>6</v>
      </c>
      <c r="Z75" s="1">
        <f t="shared" ref="Z75" si="349">_xlfn.RANK.EQ(G75,$D75:$R75,1)</f>
        <v>9</v>
      </c>
      <c r="AA75" s="1">
        <f t="shared" ref="AA75" si="350">_xlfn.RANK.EQ(H75,$D75:$R75,1)</f>
        <v>8</v>
      </c>
      <c r="AB75" s="1">
        <f t="shared" ref="AB75" si="351">_xlfn.RANK.EQ(I75,$D75:$R75,1)</f>
        <v>4</v>
      </c>
      <c r="AC75" s="1">
        <f t="shared" ref="AC75" si="352">_xlfn.RANK.EQ(J75,$D75:$R75,1)</f>
        <v>3</v>
      </c>
      <c r="AD75" s="1">
        <f t="shared" ref="AD75" si="353">_xlfn.RANK.EQ(K75,$D75:$R75,1)</f>
        <v>7</v>
      </c>
      <c r="AE75" s="1">
        <f t="shared" ref="AE75" si="354">_xlfn.RANK.EQ(L75,$D75:$R75,1)</f>
        <v>5</v>
      </c>
      <c r="AF75" s="1" t="e">
        <f t="shared" ref="AF75" si="355">_xlfn.RANK.EQ(M75,$D75:$R75,1)</f>
        <v>#N/A</v>
      </c>
      <c r="AG75" s="1" t="e">
        <f t="shared" ref="AG75" si="356">_xlfn.RANK.EQ(N75,$D75:$R75,1)</f>
        <v>#N/A</v>
      </c>
      <c r="AH75" s="1" t="e">
        <f t="shared" ref="AH75" si="357">_xlfn.RANK.EQ(O75,$D75:$R75,1)</f>
        <v>#N/A</v>
      </c>
      <c r="AI75" s="1" t="e">
        <f t="shared" ref="AI75" si="358">_xlfn.RANK.EQ(P75,$D75:$R75,1)</f>
        <v>#N/A</v>
      </c>
      <c r="AJ75" s="1" t="e">
        <f t="shared" ref="AJ75" si="359">_xlfn.RANK.EQ(Q75,$D75:$R75,1)</f>
        <v>#N/A</v>
      </c>
      <c r="AK75" s="1" t="e">
        <f t="shared" ref="AK75" si="360">_xlfn.RANK.EQ(R75,$D75:$R75,1)</f>
        <v>#N/A</v>
      </c>
    </row>
    <row r="76" x14ac:dyDescent="0.3">
      <c r="A76" s="25"/>
      <c r="B76" s="22" t="s">
        <v>1008</v>
      </c>
      <c r="C76" s="9" t="s">
        <v>1087</v>
      </c>
      <c r="D76" s="8">
        <v>0</v>
      </c>
      <c r="E76" s="8">
        <v>8.0797981607769757e-07</v>
      </c>
      <c r="F76" s="8">
        <v>0</v>
      </c>
      <c r="G76" s="8">
        <v>17.949524518835378</v>
      </c>
      <c r="H76" s="8">
        <v>25.214758216418311</v>
      </c>
      <c r="I76" s="8">
        <v>18.369740361715095</v>
      </c>
      <c r="J76" s="8">
        <v>18.603565067568365</v>
      </c>
      <c r="K76" s="8">
        <v>16.536946050907915</v>
      </c>
      <c r="L76" s="8">
        <v>11.65214395923455</v>
      </c>
      <c r="M76" s="8">
        <v>32.904239914235092</v>
      </c>
      <c r="N76" s="8"/>
      <c r="O76" s="8"/>
      <c r="P76" s="8"/>
      <c r="Q76" s="8"/>
      <c r="R76" s="8"/>
      <c r="S76" s="15"/>
      <c r="T76" s="9" t="s">
        <v>31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x14ac:dyDescent="0.3">
      <c r="A77" s="25"/>
      <c r="B77" s="23" t="s">
        <v>1008</v>
      </c>
      <c r="C77" s="5" t="s">
        <v>1088</v>
      </c>
      <c r="D77" s="6">
        <v>9.9656249999999993</v>
      </c>
      <c r="E77" s="6">
        <v>3.0093749999999999</v>
      </c>
      <c r="F77" s="6">
        <v>1.9895833333333333</v>
      </c>
      <c r="G77" s="6">
        <v>1.1734374999999999</v>
      </c>
      <c r="H77" s="6">
        <v>1.0510416666666667</v>
      </c>
      <c r="I77" s="6">
        <v>1.0223958333333334</v>
      </c>
      <c r="J77" s="6">
        <v>2.3500000000000001</v>
      </c>
      <c r="K77" s="6">
        <v>0.91562500000000002</v>
      </c>
      <c r="L77" s="6">
        <v>0.94322916666666667</v>
      </c>
      <c r="M77" s="6">
        <v>1.2119791666666666</v>
      </c>
      <c r="N77" s="6"/>
      <c r="O77" s="6"/>
      <c r="P77" s="6"/>
      <c r="Q77" s="6"/>
      <c r="R77" s="6"/>
      <c r="S77" s="7"/>
      <c r="T77" s="5" t="s">
        <v>32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x14ac:dyDescent="0.3">
      <c r="A78" s="25"/>
      <c r="B78" s="21" t="s">
        <v>1009</v>
      </c>
      <c r="C78" s="3" t="s">
        <v>1089</v>
      </c>
      <c r="D78" s="4">
        <v>2800</v>
      </c>
      <c r="E78" s="4">
        <v>2800.0000000015939</v>
      </c>
      <c r="F78" s="4">
        <v>2800</v>
      </c>
      <c r="G78" s="4">
        <v>2801.6651008314093</v>
      </c>
      <c r="H78" s="4">
        <v>2842.8424522949572</v>
      </c>
      <c r="I78" s="4">
        <v>2840.0726192258676</v>
      </c>
      <c r="J78" s="4">
        <v>2804.1584733330669</v>
      </c>
      <c r="K78" s="4">
        <v>2840.5349355447947</v>
      </c>
      <c r="L78" s="4">
        <v>2837.0299218750729</v>
      </c>
      <c r="M78" s="4">
        <v>2801.214540585328</v>
      </c>
      <c r="N78" s="4"/>
      <c r="O78" s="4"/>
      <c r="P78" s="4"/>
      <c r="Q78" s="4"/>
      <c r="R78" s="4"/>
      <c r="S78" s="2" t="s">
        <v>25</v>
      </c>
      <c r="T78" s="3" t="s">
        <v>30</v>
      </c>
      <c r="W78" s="1">
        <f t="shared" ref="W78" si="361">_xlfn.RANK.EQ(D78,$D78:$R78,1)</f>
        <v>1</v>
      </c>
      <c r="X78" s="1">
        <f t="shared" ref="X78" si="362">_xlfn.RANK.EQ(E78,$D78:$R78,1)</f>
        <v>1</v>
      </c>
      <c r="Y78" s="1">
        <f t="shared" ref="Y78" si="363">_xlfn.RANK.EQ(F78,$D78:$R78,1)</f>
        <v>4</v>
      </c>
      <c r="Z78" s="1">
        <f t="shared" ref="Z78" si="364">_xlfn.RANK.EQ(G78,$D78:$R78,1)</f>
        <v>9</v>
      </c>
      <c r="AA78" s="1">
        <f t="shared" ref="AA78" si="365">_xlfn.RANK.EQ(H78,$D78:$R78,1)</f>
        <v>8</v>
      </c>
      <c r="AB78" s="1">
        <f t="shared" ref="AB78" si="366">_xlfn.RANK.EQ(I78,$D78:$R78,1)</f>
        <v>3</v>
      </c>
      <c r="AC78" s="1">
        <f t="shared" ref="AC78" si="367">_xlfn.RANK.EQ(J78,$D78:$R78,1)</f>
        <v>5</v>
      </c>
      <c r="AD78" s="1">
        <f t="shared" ref="AD78" si="368">_xlfn.RANK.EQ(K78,$D78:$R78,1)</f>
        <v>6</v>
      </c>
      <c r="AE78" s="1">
        <f t="shared" ref="AE78" si="369">_xlfn.RANK.EQ(L78,$D78:$R78,1)</f>
        <v>7</v>
      </c>
      <c r="AF78" s="1" t="e">
        <f t="shared" ref="AF78" si="370">_xlfn.RANK.EQ(M78,$D78:$R78,1)</f>
        <v>#N/A</v>
      </c>
      <c r="AG78" s="1" t="e">
        <f t="shared" ref="AG78" si="371">_xlfn.RANK.EQ(N78,$D78:$R78,1)</f>
        <v>#N/A</v>
      </c>
      <c r="AH78" s="1" t="e">
        <f t="shared" ref="AH78" si="372">_xlfn.RANK.EQ(O78,$D78:$R78,1)</f>
        <v>#N/A</v>
      </c>
      <c r="AI78" s="1" t="e">
        <f t="shared" ref="AI78" si="373">_xlfn.RANK.EQ(P78,$D78:$R78,1)</f>
        <v>#N/A</v>
      </c>
      <c r="AJ78" s="1" t="e">
        <f t="shared" ref="AJ78" si="374">_xlfn.RANK.EQ(Q78,$D78:$R78,1)</f>
        <v>#N/A</v>
      </c>
      <c r="AK78" s="1" t="e">
        <f t="shared" ref="AK78" si="375">_xlfn.RANK.EQ(R78,$D78:$R78,1)</f>
        <v>#N/A</v>
      </c>
    </row>
    <row r="79" x14ac:dyDescent="0.3">
      <c r="A79" s="25"/>
      <c r="B79" s="22" t="s">
        <v>1009</v>
      </c>
      <c r="C79" s="9" t="s">
        <v>1090</v>
      </c>
      <c r="D79" s="8">
        <v>0</v>
      </c>
      <c r="E79" s="8">
        <v>2.2526449913756017e-09</v>
      </c>
      <c r="F79" s="8">
        <v>0</v>
      </c>
      <c r="G79" s="8">
        <v>1.1878014808007724</v>
      </c>
      <c r="H79" s="8">
        <v>12.757841272744784</v>
      </c>
      <c r="I79" s="8">
        <v>10.163091336504621</v>
      </c>
      <c r="J79" s="8">
        <v>0.83080461996129873</v>
      </c>
      <c r="K79" s="8">
        <v>92.563131953818655</v>
      </c>
      <c r="L79" s="8">
        <v>8.0269030075252559</v>
      </c>
      <c r="M79" s="8">
        <v>1.3492245454591263</v>
      </c>
      <c r="N79" s="8"/>
      <c r="O79" s="8"/>
      <c r="P79" s="8"/>
      <c r="Q79" s="8"/>
      <c r="R79" s="8"/>
      <c r="S79" s="15"/>
      <c r="T79" s="9" t="s">
        <v>31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x14ac:dyDescent="0.3">
      <c r="A80" s="25"/>
      <c r="B80" s="23" t="s">
        <v>1009</v>
      </c>
      <c r="C80" s="5" t="s">
        <v>1091</v>
      </c>
      <c r="D80" s="6">
        <v>53.726041666666667</v>
      </c>
      <c r="E80" s="6">
        <v>16.881250000000001</v>
      </c>
      <c r="F80" s="6">
        <v>9.5010416666666675</v>
      </c>
      <c r="G80" s="6">
        <v>4.5890624999999998</v>
      </c>
      <c r="H80" s="6">
        <v>4.5453124999999996</v>
      </c>
      <c r="I80" s="6">
        <v>4.3640625000000002</v>
      </c>
      <c r="J80" s="6">
        <v>5.6963541666666666</v>
      </c>
      <c r="K80" s="6">
        <v>4.2484374999999996</v>
      </c>
      <c r="L80" s="6">
        <v>4.2463541666666664</v>
      </c>
      <c r="M80" s="6">
        <v>4.716145833333333</v>
      </c>
      <c r="N80" s="6"/>
      <c r="O80" s="6"/>
      <c r="P80" s="6"/>
      <c r="Q80" s="6"/>
      <c r="R80" s="6"/>
      <c r="S80" s="7"/>
      <c r="T80" s="5" t="s">
        <v>32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x14ac:dyDescent="0.3">
      <c r="A81" s="25"/>
      <c r="B81" s="21" t="s">
        <v>1010</v>
      </c>
      <c r="C81" s="3" t="s">
        <v>1092</v>
      </c>
      <c r="D81" s="4">
        <v>2900.0000000002751</v>
      </c>
      <c r="E81" s="4">
        <v>2900.0000024175629</v>
      </c>
      <c r="F81" s="4">
        <v>2900.0000000002751</v>
      </c>
      <c r="G81" s="4">
        <v>5428.1652587339759</v>
      </c>
      <c r="H81" s="4">
        <v>5867.8454024441453</v>
      </c>
      <c r="I81" s="4">
        <v>5707.8168950037862</v>
      </c>
      <c r="J81" s="4">
        <v>7020.5411789951813</v>
      </c>
      <c r="K81" s="4">
        <v>5048.7148577994867</v>
      </c>
      <c r="L81" s="4">
        <v>5691.6177983207754</v>
      </c>
      <c r="M81" s="4">
        <v>5460.7095148105664</v>
      </c>
      <c r="N81" s="4"/>
      <c r="O81" s="4"/>
      <c r="P81" s="4"/>
      <c r="Q81" s="4"/>
      <c r="R81" s="4"/>
      <c r="S81" s="2" t="s">
        <v>26</v>
      </c>
      <c r="T81" s="3" t="s">
        <v>30</v>
      </c>
      <c r="W81" s="1">
        <f t="shared" ref="W81" si="376">_xlfn.RANK.EQ(D81,$D81:$R81,1)</f>
        <v>1</v>
      </c>
      <c r="X81" s="1">
        <f t="shared" ref="X81" si="377">_xlfn.RANK.EQ(E81,$D81:$R81,1)</f>
        <v>4</v>
      </c>
      <c r="Y81" s="1">
        <f t="shared" ref="Y81" si="378">_xlfn.RANK.EQ(F81,$D81:$R81,1)</f>
        <v>7</v>
      </c>
      <c r="Z81" s="1">
        <f t="shared" ref="Z81" si="379">_xlfn.RANK.EQ(G81,$D81:$R81,1)</f>
        <v>5</v>
      </c>
      <c r="AA81" s="1">
        <f t="shared" ref="AA81" si="380">_xlfn.RANK.EQ(H81,$D81:$R81,1)</f>
        <v>8</v>
      </c>
      <c r="AB81" s="1">
        <f t="shared" ref="AB81" si="381">_xlfn.RANK.EQ(I81,$D81:$R81,1)</f>
        <v>6</v>
      </c>
      <c r="AC81" s="1">
        <f t="shared" ref="AC81" si="382">_xlfn.RANK.EQ(J81,$D81:$R81,1)</f>
        <v>9</v>
      </c>
      <c r="AD81" s="1">
        <f t="shared" ref="AD81" si="383">_xlfn.RANK.EQ(K81,$D81:$R81,1)</f>
        <v>3</v>
      </c>
      <c r="AE81" s="1">
        <f t="shared" ref="AE81" si="384">_xlfn.RANK.EQ(L81,$D81:$R81,1)</f>
        <v>2</v>
      </c>
      <c r="AF81" s="1" t="e">
        <f t="shared" ref="AF81" si="385">_xlfn.RANK.EQ(M81,$D81:$R81,1)</f>
        <v>#N/A</v>
      </c>
      <c r="AG81" s="1" t="e">
        <f t="shared" ref="AG81" si="386">_xlfn.RANK.EQ(N81,$D81:$R81,1)</f>
        <v>#N/A</v>
      </c>
      <c r="AH81" s="1" t="e">
        <f t="shared" ref="AH81" si="387">_xlfn.RANK.EQ(O81,$D81:$R81,1)</f>
        <v>#N/A</v>
      </c>
      <c r="AI81" s="1" t="e">
        <f t="shared" ref="AI81" si="388">_xlfn.RANK.EQ(P81,$D81:$R81,1)</f>
        <v>#N/A</v>
      </c>
      <c r="AJ81" s="1" t="e">
        <f t="shared" ref="AJ81" si="389">_xlfn.RANK.EQ(Q81,$D81:$R81,1)</f>
        <v>#N/A</v>
      </c>
      <c r="AK81" s="1" t="e">
        <f t="shared" ref="AK81" si="390">_xlfn.RANK.EQ(R81,$D81:$R81,1)</f>
        <v>#N/A</v>
      </c>
    </row>
    <row r="82" x14ac:dyDescent="0.3">
      <c r="A82" s="25"/>
      <c r="B82" s="22" t="s">
        <v>1010</v>
      </c>
      <c r="C82" s="9" t="s">
        <v>1093</v>
      </c>
      <c r="D82" s="8">
        <v>2.312606865032684e-12</v>
      </c>
      <c r="E82" s="8">
        <v>2.4588325835040835e-06</v>
      </c>
      <c r="F82" s="8">
        <v>2.312606865032684e-12</v>
      </c>
      <c r="G82" s="8">
        <v>165.92367699554265</v>
      </c>
      <c r="H82" s="8">
        <v>154.68352590415563</v>
      </c>
      <c r="I82" s="8">
        <v>103.79775975427985</v>
      </c>
      <c r="J82" s="8">
        <v>184.09536118407931</v>
      </c>
      <c r="K82" s="8">
        <v>193.0334222139164</v>
      </c>
      <c r="L82" s="8">
        <v>142.47574383875735</v>
      </c>
      <c r="M82" s="8">
        <v>194.55935661006021</v>
      </c>
      <c r="N82" s="8"/>
      <c r="O82" s="8"/>
      <c r="P82" s="8"/>
      <c r="Q82" s="8"/>
      <c r="R82" s="8"/>
      <c r="S82" s="15"/>
      <c r="T82" s="9" t="s">
        <v>31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x14ac:dyDescent="0.3">
      <c r="A83" s="25"/>
      <c r="B83" s="23" t="s">
        <v>1010</v>
      </c>
      <c r="C83" s="5" t="s">
        <v>1094</v>
      </c>
      <c r="D83" s="6">
        <v>51.979687499999997</v>
      </c>
      <c r="E83" s="6">
        <v>16.473437499999999</v>
      </c>
      <c r="F83" s="6">
        <v>9.3395833333333336</v>
      </c>
      <c r="G83" s="6">
        <v>4.6468749999999996</v>
      </c>
      <c r="H83" s="6">
        <v>4.4458333333333337</v>
      </c>
      <c r="I83" s="6">
        <v>4.3239583333333336</v>
      </c>
      <c r="J83" s="6">
        <v>5.7067708333333336</v>
      </c>
      <c r="K83" s="6">
        <v>4.315104166666667</v>
      </c>
      <c r="L83" s="6">
        <v>4.2374999999999998</v>
      </c>
      <c r="M83" s="6">
        <v>4.5968749999999998</v>
      </c>
      <c r="N83" s="6"/>
      <c r="O83" s="6"/>
      <c r="P83" s="6"/>
      <c r="Q83" s="6"/>
      <c r="R83" s="6"/>
      <c r="S83" s="7"/>
      <c r="T83" s="5" t="s">
        <v>32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x14ac:dyDescent="0.3">
      <c r="A84" s="25"/>
      <c r="B84" s="21" t="s">
        <v>1011</v>
      </c>
      <c r="C84" s="3" t="s">
        <v>1095</v>
      </c>
      <c r="D84" s="4">
        <v>3000.0000000002751</v>
      </c>
      <c r="E84" s="4">
        <v>3000.0000281193588</v>
      </c>
      <c r="F84" s="4">
        <v>3000.0000000002751</v>
      </c>
      <c r="G84" s="4">
        <v>14237.834249973203</v>
      </c>
      <c r="H84" s="4">
        <v>14350.065739686312</v>
      </c>
      <c r="I84" s="4">
        <v>11451.566478417857</v>
      </c>
      <c r="J84" s="4">
        <v>25945.116445954758</v>
      </c>
      <c r="K84" s="4">
        <v>7510.389855918912</v>
      </c>
      <c r="L84" s="4">
        <v>11254.511748957832</v>
      </c>
      <c r="M84" s="4">
        <v>14410.114692285</v>
      </c>
      <c r="N84" s="4"/>
      <c r="O84" s="4"/>
      <c r="P84" s="4"/>
      <c r="Q84" s="4"/>
      <c r="R84" s="4"/>
      <c r="S84" s="2" t="s">
        <v>27</v>
      </c>
      <c r="T84" s="3" t="s">
        <v>30</v>
      </c>
      <c r="W84" s="1">
        <f t="shared" ref="W84" si="391">_xlfn.RANK.EQ(D84,$D84:$R84,1)</f>
        <v>1</v>
      </c>
      <c r="X84" s="1">
        <f t="shared" ref="X84" si="392">_xlfn.RANK.EQ(E84,$D84:$R84,1)</f>
        <v>3</v>
      </c>
      <c r="Y84" s="1">
        <f t="shared" ref="Y84" si="393">_xlfn.RANK.EQ(F84,$D84:$R84,1)</f>
        <v>8</v>
      </c>
      <c r="Z84" s="1">
        <f t="shared" ref="Z84" si="394">_xlfn.RANK.EQ(G84,$D84:$R84,1)</f>
        <v>2</v>
      </c>
      <c r="AA84" s="1">
        <f t="shared" ref="AA84" si="395">_xlfn.RANK.EQ(H84,$D84:$R84,1)</f>
        <v>7</v>
      </c>
      <c r="AB84" s="1">
        <f t="shared" ref="AB84" si="396">_xlfn.RANK.EQ(I84,$D84:$R84,1)</f>
        <v>5</v>
      </c>
      <c r="AC84" s="1">
        <f t="shared" ref="AC84" si="397">_xlfn.RANK.EQ(J84,$D84:$R84,1)</f>
        <v>9</v>
      </c>
      <c r="AD84" s="1">
        <f t="shared" ref="AD84" si="398">_xlfn.RANK.EQ(K84,$D84:$R84,1)</f>
        <v>6</v>
      </c>
      <c r="AE84" s="1">
        <f t="shared" ref="AE84" si="399">_xlfn.RANK.EQ(L84,$D84:$R84,1)</f>
        <v>4</v>
      </c>
      <c r="AF84" s="1" t="e">
        <f t="shared" ref="AF84" si="400">_xlfn.RANK.EQ(M84,$D84:$R84,1)</f>
        <v>#N/A</v>
      </c>
      <c r="AG84" s="1" t="e">
        <f t="shared" ref="AG84" si="401">_xlfn.RANK.EQ(N84,$D84:$R84,1)</f>
        <v>#N/A</v>
      </c>
      <c r="AH84" s="1" t="e">
        <f t="shared" ref="AH84" si="402">_xlfn.RANK.EQ(O84,$D84:$R84,1)</f>
        <v>#N/A</v>
      </c>
      <c r="AI84" s="1" t="e">
        <f t="shared" ref="AI84" si="403">_xlfn.RANK.EQ(P84,$D84:$R84,1)</f>
        <v>#N/A</v>
      </c>
      <c r="AJ84" s="1" t="e">
        <f t="shared" ref="AJ84" si="404">_xlfn.RANK.EQ(Q84,$D84:$R84,1)</f>
        <v>#N/A</v>
      </c>
      <c r="AK84" s="1" t="e">
        <f t="shared" ref="AK84" si="405">_xlfn.RANK.EQ(R84,$D84:$R84,1)</f>
        <v>#N/A</v>
      </c>
    </row>
    <row r="85" x14ac:dyDescent="0.3">
      <c r="A85" s="25"/>
      <c r="B85" s="22" t="s">
        <v>1011</v>
      </c>
      <c r="C85" s="9" t="s">
        <v>1096</v>
      </c>
      <c r="D85" s="8">
        <v>2.312606865032684e-12</v>
      </c>
      <c r="E85" s="8">
        <v>3.6366478962553711e-05</v>
      </c>
      <c r="F85" s="8">
        <v>2.312606865032684e-12</v>
      </c>
      <c r="G85" s="8">
        <v>1830.341850953097</v>
      </c>
      <c r="H85" s="8">
        <v>1712.6392035157962</v>
      </c>
      <c r="I85" s="8">
        <v>1443.338270600226</v>
      </c>
      <c r="J85" s="8">
        <v>1946.3969538413648</v>
      </c>
      <c r="K85" s="8">
        <v>797.44161513253846</v>
      </c>
      <c r="L85" s="8">
        <v>1783.2010180441937</v>
      </c>
      <c r="M85" s="8">
        <v>2478.6394065540162</v>
      </c>
      <c r="N85" s="8"/>
      <c r="O85" s="8"/>
      <c r="P85" s="8"/>
      <c r="Q85" s="8"/>
      <c r="R85" s="8"/>
      <c r="S85" s="15"/>
      <c r="T85" s="9" t="s">
        <v>31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x14ac:dyDescent="0.3">
      <c r="A86" s="25"/>
      <c r="B86" s="23" t="s">
        <v>1011</v>
      </c>
      <c r="C86" s="5" t="s">
        <v>1097</v>
      </c>
      <c r="D86" s="6">
        <v>13.954166666666667</v>
      </c>
      <c r="E86" s="6">
        <v>4.2713541666666668</v>
      </c>
      <c r="F86" s="6">
        <v>2.6953125</v>
      </c>
      <c r="G86" s="6">
        <v>1.6000000000000001</v>
      </c>
      <c r="H86" s="6">
        <v>1.5046875</v>
      </c>
      <c r="I86" s="6">
        <v>1.3869791666666667</v>
      </c>
      <c r="J86" s="6">
        <v>2.8364583333333333</v>
      </c>
      <c r="K86" s="6">
        <v>1.3494791666666666</v>
      </c>
      <c r="L86" s="6">
        <v>1.3885416666666666</v>
      </c>
      <c r="M86" s="6">
        <v>1.6614583333333333</v>
      </c>
      <c r="N86" s="6"/>
      <c r="O86" s="6"/>
      <c r="P86" s="6"/>
      <c r="Q86" s="6"/>
      <c r="R86" s="6"/>
      <c r="S86" s="7"/>
      <c r="T86" s="5" t="s">
        <v>32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x14ac:dyDescent="0.3">
      <c r="A87" s="25"/>
      <c r="B87" s="21" t="s">
        <v>1012</v>
      </c>
      <c r="C87" s="3" t="s">
        <v>1098</v>
      </c>
      <c r="D87" s="4">
        <v>3100</v>
      </c>
      <c r="E87" s="4">
        <v>3138.2093435197003</v>
      </c>
      <c r="F87" s="4">
        <v>3100</v>
      </c>
      <c r="G87" s="4">
        <v>214676519.95931232</v>
      </c>
      <c r="H87" s="4">
        <v>2699509.2023643004</v>
      </c>
      <c r="I87" s="4">
        <v>6779643.0892316895</v>
      </c>
      <c r="J87" s="4">
        <v>765599.83982084272</v>
      </c>
      <c r="K87" s="4">
        <v>81731871.927892268</v>
      </c>
      <c r="L87" s="4">
        <v>6059796.3849884877</v>
      </c>
      <c r="M87" s="4">
        <v>194589627.14946023</v>
      </c>
      <c r="N87" s="4"/>
      <c r="O87" s="4"/>
      <c r="P87" s="4"/>
      <c r="Q87" s="4"/>
      <c r="R87" s="4"/>
      <c r="S87" s="2" t="s">
        <v>28</v>
      </c>
      <c r="T87" s="3" t="s">
        <v>30</v>
      </c>
      <c r="W87" s="1">
        <f t="shared" ref="W87" si="406">_xlfn.RANK.EQ(D87,$D87:$R87,1)</f>
        <v>1</v>
      </c>
      <c r="X87" s="1">
        <f t="shared" ref="X87" si="407">_xlfn.RANK.EQ(E87,$D87:$R87,1)</f>
        <v>6</v>
      </c>
      <c r="Y87" s="1">
        <f t="shared" ref="Y87" si="408">_xlfn.RANK.EQ(F87,$D87:$R87,1)</f>
        <v>4</v>
      </c>
      <c r="Z87" s="1">
        <f t="shared" ref="Z87" si="409">_xlfn.RANK.EQ(G87,$D87:$R87,1)</f>
        <v>5</v>
      </c>
      <c r="AA87" s="1">
        <f t="shared" ref="AA87" si="410">_xlfn.RANK.EQ(H87,$D87:$R87,1)</f>
        <v>8</v>
      </c>
      <c r="AB87" s="1">
        <f t="shared" ref="AB87" si="411">_xlfn.RANK.EQ(I87,$D87:$R87,1)</f>
        <v>7</v>
      </c>
      <c r="AC87" s="1">
        <f t="shared" ref="AC87" si="412">_xlfn.RANK.EQ(J87,$D87:$R87,1)</f>
        <v>9</v>
      </c>
      <c r="AD87" s="1">
        <f t="shared" ref="AD87" si="413">_xlfn.RANK.EQ(K87,$D87:$R87,1)</f>
        <v>2</v>
      </c>
      <c r="AE87" s="1">
        <f t="shared" ref="AE87" si="414">_xlfn.RANK.EQ(L87,$D87:$R87,1)</f>
        <v>3</v>
      </c>
      <c r="AF87" s="1" t="e">
        <f t="shared" ref="AF87" si="415">_xlfn.RANK.EQ(M87,$D87:$R87,1)</f>
        <v>#N/A</v>
      </c>
      <c r="AG87" s="1" t="e">
        <f t="shared" ref="AG87" si="416">_xlfn.RANK.EQ(N87,$D87:$R87,1)</f>
        <v>#N/A</v>
      </c>
      <c r="AH87" s="1" t="e">
        <f t="shared" ref="AH87" si="417">_xlfn.RANK.EQ(O87,$D87:$R87,1)</f>
        <v>#N/A</v>
      </c>
      <c r="AI87" s="1" t="e">
        <f t="shared" ref="AI87" si="418">_xlfn.RANK.EQ(P87,$D87:$R87,1)</f>
        <v>#N/A</v>
      </c>
      <c r="AJ87" s="1" t="e">
        <f t="shared" ref="AJ87" si="419">_xlfn.RANK.EQ(Q87,$D87:$R87,1)</f>
        <v>#N/A</v>
      </c>
      <c r="AK87" s="1" t="e">
        <f t="shared" ref="AK87" si="420">_xlfn.RANK.EQ(R87,$D87:$R87,1)</f>
        <v>#N/A</v>
      </c>
    </row>
    <row r="88" x14ac:dyDescent="0.3">
      <c r="A88" s="25"/>
      <c r="B88" s="22" t="s">
        <v>1012</v>
      </c>
      <c r="C88" s="9" t="s">
        <v>1099</v>
      </c>
      <c r="D88" s="8">
        <v>0</v>
      </c>
      <c r="E88" s="8">
        <v>32.100939496519899</v>
      </c>
      <c r="F88" s="8">
        <v>0</v>
      </c>
      <c r="G88" s="8">
        <v>89219953.958591461</v>
      </c>
      <c r="H88" s="8">
        <v>3340700.6851431956</v>
      </c>
      <c r="I88" s="8">
        <v>2518383.603438315</v>
      </c>
      <c r="J88" s="8">
        <v>3000171.0223272406</v>
      </c>
      <c r="K88" s="8">
        <v>78128162.848362535</v>
      </c>
      <c r="L88" s="8">
        <v>1820213.4870005446</v>
      </c>
      <c r="M88" s="8">
        <v>89439907.924821541</v>
      </c>
      <c r="N88" s="8"/>
      <c r="O88" s="8"/>
      <c r="P88" s="8"/>
      <c r="Q88" s="8"/>
      <c r="R88" s="8"/>
      <c r="S88" s="15"/>
      <c r="T88" s="9" t="s">
        <v>31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x14ac:dyDescent="0.3">
      <c r="A89" s="25"/>
      <c r="B89" s="23" t="s">
        <v>1012</v>
      </c>
      <c r="C89" s="5" t="s">
        <v>1100</v>
      </c>
      <c r="D89" s="6">
        <v>13.644791666666666</v>
      </c>
      <c r="E89" s="6">
        <v>4.916666666666667</v>
      </c>
      <c r="F89" s="6">
        <v>2.9083333333333332</v>
      </c>
      <c r="G89" s="6">
        <v>1.7010416666666666</v>
      </c>
      <c r="H89" s="6">
        <v>1.5848958333333334</v>
      </c>
      <c r="I89" s="6">
        <v>1.4411458333333333</v>
      </c>
      <c r="J89" s="6">
        <v>2.8937499999999998</v>
      </c>
      <c r="K89" s="6">
        <v>1.4260416666666667</v>
      </c>
      <c r="L89" s="6">
        <v>1.4057291666666667</v>
      </c>
      <c r="M89" s="6">
        <v>1.7317708333333333</v>
      </c>
      <c r="N89" s="6"/>
      <c r="O89" s="6"/>
      <c r="P89" s="6"/>
      <c r="Q89" s="6"/>
      <c r="R89" s="6"/>
      <c r="S89" s="7"/>
      <c r="T89" s="5" t="s">
        <v>32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x14ac:dyDescent="0.3">
      <c r="A90" s="25"/>
      <c r="B90" s="21" t="s">
        <v>1013</v>
      </c>
      <c r="C90" s="3" t="s">
        <v>1101</v>
      </c>
      <c r="D90" s="4">
        <v>3200</v>
      </c>
      <c r="E90" s="4">
        <v>3205.6073360244218</v>
      </c>
      <c r="F90" s="4">
        <v>3200.000000000005</v>
      </c>
      <c r="G90" s="4">
        <v>8353605.2256302498</v>
      </c>
      <c r="H90" s="4">
        <v>1063907.5986545032</v>
      </c>
      <c r="I90" s="4">
        <v>742181.69139860733</v>
      </c>
      <c r="J90" s="4">
        <v>1273034.6650356904</v>
      </c>
      <c r="K90" s="4">
        <v>128059.7333595738</v>
      </c>
      <c r="L90" s="4">
        <v>903568.93293933594</v>
      </c>
      <c r="M90" s="4">
        <v>6364536.1900209934</v>
      </c>
      <c r="N90" s="4"/>
      <c r="O90" s="4"/>
      <c r="P90" s="4"/>
      <c r="Q90" s="4"/>
      <c r="R90" s="4"/>
      <c r="S90" s="2" t="s">
        <v>29</v>
      </c>
      <c r="T90" s="3" t="s">
        <v>30</v>
      </c>
      <c r="W90" s="1">
        <f t="shared" ref="W90" si="421">_xlfn.RANK.EQ(D90,$D90:$R90,1)</f>
        <v>1</v>
      </c>
      <c r="X90" s="1">
        <f t="shared" ref="X90" si="422">_xlfn.RANK.EQ(E90,$D90:$R90,1)</f>
        <v>2</v>
      </c>
      <c r="Y90" s="1">
        <f t="shared" ref="Y90" si="423">_xlfn.RANK.EQ(F90,$D90:$R90,1)</f>
        <v>6</v>
      </c>
      <c r="Z90" s="1">
        <f t="shared" ref="Z90" si="424">_xlfn.RANK.EQ(G90,$D90:$R90,1)</f>
        <v>5</v>
      </c>
      <c r="AA90" s="1">
        <f t="shared" ref="AA90" si="425">_xlfn.RANK.EQ(H90,$D90:$R90,1)</f>
        <v>8</v>
      </c>
      <c r="AB90" s="1">
        <f t="shared" ref="AB90" si="426">_xlfn.RANK.EQ(I90,$D90:$R90,1)</f>
        <v>7</v>
      </c>
      <c r="AC90" s="1">
        <f t="shared" ref="AC90" si="427">_xlfn.RANK.EQ(J90,$D90:$R90,1)</f>
        <v>9</v>
      </c>
      <c r="AD90" s="1">
        <f t="shared" ref="AD90" si="428">_xlfn.RANK.EQ(K90,$D90:$R90,1)</f>
        <v>4</v>
      </c>
      <c r="AE90" s="1">
        <f t="shared" ref="AE90" si="429">_xlfn.RANK.EQ(L90,$D90:$R90,1)</f>
        <v>3</v>
      </c>
      <c r="AF90" s="1" t="e">
        <f t="shared" ref="AF90" si="430">_xlfn.RANK.EQ(M90,$D90:$R90,1)</f>
        <v>#N/A</v>
      </c>
      <c r="AG90" s="1" t="e">
        <f t="shared" ref="AG90" si="431">_xlfn.RANK.EQ(N90,$D90:$R90,1)</f>
        <v>#N/A</v>
      </c>
      <c r="AH90" s="1" t="e">
        <f t="shared" ref="AH90" si="432">_xlfn.RANK.EQ(O90,$D90:$R90,1)</f>
        <v>#N/A</v>
      </c>
      <c r="AI90" s="1" t="e">
        <f t="shared" ref="AI90" si="433">_xlfn.RANK.EQ(P90,$D90:$R90,1)</f>
        <v>#N/A</v>
      </c>
      <c r="AJ90" s="1" t="e">
        <f t="shared" ref="AJ90" si="434">_xlfn.RANK.EQ(Q90,$D90:$R90,1)</f>
        <v>#N/A</v>
      </c>
      <c r="AK90" s="1" t="e">
        <f t="shared" ref="AK90" si="435">_xlfn.RANK.EQ(R90,$D90:$R90,1)</f>
        <v>#N/A</v>
      </c>
    </row>
    <row r="91" x14ac:dyDescent="0.3">
      <c r="A91" s="25"/>
      <c r="B91" s="22" t="s">
        <v>1013</v>
      </c>
      <c r="C91" s="9" t="s">
        <v>1102</v>
      </c>
      <c r="D91" s="8">
        <v>0</v>
      </c>
      <c r="E91" s="8">
        <v>4.2929655932741184</v>
      </c>
      <c r="F91" s="8">
        <v>2.5242821645472123e-11</v>
      </c>
      <c r="G91" s="8">
        <v>3348746.1524340389</v>
      </c>
      <c r="H91" s="8">
        <v>599579.23930418561</v>
      </c>
      <c r="I91" s="8">
        <v>253853.08814070685</v>
      </c>
      <c r="J91" s="8">
        <v>419650.242105529</v>
      </c>
      <c r="K91" s="8">
        <v>91875.137988913222</v>
      </c>
      <c r="L91" s="8">
        <v>247169.40488595876</v>
      </c>
      <c r="M91" s="8">
        <v>2974222.894182839</v>
      </c>
      <c r="N91" s="8"/>
      <c r="O91" s="8"/>
      <c r="P91" s="8"/>
      <c r="Q91" s="8"/>
      <c r="R91" s="8"/>
      <c r="S91" s="15"/>
      <c r="T91" s="9" t="s">
        <v>31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x14ac:dyDescent="0.3">
      <c r="A92" s="27"/>
      <c r="B92" s="23" t="s">
        <v>1013</v>
      </c>
      <c r="C92" s="5" t="s">
        <v>1103</v>
      </c>
      <c r="D92" s="6">
        <v>8.8645833333333339</v>
      </c>
      <c r="E92" s="6">
        <v>2.8052083333333333</v>
      </c>
      <c r="F92" s="6">
        <v>1.8536458333333334</v>
      </c>
      <c r="G92" s="6">
        <v>1.2010416666666666</v>
      </c>
      <c r="H92" s="6">
        <v>1.0166666666666666</v>
      </c>
      <c r="I92" s="6">
        <v>0.97447916666666667</v>
      </c>
      <c r="J92" s="6">
        <v>2.6510416666666665</v>
      </c>
      <c r="K92" s="6">
        <v>0.98593750000000002</v>
      </c>
      <c r="L92" s="6">
        <v>1.0041666666666667</v>
      </c>
      <c r="M92" s="6">
        <v>1.2046874999999999</v>
      </c>
      <c r="N92" s="6"/>
      <c r="O92" s="6"/>
      <c r="P92" s="6"/>
      <c r="Q92" s="6"/>
      <c r="R92" s="6"/>
      <c r="S92" s="15"/>
      <c r="T92" s="9" t="s">
        <v>32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="1" customFormat="true" ht="32.4" customHeight="true" x14ac:dyDescent="0.3">
      <c r="A93" s="28" t="s">
        <v>313</v>
      </c>
      <c r="B93" s="21"/>
      <c r="C93" s="21"/>
      <c r="D93" s="3">
        <f>COUNTIF(W3:W92,1)</f>
        <v>23</v>
      </c>
      <c r="E93" s="3">
        <f t="shared" ref="E93:R93" si="436">COUNTIF(X3:X92,1)</f>
        <v>2</v>
      </c>
      <c r="F93" s="3">
        <f t="shared" si="436"/>
        <v>2</v>
      </c>
      <c r="G93" s="3">
        <f t="shared" si="436"/>
        <v>0</v>
      </c>
      <c r="H93" s="3">
        <f t="shared" si="436"/>
        <v>0</v>
      </c>
      <c r="I93" s="3">
        <f t="shared" si="436"/>
        <v>0</v>
      </c>
      <c r="J93" s="3">
        <f t="shared" si="436"/>
        <v>1</v>
      </c>
      <c r="K93" s="3">
        <f t="shared" si="436"/>
        <v>0</v>
      </c>
      <c r="L93" s="3">
        <f t="shared" si="436"/>
        <v>3</v>
      </c>
      <c r="M93" s="3">
        <f t="shared" si="436"/>
        <v>0</v>
      </c>
      <c r="N93" s="3">
        <f t="shared" si="436"/>
        <v>0</v>
      </c>
      <c r="O93" s="3">
        <f t="shared" si="436"/>
        <v>0</v>
      </c>
      <c r="P93" s="3">
        <f t="shared" si="436"/>
        <v>0</v>
      </c>
      <c r="Q93" s="3">
        <f t="shared" si="436"/>
        <v>0</v>
      </c>
      <c r="R93" s="3">
        <f t="shared" si="436"/>
        <v>0</v>
      </c>
    </row>
    <row r="94" s="1" customFormat="true" ht="32.4" customHeight="true" x14ac:dyDescent="0.3">
      <c r="A94" s="25" t="s">
        <v>314</v>
      </c>
      <c r="B94" s="22"/>
      <c r="C94" s="22"/>
      <c r="D94" s="9">
        <f>_xlfn.RANK.EQ(D93,$D93:$R93,0)</f>
        <v>1</v>
      </c>
      <c r="E94" s="9">
        <f t="shared" ref="E94:R94" si="437">_xlfn.RANK.EQ(E93,$D93:$R93,0)</f>
        <v>3</v>
      </c>
      <c r="F94" s="9">
        <f t="shared" si="437"/>
        <v>3</v>
      </c>
      <c r="G94" s="9">
        <f t="shared" si="437"/>
        <v>6</v>
      </c>
      <c r="H94" s="9">
        <f t="shared" si="437"/>
        <v>6</v>
      </c>
      <c r="I94" s="9">
        <f t="shared" si="437"/>
        <v>6</v>
      </c>
      <c r="J94" s="9">
        <f t="shared" si="437"/>
        <v>5</v>
      </c>
      <c r="K94" s="9">
        <f t="shared" si="437"/>
        <v>6</v>
      </c>
      <c r="L94" s="9">
        <f t="shared" si="437"/>
        <v>2</v>
      </c>
      <c r="M94" s="9">
        <f t="shared" si="437"/>
        <v>6</v>
      </c>
      <c r="N94" s="9">
        <f t="shared" si="437"/>
        <v>6</v>
      </c>
      <c r="O94" s="9">
        <f t="shared" si="437"/>
        <v>6</v>
      </c>
      <c r="P94" s="9">
        <f t="shared" si="437"/>
        <v>6</v>
      </c>
      <c r="Q94" s="9">
        <f t="shared" si="437"/>
        <v>6</v>
      </c>
      <c r="R94" s="9">
        <f t="shared" si="437"/>
        <v>6</v>
      </c>
    </row>
    <row r="95" s="1" customFormat="true" ht="32.4" customHeight="true" x14ac:dyDescent="0.3">
      <c r="A95" s="26" t="s">
        <v>41</v>
      </c>
      <c r="B95" s="22"/>
      <c r="C95" s="22"/>
      <c r="D95" s="16">
        <f>AVERAGE(W3:W92)</f>
        <v>1.3666666666666667</v>
      </c>
      <c r="E95" s="16">
        <f t="shared" ref="E95:R95" si="438">AVERAGE(X3:X92)</f>
        <v>4.4666666666666668</v>
      </c>
      <c r="F95" s="16">
        <f t="shared" si="438"/>
        <v>3.3</v>
      </c>
      <c r="G95" s="16">
        <f t="shared" si="438"/>
        <v>7.2333333333333334</v>
      </c>
      <c r="H95" s="16">
        <f t="shared" si="438"/>
        <v>8.1999999999999993</v>
      </c>
      <c r="I95" s="16">
        <f t="shared" si="438"/>
        <v>4.5333333333333332</v>
      </c>
      <c r="J95" s="16">
        <f t="shared" si="438"/>
        <v>7.2</v>
      </c>
      <c r="K95" s="16">
        <f t="shared" si="438"/>
        <v>4.666666666666667</v>
      </c>
      <c r="L95" s="16">
        <f t="shared" si="438"/>
        <v>4</v>
      </c>
      <c r="M95" s="16" t="e">
        <f t="shared" si="438"/>
        <v>#N/A</v>
      </c>
      <c r="N95" s="16" t="e">
        <f t="shared" si="438"/>
        <v>#N/A</v>
      </c>
      <c r="O95" s="16" t="e">
        <f t="shared" si="438"/>
        <v>#N/A</v>
      </c>
      <c r="P95" s="16" t="e">
        <f t="shared" si="438"/>
        <v>#N/A</v>
      </c>
      <c r="Q95" s="16" t="e">
        <f t="shared" si="438"/>
        <v>#N/A</v>
      </c>
      <c r="R95" s="16" t="e">
        <f t="shared" si="438"/>
        <v>#N/A</v>
      </c>
    </row>
    <row r="96" s="1" customFormat="true" ht="32.4" customHeight="true" x14ac:dyDescent="0.3">
      <c r="A96" s="27" t="s">
        <v>315</v>
      </c>
      <c r="B96" s="23"/>
      <c r="C96" s="23"/>
      <c r="D96" s="5" t="e">
        <f>_xlfn.RANK.EQ(D95,$D95:$R95,1)</f>
        <v>#N/A</v>
      </c>
      <c r="E96" s="5" t="e">
        <f t="shared" ref="E96:R96" si="439">_xlfn.RANK.EQ(E95,$D95:$R95,1)</f>
        <v>#N/A</v>
      </c>
      <c r="F96" s="5" t="e">
        <f t="shared" si="439"/>
        <v>#N/A</v>
      </c>
      <c r="G96" s="5" t="e">
        <f t="shared" si="439"/>
        <v>#N/A</v>
      </c>
      <c r="H96" s="5" t="e">
        <f t="shared" si="439"/>
        <v>#N/A</v>
      </c>
      <c r="I96" s="5" t="e">
        <f t="shared" si="439"/>
        <v>#N/A</v>
      </c>
      <c r="J96" s="5" t="e">
        <f t="shared" si="439"/>
        <v>#N/A</v>
      </c>
      <c r="K96" s="5" t="e">
        <f t="shared" si="439"/>
        <v>#N/A</v>
      </c>
      <c r="L96" s="5" t="e">
        <f t="shared" si="439"/>
        <v>#N/A</v>
      </c>
      <c r="M96" s="5" t="e">
        <f t="shared" si="439"/>
        <v>#N/A</v>
      </c>
      <c r="N96" s="5" t="e">
        <f t="shared" si="439"/>
        <v>#N/A</v>
      </c>
      <c r="O96" s="5" t="e">
        <f t="shared" si="439"/>
        <v>#N/A</v>
      </c>
      <c r="P96" s="5" t="e">
        <f t="shared" si="439"/>
        <v>#N/A</v>
      </c>
      <c r="Q96" s="5" t="e">
        <f t="shared" si="439"/>
        <v>#N/A</v>
      </c>
      <c r="R96" s="5" t="e">
        <f t="shared" si="439"/>
        <v>#N/A</v>
      </c>
    </row>
  </sheetData>
  <mergeCells count="9">
    <mergeCell ref="A1:R1"/>
    <mergeCell ref="A94:C94"/>
    <mergeCell ref="A95:C95"/>
    <mergeCell ref="A96:C96"/>
    <mergeCell ref="A93:C93"/>
    <mergeCell ref="A3:A11"/>
    <mergeCell ref="A12:A50"/>
    <mergeCell ref="A51:A68"/>
    <mergeCell ref="A69:A92"/>
  </mergeCells>
  <phoneticPr fontId="2" type="noConversion"/>
  <conditionalFormatting sqref="D3:R3">
    <cfRule type="top10" dxfId="33" priority="30" bottom="true" rank="1"/>
  </conditionalFormatting>
  <conditionalFormatting sqref="D6:R6">
    <cfRule type="top10" dxfId="32" priority="29" bottom="true" rank="1"/>
  </conditionalFormatting>
  <conditionalFormatting sqref="D9:R9">
    <cfRule type="top10" dxfId="31" priority="28" bottom="true" rank="1"/>
  </conditionalFormatting>
  <conditionalFormatting sqref="D12:R12">
    <cfRule type="top10" dxfId="30" priority="27" bottom="true" rank="1"/>
  </conditionalFormatting>
  <conditionalFormatting sqref="D15:R15">
    <cfRule type="top10" dxfId="29" priority="26" bottom="true" rank="1"/>
  </conditionalFormatting>
  <conditionalFormatting sqref="D18:R18">
    <cfRule type="top10" dxfId="28" priority="25" bottom="true" rank="1"/>
  </conditionalFormatting>
  <conditionalFormatting sqref="D21:R21">
    <cfRule type="top10" dxfId="27" priority="24" bottom="true" rank="1"/>
  </conditionalFormatting>
  <conditionalFormatting sqref="D24:R24">
    <cfRule type="top10" dxfId="26" priority="23" bottom="true" rank="1"/>
  </conditionalFormatting>
  <conditionalFormatting sqref="D27:R27">
    <cfRule type="top10" dxfId="25" priority="22" bottom="true" rank="1"/>
  </conditionalFormatting>
  <conditionalFormatting sqref="D30:R30">
    <cfRule type="top10" dxfId="24" priority="21" bottom="true" rank="1"/>
  </conditionalFormatting>
  <conditionalFormatting sqref="D33:R33">
    <cfRule type="top10" dxfId="23" priority="20" bottom="true" rank="1"/>
  </conditionalFormatting>
  <conditionalFormatting sqref="D36:R36">
    <cfRule type="top10" dxfId="22" priority="19" bottom="true" rank="1"/>
  </conditionalFormatting>
  <conditionalFormatting sqref="D39:R39">
    <cfRule type="top10" dxfId="21" priority="18" bottom="true" rank="1"/>
  </conditionalFormatting>
  <conditionalFormatting sqref="D42:R42">
    <cfRule type="top10" dxfId="20" priority="17" bottom="true" rank="1"/>
  </conditionalFormatting>
  <conditionalFormatting sqref="D45:R45">
    <cfRule type="top10" dxfId="19" priority="16" bottom="true" rank="1"/>
  </conditionalFormatting>
  <conditionalFormatting sqref="D48:R48">
    <cfRule type="top10" dxfId="18" priority="15" bottom="true" rank="1"/>
  </conditionalFormatting>
  <conditionalFormatting sqref="D51:R51">
    <cfRule type="top10" dxfId="17" priority="14" bottom="true" rank="1"/>
  </conditionalFormatting>
  <conditionalFormatting sqref="D54:R54">
    <cfRule type="top10" dxfId="16" priority="13" bottom="true" rank="1"/>
  </conditionalFormatting>
  <conditionalFormatting sqref="D57:R57">
    <cfRule type="top10" dxfId="15" priority="12" bottom="true" rank="1"/>
  </conditionalFormatting>
  <conditionalFormatting sqref="D60:R60">
    <cfRule type="top10" dxfId="14" priority="11" bottom="true" rank="1"/>
  </conditionalFormatting>
  <conditionalFormatting sqref="D63:R63">
    <cfRule type="top10" dxfId="13" priority="10" bottom="true" rank="1"/>
  </conditionalFormatting>
  <conditionalFormatting sqref="D66:R66">
    <cfRule type="top10" dxfId="12" priority="9" bottom="true" rank="1"/>
  </conditionalFormatting>
  <conditionalFormatting sqref="D69:R69">
    <cfRule type="top10" dxfId="11" priority="8" bottom="true" rank="1"/>
  </conditionalFormatting>
  <conditionalFormatting sqref="D72:R72">
    <cfRule type="top10" dxfId="10" priority="7" bottom="true" rank="1"/>
  </conditionalFormatting>
  <conditionalFormatting sqref="D75:R75">
    <cfRule type="top10" dxfId="9" priority="6" bottom="true" rank="1"/>
  </conditionalFormatting>
  <conditionalFormatting sqref="D78:R78">
    <cfRule type="top10" dxfId="8" priority="5" bottom="true" rank="1"/>
  </conditionalFormatting>
  <conditionalFormatting sqref="D81:R81">
    <cfRule type="top10" dxfId="7" priority="4" bottom="true" rank="1"/>
  </conditionalFormatting>
  <conditionalFormatting sqref="D84:R84">
    <cfRule type="top10" dxfId="6" priority="3" bottom="true" rank="1"/>
  </conditionalFormatting>
  <conditionalFormatting sqref="D87:R87">
    <cfRule type="top10" dxfId="5" priority="2" bottom="true" rank="1"/>
  </conditionalFormatting>
  <conditionalFormatting sqref="D90:R90">
    <cfRule type="top10" dxfId="4" priority="1" bottom="true" rank="1"/>
  </conditionalFormatting>
  <pageMargins left="0.7" right="0.7" top="0.75" bottom="0.75" header="0.3" footer="0.3"/>
  <pageSetup paperSize="9" scale="54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sqref="A1:XFD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8" max="8" width="11.48828125" bestFit="true" customWidth="true"/>
    <col min="9" max="9" width="11.6015625" bestFit="true" customWidth="true"/>
    <col min="10" max="10" width="15.37890625" bestFit="true" customWidth="true"/>
    <col min="11" max="11" width="13.33203125" bestFit="true" customWidth="true"/>
  </cols>
  <sheetData>
    <row r="1" ht="15" thickBot="true" x14ac:dyDescent="0.35">
      <c r="A1" s="29" t="s">
        <v>316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x14ac:dyDescent="0.3">
      <c r="A2" s="5" t="s">
        <v>1110</v>
      </c>
      <c r="B2" s="5" t="s">
        <v>1141</v>
      </c>
      <c r="C2" s="5" t="s">
        <v>1142</v>
      </c>
      <c r="D2" s="5" t="s">
        <v>1143</v>
      </c>
      <c r="E2" s="5" t="s">
        <v>1144</v>
      </c>
      <c r="F2" s="5" t="s">
        <v>1145</v>
      </c>
      <c r="G2" s="5" t="s">
        <v>820</v>
      </c>
      <c r="H2" s="5" t="s">
        <v>821</v>
      </c>
      <c r="I2" s="5" t="s">
        <v>822</v>
      </c>
      <c r="J2" s="5" t="s">
        <v>489</v>
      </c>
      <c r="K2" s="5"/>
      <c r="L2" s="5"/>
      <c r="M2" s="5"/>
      <c r="N2" s="5"/>
      <c r="O2" s="5"/>
    </row>
    <row r="3" x14ac:dyDescent="0.3">
      <c r="A3" s="11" t="s">
        <v>1111</v>
      </c>
      <c r="B3" s="4">
        <v>6.2161778864009446e-21</v>
      </c>
      <c r="C3" s="4">
        <v>4.2719188200075559e-09</v>
      </c>
      <c r="D3" s="4">
        <v>3.0512402101808129e-13</v>
      </c>
      <c r="E3" s="4">
        <v>3.2834838746138348e-14</v>
      </c>
      <c r="F3" s="4">
        <v>1.8654514879362246e-16</v>
      </c>
      <c r="G3" s="4">
        <v>5.7435929438268226e-35</v>
      </c>
      <c r="H3" s="4">
        <v>6.5284133732320397e-35</v>
      </c>
      <c r="I3" s="4">
        <v>2.6826347245683989e-35</v>
      </c>
      <c r="J3" s="4">
        <v>6.6503395248501924e-18</v>
      </c>
      <c r="K3" s="4">
        <v>7.1400901140010327E-15</v>
      </c>
      <c r="L3" s="4"/>
      <c r="M3" s="4"/>
      <c r="N3" s="4"/>
      <c r="O3" s="11"/>
    </row>
    <row r="4" x14ac:dyDescent="0.3">
      <c r="A4" s="13" t="s">
        <v>1112</v>
      </c>
      <c r="B4" s="8">
        <v>2.4755296546916959e-37</v>
      </c>
      <c r="C4" s="8">
        <v>4.1423357583364823e-19</v>
      </c>
      <c r="D4" s="8">
        <v>1.031271377776019e-20</v>
      </c>
      <c r="E4" s="8">
        <v>1.631564887290183e-19</v>
      </c>
      <c r="F4" s="8">
        <v>2.7381364238628115e-24</v>
      </c>
      <c r="G4" s="8">
        <v>1.4505477095379197e-67</v>
      </c>
      <c r="H4" s="8">
        <v>1.3521395807857603e-47</v>
      </c>
      <c r="I4" s="8">
        <v>1.1353668244055199e-59</v>
      </c>
      <c r="J4" s="8">
        <v>3.5687414996296684e-20</v>
      </c>
      <c r="K4" s="8">
        <v>1.0412142861764664E-17</v>
      </c>
      <c r="L4" s="8"/>
      <c r="M4" s="8"/>
      <c r="N4" s="8"/>
      <c r="O4" s="13"/>
    </row>
    <row r="5" x14ac:dyDescent="0.3">
      <c r="A5" s="13" t="s">
        <v>1113</v>
      </c>
      <c r="B5" s="8">
        <v>4.8332130491019847e-34</v>
      </c>
      <c r="C5" s="8">
        <v>4.1002525898009021e-24</v>
      </c>
      <c r="D5" s="8">
        <v>4.2354891245658537e-24</v>
      </c>
      <c r="E5" s="8">
        <v>1.7952791162931073e-25</v>
      </c>
      <c r="F5" s="8">
        <v>1.8692475796447163e-05</v>
      </c>
      <c r="G5" s="8">
        <v>0.0043404895819588746</v>
      </c>
      <c r="H5" s="8">
        <v>0.0043454510796793926</v>
      </c>
      <c r="I5" s="8">
        <v>0.0043474524319005291</v>
      </c>
      <c r="J5" s="8">
        <v>8.4625412262123426e-25</v>
      </c>
      <c r="K5" s="8">
        <v>1.9457466981135658E-14</v>
      </c>
      <c r="L5" s="8"/>
      <c r="M5" s="8"/>
      <c r="N5" s="8"/>
      <c r="O5" s="13"/>
    </row>
    <row r="6" x14ac:dyDescent="0.3">
      <c r="A6" s="13" t="s">
        <v>1114</v>
      </c>
      <c r="B6" s="8">
        <v>8.0411854344985986e-25</v>
      </c>
      <c r="C6" s="8">
        <v>1.4736361088945323e-15</v>
      </c>
      <c r="D6" s="8">
        <v>3.6773281050325717e-16</v>
      </c>
      <c r="E6" s="8">
        <v>2.3164876574636247e-13</v>
      </c>
      <c r="F6" s="8">
        <v>3.0129318176633109e-16</v>
      </c>
      <c r="G6" s="8">
        <v>1.5589692617293918e-60</v>
      </c>
      <c r="H6" s="8">
        <v>2.9681250746099368e-59</v>
      </c>
      <c r="I6" s="8">
        <v>1.9783414009853623e-60</v>
      </c>
      <c r="J6" s="8">
        <v>1.8785698028349136e-14</v>
      </c>
      <c r="K6" s="8">
        <v>4.9772242099764253E-28</v>
      </c>
      <c r="L6" s="8"/>
      <c r="M6" s="8"/>
      <c r="N6" s="8"/>
      <c r="O6" s="13"/>
    </row>
    <row r="7" x14ac:dyDescent="0.3">
      <c r="A7" s="13" t="s">
        <v>1115</v>
      </c>
      <c r="B7" s="8">
        <v>2.168300271126052e-12</v>
      </c>
      <c r="C7" s="8">
        <v>3.8051614755840737e-09</v>
      </c>
      <c r="D7" s="8">
        <v>1.6946151331058188e-15</v>
      </c>
      <c r="E7" s="8">
        <v>1.2792439823949449e-13</v>
      </c>
      <c r="F7" s="8">
        <v>0.032331806915984293</v>
      </c>
      <c r="G7" s="8">
        <v>5.8095967853445119e-17</v>
      </c>
      <c r="H7" s="8">
        <v>7.9337489299940025e-16</v>
      </c>
      <c r="I7" s="8">
        <v>4.6129613214947461e-30</v>
      </c>
      <c r="J7" s="8">
        <v>5.937248905923528e-53</v>
      </c>
      <c r="K7" s="8">
        <v>1.4821357926711997E-11</v>
      </c>
      <c r="L7" s="8"/>
      <c r="M7" s="8"/>
      <c r="N7" s="8"/>
      <c r="O7" s="13"/>
    </row>
    <row r="8" x14ac:dyDescent="0.3">
      <c r="A8" s="13" t="s">
        <v>1116</v>
      </c>
      <c r="B8" s="8">
        <v>4.3315109408191057e-17</v>
      </c>
      <c r="C8" s="8">
        <v>3.4976151301012322e-09</v>
      </c>
      <c r="D8" s="8">
        <v>2.7017438888794484e-15</v>
      </c>
      <c r="E8" s="8">
        <v>3.0236773646895286e-08</v>
      </c>
      <c r="F8" s="8">
        <v>5.2727184571356488e-14</v>
      </c>
      <c r="G8" s="8">
        <v>8.8038593554176383e-23</v>
      </c>
      <c r="H8" s="8">
        <v>1.7858746615988516e-31</v>
      </c>
      <c r="I8" s="8">
        <v>1.1231652352126232e-29</v>
      </c>
      <c r="J8" s="8">
        <v>1.8521120923732067e-13</v>
      </c>
      <c r="K8" s="8">
        <v>2.897257009410263E-14</v>
      </c>
      <c r="L8" s="8"/>
      <c r="M8" s="8"/>
      <c r="N8" s="8"/>
      <c r="O8" s="13"/>
    </row>
    <row r="9" x14ac:dyDescent="0.3">
      <c r="A9" s="13" t="s">
        <v>1117</v>
      </c>
      <c r="B9" s="8">
        <v>2.0669791576336406e-37</v>
      </c>
      <c r="C9" s="8">
        <v>1.2607354711301597e-18</v>
      </c>
      <c r="D9" s="8">
        <v>1.7884496350783099e-21</v>
      </c>
      <c r="E9" s="8">
        <v>2.4726531393582002e-18</v>
      </c>
      <c r="F9" s="8">
        <v>3.703640310019651e-25</v>
      </c>
      <c r="G9" s="8">
        <v>2.0136581722048216e-61</v>
      </c>
      <c r="H9" s="8">
        <v>1.0731425817130289e-48</v>
      </c>
      <c r="I9" s="8">
        <v>6.7528061338723537e-59</v>
      </c>
      <c r="J9" s="8">
        <v>6.9821226757673676e-21</v>
      </c>
      <c r="K9" s="8">
        <v>1.5479497514406406E-8</v>
      </c>
      <c r="L9" s="8"/>
      <c r="M9" s="8"/>
      <c r="N9" s="8"/>
      <c r="O9" s="13"/>
    </row>
    <row r="10" x14ac:dyDescent="0.3">
      <c r="A10" s="13" t="s">
        <v>1118</v>
      </c>
      <c r="B10" s="8">
        <v>1.9852368163805112e-29</v>
      </c>
      <c r="C10" s="8">
        <v>0.0092766896163853849</v>
      </c>
      <c r="D10" s="8">
        <v>0.00036077134266137315</v>
      </c>
      <c r="E10" s="8">
        <v>6.4679122282566049e-12</v>
      </c>
      <c r="F10" s="8">
        <v>8.4324818502705396e-28</v>
      </c>
      <c r="G10" s="8">
        <v>1.9516174863034402e-32</v>
      </c>
      <c r="H10" s="8">
        <v>8.0834806842786092e-21</v>
      </c>
      <c r="I10" s="8">
        <v>5.473977792303672e-39</v>
      </c>
      <c r="J10" s="8">
        <v>1.3269908287163072e-17</v>
      </c>
      <c r="K10" s="8">
        <v>5.8246414757729778E-2</v>
      </c>
      <c r="L10" s="8"/>
      <c r="M10" s="8"/>
      <c r="N10" s="8"/>
      <c r="O10" s="13"/>
    </row>
    <row r="11" x14ac:dyDescent="0.3">
      <c r="A11" s="13" t="s">
        <v>1119</v>
      </c>
      <c r="B11" s="8">
        <v>5.6437503260787987e-21</v>
      </c>
      <c r="C11" s="8">
        <v>0.010243193095774898</v>
      </c>
      <c r="D11" s="8">
        <v>5.7517517786456747e-11</v>
      </c>
      <c r="E11" s="8">
        <v>0.53362152662121454</v>
      </c>
      <c r="F11" s="8">
        <v>2.9690103024343515e-07</v>
      </c>
      <c r="G11" s="8">
        <v>6.4880492110228186e-28</v>
      </c>
      <c r="H11" s="8">
        <v>3.4554343249568981e-24</v>
      </c>
      <c r="I11" s="8">
        <v>1.8124721080792019e-29</v>
      </c>
      <c r="J11" s="8">
        <v>0.74018789481717029</v>
      </c>
      <c r="K11" s="8">
        <v>4.328889891552751E-22</v>
      </c>
      <c r="L11" s="8"/>
      <c r="M11" s="8"/>
      <c r="N11" s="8"/>
      <c r="O11" s="13"/>
    </row>
    <row r="12" x14ac:dyDescent="0.3">
      <c r="A12" s="13" t="s">
        <v>1120</v>
      </c>
      <c r="B12" s="8">
        <v>2.0779048354917288e-25</v>
      </c>
      <c r="C12" s="8">
        <v>0.13359779024828033</v>
      </c>
      <c r="D12" s="8">
        <v>0.68431217420831936</v>
      </c>
      <c r="E12" s="8">
        <v>0.49620107401596314</v>
      </c>
      <c r="F12" s="8">
        <v>1.3917478493095671e-29</v>
      </c>
      <c r="G12" s="8">
        <v>1.1865229961129416e-33</v>
      </c>
      <c r="H12" s="8">
        <v>5.9373168177123578e-17</v>
      </c>
      <c r="I12" s="8">
        <v>4.3315520672582221e-39</v>
      </c>
      <c r="J12" s="8">
        <v>1.5092765424080003e-12</v>
      </c>
      <c r="K12" s="8">
        <v>8.0148428141273953E-18</v>
      </c>
      <c r="L12" s="8"/>
      <c r="M12" s="8"/>
      <c r="N12" s="8"/>
      <c r="O12" s="13"/>
    </row>
    <row r="13" x14ac:dyDescent="0.3">
      <c r="A13" s="13" t="s">
        <v>1121</v>
      </c>
      <c r="B13" s="8">
        <v>2.0885833294111931e-17</v>
      </c>
      <c r="C13" s="8">
        <v>0.028117659872540755</v>
      </c>
      <c r="D13" s="8">
        <v>0.53611897811096076</v>
      </c>
      <c r="E13" s="8">
        <v>1.8186822600041511e-21</v>
      </c>
      <c r="F13" s="8">
        <v>0.05262708881748937</v>
      </c>
      <c r="G13" s="8">
        <v>1.0104916443887508e-31</v>
      </c>
      <c r="H13" s="8">
        <v>4.6497041601728599e-13</v>
      </c>
      <c r="I13" s="8">
        <v>1.3879053803870335e-27</v>
      </c>
      <c r="J13" s="8">
        <v>9.8312522649710893e-08</v>
      </c>
      <c r="K13" s="8">
        <v>5.117965498004915E-19</v>
      </c>
      <c r="L13" s="8"/>
      <c r="M13" s="8"/>
      <c r="N13" s="8"/>
      <c r="O13" s="13"/>
    </row>
    <row r="14" x14ac:dyDescent="0.3">
      <c r="A14" s="13" t="s">
        <v>1122</v>
      </c>
      <c r="B14" s="8">
        <v>6.7964683458991393e-11</v>
      </c>
      <c r="C14" s="8">
        <v>0.00077704798645486712</v>
      </c>
      <c r="D14" s="8">
        <v>6.7524873142095063e-19</v>
      </c>
      <c r="E14" s="8">
        <v>4.8955196594135376e-10</v>
      </c>
      <c r="F14" s="8">
        <v>2.6782505043150026e-17</v>
      </c>
      <c r="G14" s="8">
        <v>1.185344594500731e-29</v>
      </c>
      <c r="H14" s="8">
        <v>1.4100415670458761e-14</v>
      </c>
      <c r="I14" s="8">
        <v>4.1169153781187187e-29</v>
      </c>
      <c r="J14" s="8">
        <v>7.8977739836403127e-22</v>
      </c>
      <c r="K14" s="8">
        <v>3.8654698872716798E-5</v>
      </c>
      <c r="L14" s="8"/>
      <c r="M14" s="8"/>
      <c r="N14" s="8"/>
      <c r="O14" s="13"/>
    </row>
    <row r="15" x14ac:dyDescent="0.3">
      <c r="A15" s="13" t="s">
        <v>1123</v>
      </c>
      <c r="B15" s="8">
        <v>1.5550425589631225e-44</v>
      </c>
      <c r="C15" s="8">
        <v>0.011893564967060221</v>
      </c>
      <c r="D15" s="8">
        <v>5.6075929090825691e-26</v>
      </c>
      <c r="E15" s="8">
        <v>0.00018074045103706903</v>
      </c>
      <c r="F15" s="8">
        <v>3.18176996274947e-13</v>
      </c>
      <c r="G15" s="8">
        <v>4.0445285307240027e-64</v>
      </c>
      <c r="H15" s="8">
        <v>7.9740714856455947e-40</v>
      </c>
      <c r="I15" s="8">
        <v>1.8418272396882107e-58</v>
      </c>
      <c r="J15" s="8">
        <v>9.1013241559791488e-22</v>
      </c>
      <c r="K15" s="8">
        <v>1.0297227489391767E-13</v>
      </c>
      <c r="L15" s="8"/>
      <c r="M15" s="8"/>
      <c r="N15" s="8"/>
      <c r="O15" s="13"/>
    </row>
    <row r="16" x14ac:dyDescent="0.3">
      <c r="A16" s="13" t="s">
        <v>1124</v>
      </c>
      <c r="B16" s="8">
        <v>1.1198396182161333e-32</v>
      </c>
      <c r="C16" s="8">
        <v>0.80927665938106519</v>
      </c>
      <c r="D16" s="8">
        <v>1.5511300921308825e-19</v>
      </c>
      <c r="E16" s="8">
        <v>1.0751441211781688e-13</v>
      </c>
      <c r="F16" s="8">
        <v>1.5056806736594793e-24</v>
      </c>
      <c r="G16" s="8">
        <v>8.9038975972085659e-60</v>
      </c>
      <c r="H16" s="8">
        <v>2.5678969411017605e-48</v>
      </c>
      <c r="I16" s="8">
        <v>8.3611476463360965e-56</v>
      </c>
      <c r="J16" s="8">
        <v>1.2311452251377144e-19</v>
      </c>
      <c r="K16" s="8">
        <v>2.2007094272773037E-9</v>
      </c>
      <c r="L16" s="8"/>
      <c r="M16" s="8"/>
      <c r="N16" s="8"/>
      <c r="O16" s="13"/>
    </row>
    <row r="17" x14ac:dyDescent="0.3">
      <c r="A17" s="13" t="s">
        <v>1125</v>
      </c>
      <c r="B17" s="8">
        <v>1.5394679385149743e-13</v>
      </c>
      <c r="C17" s="8">
        <v>2.2389856767824582e-09</v>
      </c>
      <c r="D17" s="8">
        <v>1.9291745186999119e-08</v>
      </c>
      <c r="E17" s="8">
        <v>6.8314152014517252e-08</v>
      </c>
      <c r="F17" s="8">
        <v>2.3223502081909746e-07</v>
      </c>
      <c r="G17" s="8">
        <v>6.8423542064799026e-30</v>
      </c>
      <c r="H17" s="8">
        <v>6.7983651095848687e-30</v>
      </c>
      <c r="I17" s="8">
        <v>6.9734596694953109e-30</v>
      </c>
      <c r="J17" s="8">
        <v>6.0087120214245646e-09</v>
      </c>
      <c r="K17" s="8">
        <v>2.5995413652655461E-5</v>
      </c>
      <c r="L17" s="8"/>
      <c r="M17" s="8"/>
      <c r="N17" s="8"/>
      <c r="O17" s="13"/>
    </row>
    <row r="18" x14ac:dyDescent="0.3">
      <c r="A18" s="13" t="s">
        <v>1126</v>
      </c>
      <c r="B18" s="8">
        <v>1.5493573429189752e-14</v>
      </c>
      <c r="C18" s="8">
        <v>3.1444921528541619e-07</v>
      </c>
      <c r="D18" s="8">
        <v>1.8250156184089783e-05</v>
      </c>
      <c r="E18" s="8">
        <v>2.7120296876136104e-10</v>
      </c>
      <c r="F18" s="8">
        <v>6.9782535216483827e-14</v>
      </c>
      <c r="G18" s="8">
        <v>4.6123479088622303e-15</v>
      </c>
      <c r="H18" s="8">
        <v>1.2104212177054279e-19</v>
      </c>
      <c r="I18" s="8">
        <v>3.6829670889332626e-29</v>
      </c>
      <c r="J18" s="8">
        <v>5.078251079623074e-17</v>
      </c>
      <c r="K18" s="8">
        <v>1.0673803063271802E-7</v>
      </c>
      <c r="L18" s="8"/>
      <c r="M18" s="8"/>
      <c r="N18" s="8"/>
      <c r="O18" s="13"/>
    </row>
    <row r="19" x14ac:dyDescent="0.3">
      <c r="A19" s="13" t="s">
        <v>1127</v>
      </c>
      <c r="B19" s="8">
        <v>7.4143425009974492e-15</v>
      </c>
      <c r="C19" s="8">
        <v>1.8916650464663317e-10</v>
      </c>
      <c r="D19" s="8">
        <v>7.8918070661520926e-11</v>
      </c>
      <c r="E19" s="8">
        <v>4.5649861708096314e-10</v>
      </c>
      <c r="F19" s="8">
        <v>5.4951597096047443e-11</v>
      </c>
      <c r="G19" s="8">
        <v>1.0191758067417816e-26</v>
      </c>
      <c r="H19" s="8">
        <v>1.0033141046251024e-26</v>
      </c>
      <c r="I19" s="8">
        <v>2.2869833870194611e-26</v>
      </c>
      <c r="J19" s="8">
        <v>9.6993173937804177e-13</v>
      </c>
      <c r="K19" s="8">
        <v>0.29709483155888239</v>
      </c>
      <c r="L19" s="8"/>
      <c r="M19" s="8"/>
      <c r="N19" s="8"/>
      <c r="O19" s="13"/>
    </row>
    <row r="20" x14ac:dyDescent="0.3">
      <c r="A20" s="13" t="s">
        <v>1128</v>
      </c>
      <c r="B20" s="8">
        <v>5.3442538479896111e-20</v>
      </c>
      <c r="C20" s="8">
        <v>0.00014463200423754186</v>
      </c>
      <c r="D20" s="8">
        <v>5.4684422326653894e-07</v>
      </c>
      <c r="E20" s="8">
        <v>0.62984782601180433</v>
      </c>
      <c r="F20" s="8">
        <v>7.5902419381380242e-14</v>
      </c>
      <c r="G20" s="8">
        <v>1.932600089993094e-52</v>
      </c>
      <c r="H20" s="8">
        <v>3.9502857745647212e-52</v>
      </c>
      <c r="I20" s="8">
        <v>2.3867087746492246e-52</v>
      </c>
      <c r="J20" s="8">
        <v>9.7610878980727415e-07</v>
      </c>
      <c r="K20" s="8">
        <v>1.732556161802213E-11</v>
      </c>
      <c r="L20" s="8"/>
      <c r="M20" s="8"/>
      <c r="N20" s="8"/>
      <c r="O20" s="13"/>
    </row>
    <row r="21" x14ac:dyDescent="0.3">
      <c r="A21" s="13" t="s">
        <v>1129</v>
      </c>
      <c r="B21" s="8">
        <v>9.0113866959698361e-17</v>
      </c>
      <c r="C21" s="8">
        <v>7.7423299325505944e-09</v>
      </c>
      <c r="D21" s="8">
        <v>5.1451571811110228e-14</v>
      </c>
      <c r="E21" s="8">
        <v>2.0010401850267066e-09</v>
      </c>
      <c r="F21" s="8">
        <v>1.0601584776880349e-07</v>
      </c>
      <c r="G21" s="8">
        <v>4.7948518244065157e-42</v>
      </c>
      <c r="H21" s="8">
        <v>7.8691745541895312e-42</v>
      </c>
      <c r="I21" s="8">
        <v>6.0369033268560663e-42</v>
      </c>
      <c r="J21" s="8">
        <v>3.9533366265283033e-14</v>
      </c>
      <c r="K21" s="8">
        <v>3.7430065008583258E-11</v>
      </c>
      <c r="L21" s="8"/>
      <c r="M21" s="8"/>
      <c r="N21" s="8"/>
      <c r="O21" s="13"/>
    </row>
    <row r="22" x14ac:dyDescent="0.3">
      <c r="A22" s="13" t="s">
        <v>1130</v>
      </c>
      <c r="B22" s="8">
        <v>4.5396075684384093e-16</v>
      </c>
      <c r="C22" s="8">
        <v>9.4936886164292021e-20</v>
      </c>
      <c r="D22" s="8">
        <v>2.0501987248601732e-13</v>
      </c>
      <c r="E22" s="8">
        <v>2.8042385332352999e-15</v>
      </c>
      <c r="F22" s="8">
        <v>7.4135125007909029e-15</v>
      </c>
      <c r="G22" s="8">
        <v>9.4033866081491584e-06</v>
      </c>
      <c r="H22" s="8">
        <v>9.3888885868434126e-06</v>
      </c>
      <c r="I22" s="8">
        <v>9.4298142363247155e-06</v>
      </c>
      <c r="J22" s="8">
        <v>1.5349374615272774e-13</v>
      </c>
      <c r="K22" s="8">
        <v>1.3784505240299151E-8</v>
      </c>
      <c r="L22" s="8"/>
      <c r="M22" s="8"/>
      <c r="N22" s="8"/>
      <c r="O22" s="13"/>
    </row>
    <row r="23" x14ac:dyDescent="0.3">
      <c r="A23" s="13" t="s">
        <v>1131</v>
      </c>
      <c r="B23" s="8">
        <v>3.018298735448256e-15</v>
      </c>
      <c r="C23" s="8">
        <v>1.420802384563063e-09</v>
      </c>
      <c r="D23" s="8">
        <v>1.0214439055523661e-06</v>
      </c>
      <c r="E23" s="8">
        <v>2.2803507141226504e-13</v>
      </c>
      <c r="F23" s="8">
        <v>1.4662959666140123e-12</v>
      </c>
      <c r="G23" s="8">
        <v>1.1741618936664589e-23</v>
      </c>
      <c r="H23" s="8">
        <v>1.2946890146823594e-23</v>
      </c>
      <c r="I23" s="8">
        <v>2.5401858057838295e-22</v>
      </c>
      <c r="J23" s="8">
        <v>7.9098568336582958e-14</v>
      </c>
      <c r="K23" s="8">
        <v>9.151110227489395E-10</v>
      </c>
      <c r="L23" s="8"/>
      <c r="M23" s="8"/>
      <c r="N23" s="8"/>
      <c r="O23" s="13"/>
    </row>
    <row r="24" x14ac:dyDescent="0.3">
      <c r="A24" s="13" t="s">
        <v>1132</v>
      </c>
      <c r="B24" s="8">
        <v>8.4202315124842174e-10</v>
      </c>
      <c r="C24" s="8">
        <v>0.011748947868658688</v>
      </c>
      <c r="D24" s="8">
        <v>0.063826975579885495</v>
      </c>
      <c r="E24" s="8">
        <v>1.4885683525840881e-06</v>
      </c>
      <c r="F24" s="8">
        <v>0.036466591108960417</v>
      </c>
      <c r="G24" s="8">
        <v>6.1758258405426776e-20</v>
      </c>
      <c r="H24" s="8">
        <v>6.3060519615731492e-20</v>
      </c>
      <c r="I24" s="8">
        <v>6.2742230356821472e-20</v>
      </c>
      <c r="J24" s="8">
        <v>0.4549646037529127</v>
      </c>
      <c r="K24" s="8">
        <v>2.9272717194499022E-29</v>
      </c>
      <c r="L24" s="8"/>
      <c r="M24" s="8"/>
      <c r="N24" s="8"/>
      <c r="O24" s="13"/>
    </row>
    <row r="25" x14ac:dyDescent="0.3">
      <c r="A25" s="13" t="s">
        <v>1133</v>
      </c>
      <c r="B25" s="8">
        <v>4.4695081135893844e-06</v>
      </c>
      <c r="C25" s="8"/>
      <c r="D25" s="8">
        <v>4.0597581373610374e-19</v>
      </c>
      <c r="E25" s="8">
        <v>8.5473116002157833e-31</v>
      </c>
      <c r="F25" s="8">
        <v>1.0592872454093944e-23</v>
      </c>
      <c r="G25" s="8">
        <v>2.2145847759721604e-23</v>
      </c>
      <c r="H25" s="8">
        <v>1.5245153645797146e-17</v>
      </c>
      <c r="I25" s="8">
        <v>1.6173072632885344e-23</v>
      </c>
      <c r="J25" s="8">
        <v>1.0915448549443323e-21</v>
      </c>
      <c r="K25" s="8">
        <v>7.3004291797080446E-31</v>
      </c>
      <c r="L25" s="8"/>
      <c r="M25" s="8"/>
      <c r="N25" s="8"/>
      <c r="O25" s="13"/>
    </row>
    <row r="26" x14ac:dyDescent="0.3">
      <c r="A26" s="13" t="s">
        <v>1134</v>
      </c>
      <c r="B26" s="8">
        <v>6.6764700697533943e-13</v>
      </c>
      <c r="C26" s="8">
        <v>0.11877745443115351</v>
      </c>
      <c r="D26" s="8">
        <v>8.2443074312313664e-05</v>
      </c>
      <c r="E26" s="8">
        <v>1.3115641245320724e-40</v>
      </c>
      <c r="F26" s="8">
        <v>1.3939827364466729e-45</v>
      </c>
      <c r="G26" s="8">
        <v>3.030587590382175e-28</v>
      </c>
      <c r="H26" s="8">
        <v>1.3384677552740686e-33</v>
      </c>
      <c r="I26" s="8">
        <v>9.223253033785308e-35</v>
      </c>
      <c r="J26" s="8">
        <v>6.6564351398901661e-12</v>
      </c>
      <c r="K26" s="8">
        <v>1.1562025640644687E-25</v>
      </c>
      <c r="L26" s="8"/>
      <c r="M26" s="8"/>
      <c r="N26" s="8"/>
      <c r="O26" s="13"/>
    </row>
    <row r="27" x14ac:dyDescent="0.3">
      <c r="A27" s="13" t="s">
        <v>1135</v>
      </c>
      <c r="B27" s="8">
        <v>0.0012908795550427364</v>
      </c>
      <c r="C27" s="8"/>
      <c r="D27" s="8">
        <v>0.26055347227456005</v>
      </c>
      <c r="E27" s="8">
        <v>2.4059140082352413e-25</v>
      </c>
      <c r="F27" s="8">
        <v>2.8349130424920346e-26</v>
      </c>
      <c r="G27" s="8">
        <v>1.7781259460085353e-28</v>
      </c>
      <c r="H27" s="8">
        <v>9.6391692325339052e-25</v>
      </c>
      <c r="I27" s="8">
        <v>5.8201589573255104e-31</v>
      </c>
      <c r="J27" s="8">
        <v>0.038648913238189767</v>
      </c>
      <c r="K27" s="8">
        <v>0.48208442697622989</v>
      </c>
      <c r="L27" s="8"/>
      <c r="M27" s="8"/>
      <c r="N27" s="8"/>
      <c r="O27" s="13"/>
    </row>
    <row r="28" x14ac:dyDescent="0.3">
      <c r="A28" s="13" t="s">
        <v>1136</v>
      </c>
      <c r="B28" s="8">
        <v>0.00056157959059656936</v>
      </c>
      <c r="C28" s="8"/>
      <c r="D28" s="8">
        <v>1.8208199297287938e-08</v>
      </c>
      <c r="E28" s="8">
        <v>1.5683774537105663e-17</v>
      </c>
      <c r="F28" s="8">
        <v>2.0279132058203915e-19</v>
      </c>
      <c r="G28" s="8">
        <v>0.51665219004492791</v>
      </c>
      <c r="H28" s="8">
        <v>0.035646192657029292</v>
      </c>
      <c r="I28" s="8">
        <v>1.7670046725724902e-12</v>
      </c>
      <c r="J28" s="8">
        <v>3.0774145329246732e-05</v>
      </c>
      <c r="K28" s="8">
        <v>1.5842545050682273E-35</v>
      </c>
      <c r="L28" s="8"/>
      <c r="M28" s="8"/>
      <c r="N28" s="8"/>
      <c r="O28" s="13"/>
    </row>
    <row r="29" x14ac:dyDescent="0.3">
      <c r="A29" s="13" t="s">
        <v>1137</v>
      </c>
      <c r="B29" s="8">
        <v>8.7110385967250593e-06</v>
      </c>
      <c r="C29" s="8"/>
      <c r="D29" s="8">
        <v>4.2089439653221723e-36</v>
      </c>
      <c r="E29" s="8">
        <v>5.3778629171957149e-39</v>
      </c>
      <c r="F29" s="8">
        <v>2.5835811776065748e-43</v>
      </c>
      <c r="G29" s="8">
        <v>8.9763430408718148e-06</v>
      </c>
      <c r="H29" s="8">
        <v>1.4094557815071106e-07</v>
      </c>
      <c r="I29" s="8">
        <v>6.1201077112879075e-07</v>
      </c>
      <c r="J29" s="8">
        <v>2.8817751117953677e-34</v>
      </c>
      <c r="K29" s="8">
        <v>1.7713687469118672E-26</v>
      </c>
      <c r="L29" s="8"/>
      <c r="M29" s="8"/>
      <c r="N29" s="8"/>
      <c r="O29" s="13"/>
    </row>
    <row r="30" x14ac:dyDescent="0.3">
      <c r="A30" s="13" t="s">
        <v>1138</v>
      </c>
      <c r="B30" s="8">
        <v>0.00021059988266724846</v>
      </c>
      <c r="C30" s="8"/>
      <c r="D30" s="8">
        <v>8.7667894476947845e-25</v>
      </c>
      <c r="E30" s="8">
        <v>1.0050575044246421e-25</v>
      </c>
      <c r="F30" s="8">
        <v>3.3463326601369891e-24</v>
      </c>
      <c r="G30" s="8">
        <v>0.00084432868140788475</v>
      </c>
      <c r="H30" s="8">
        <v>0.13993613558881812</v>
      </c>
      <c r="I30" s="8">
        <v>0.63589504544951758</v>
      </c>
      <c r="J30" s="8">
        <v>2.8342342491730973e-21</v>
      </c>
      <c r="K30" s="8">
        <v>9.4918091802921861E-4</v>
      </c>
      <c r="L30" s="8"/>
      <c r="M30" s="8"/>
      <c r="N30" s="8"/>
      <c r="O30" s="13"/>
    </row>
    <row r="31" x14ac:dyDescent="0.3">
      <c r="A31" s="13" t="s">
        <v>1139</v>
      </c>
      <c r="B31" s="8">
        <v>3.8713310640666109e-07</v>
      </c>
      <c r="C31" s="8"/>
      <c r="D31" s="8">
        <v>8.9987195323678878e-14</v>
      </c>
      <c r="E31" s="8">
        <v>0.00012632298156087549</v>
      </c>
      <c r="F31" s="8">
        <v>5.28465113996531e-15</v>
      </c>
      <c r="G31" s="8">
        <v>7.0928398572777773e-08</v>
      </c>
      <c r="H31" s="8">
        <v>1.6423995520919248e-07</v>
      </c>
      <c r="I31" s="8">
        <v>7.3778263449622785e-08</v>
      </c>
      <c r="J31" s="8">
        <v>1.0737717053161662e-12</v>
      </c>
      <c r="K31" s="8">
        <v>8.5788367733778353E-11</v>
      </c>
      <c r="L31" s="8"/>
      <c r="M31" s="8"/>
      <c r="N31" s="8"/>
      <c r="O31" s="13"/>
    </row>
    <row r="32" x14ac:dyDescent="0.3">
      <c r="A32" s="12" t="s">
        <v>1140</v>
      </c>
      <c r="B32" s="10">
        <v>7.1201017941427118e-08</v>
      </c>
      <c r="C32" s="10">
        <v>0.32558198801619298</v>
      </c>
      <c r="D32" s="10">
        <v>3.6714726008720097e-14</v>
      </c>
      <c r="E32" s="10">
        <v>1.3427500257284359e-10</v>
      </c>
      <c r="F32" s="10">
        <v>6.8811592775860711e-16</v>
      </c>
      <c r="G32" s="10">
        <v>0.00071397399778166937</v>
      </c>
      <c r="H32" s="10">
        <v>0.0006898549618732121</v>
      </c>
      <c r="I32" s="10">
        <v>0.00070483091181753666</v>
      </c>
      <c r="J32" s="10">
        <v>1.6215640204778285e-12</v>
      </c>
      <c r="K32" s="10"/>
      <c r="L32" s="10"/>
      <c r="M32" s="10"/>
      <c r="N32" s="10"/>
      <c r="O32" s="12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selection sqref="A1:XFD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8" max="8" width="11.48828125" bestFit="true" customWidth="true"/>
    <col min="9" max="9" width="11.6015625" bestFit="true" customWidth="true"/>
    <col min="10" max="10" width="15.37890625" bestFit="true" customWidth="true"/>
    <col min="11" max="11" width="13.33203125" bestFit="true" customWidth="true"/>
  </cols>
  <sheetData>
    <row r="1" ht="15" thickBot="true" x14ac:dyDescent="0.35">
      <c r="A1" s="29" t="s">
        <v>319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x14ac:dyDescent="0.3">
      <c r="A2" s="5" t="s">
        <v>1146</v>
      </c>
      <c r="B2" s="5" t="s">
        <v>1177</v>
      </c>
      <c r="C2" s="5" t="s">
        <v>1178</v>
      </c>
      <c r="D2" s="5" t="s">
        <v>1179</v>
      </c>
      <c r="E2" s="5" t="s">
        <v>1180</v>
      </c>
      <c r="F2" s="5" t="s">
        <v>1181</v>
      </c>
      <c r="G2" s="5" t="s">
        <v>859</v>
      </c>
      <c r="H2" s="5" t="s">
        <v>860</v>
      </c>
      <c r="I2" s="5" t="s">
        <v>861</v>
      </c>
      <c r="J2" s="5" t="s">
        <v>529</v>
      </c>
      <c r="K2" s="5"/>
      <c r="L2" s="5"/>
      <c r="M2" s="5"/>
      <c r="N2" s="5"/>
      <c r="O2" s="5"/>
    </row>
    <row r="3" x14ac:dyDescent="0.3">
      <c r="A3" s="11" t="s">
        <v>1147</v>
      </c>
      <c r="B3" s="17">
        <v>1</v>
      </c>
      <c r="C3" s="17">
        <v>1</v>
      </c>
      <c r="D3" s="17">
        <v>1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7">
        <v>1</v>
      </c>
      <c r="K3" s="17">
        <v>1</v>
      </c>
      <c r="L3" s="17"/>
      <c r="M3" s="17"/>
      <c r="N3" s="17"/>
      <c r="O3" s="17"/>
    </row>
    <row r="4" x14ac:dyDescent="0.3">
      <c r="A4" s="13" t="s">
        <v>1148</v>
      </c>
      <c r="B4" s="18">
        <v>1</v>
      </c>
      <c r="C4" s="18">
        <v>1</v>
      </c>
      <c r="D4" s="18">
        <v>1</v>
      </c>
      <c r="E4" s="18">
        <v>1</v>
      </c>
      <c r="F4" s="18">
        <v>1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/>
      <c r="M4" s="18"/>
      <c r="N4" s="18"/>
      <c r="O4" s="18"/>
    </row>
    <row r="5" x14ac:dyDescent="0.3">
      <c r="A5" s="13" t="s">
        <v>1149</v>
      </c>
      <c r="B5" s="18">
        <v>1</v>
      </c>
      <c r="C5" s="18">
        <v>1</v>
      </c>
      <c r="D5" s="18">
        <v>1</v>
      </c>
      <c r="E5" s="18">
        <v>1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/>
      <c r="M5" s="18"/>
      <c r="N5" s="18"/>
      <c r="O5" s="18"/>
    </row>
    <row r="6" x14ac:dyDescent="0.3">
      <c r="A6" s="13" t="s">
        <v>1150</v>
      </c>
      <c r="B6" s="18">
        <v>1</v>
      </c>
      <c r="C6" s="18">
        <v>1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/>
      <c r="M6" s="18"/>
      <c r="N6" s="18"/>
      <c r="O6" s="18"/>
    </row>
    <row r="7" x14ac:dyDescent="0.3">
      <c r="A7" s="13" t="s">
        <v>1151</v>
      </c>
      <c r="B7" s="18">
        <v>1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/>
      <c r="M7" s="18"/>
      <c r="N7" s="18"/>
      <c r="O7" s="18"/>
    </row>
    <row r="8" x14ac:dyDescent="0.3">
      <c r="A8" s="13" t="s">
        <v>1152</v>
      </c>
      <c r="B8" s="18">
        <v>1</v>
      </c>
      <c r="C8" s="18">
        <v>1</v>
      </c>
      <c r="D8" s="18">
        <v>1</v>
      </c>
      <c r="E8" s="18">
        <v>1</v>
      </c>
      <c r="F8" s="18">
        <v>1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/>
      <c r="M8" s="18"/>
      <c r="N8" s="18"/>
      <c r="O8" s="18"/>
    </row>
    <row r="9" x14ac:dyDescent="0.3">
      <c r="A9" s="13" t="s">
        <v>1153</v>
      </c>
      <c r="B9" s="18">
        <v>1</v>
      </c>
      <c r="C9" s="18">
        <v>1</v>
      </c>
      <c r="D9" s="18">
        <v>1</v>
      </c>
      <c r="E9" s="18">
        <v>1</v>
      </c>
      <c r="F9" s="18">
        <v>1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/>
      <c r="M9" s="18"/>
      <c r="N9" s="18"/>
      <c r="O9" s="18"/>
    </row>
    <row r="10" x14ac:dyDescent="0.3">
      <c r="A10" s="13" t="s">
        <v>1154</v>
      </c>
      <c r="B10" s="18">
        <v>1</v>
      </c>
      <c r="C10" s="18">
        <v>1</v>
      </c>
      <c r="D10" s="18">
        <v>1</v>
      </c>
      <c r="E10" s="18">
        <v>1</v>
      </c>
      <c r="F10" s="18">
        <v>1</v>
      </c>
      <c r="G10" s="18">
        <v>1</v>
      </c>
      <c r="H10" s="18">
        <v>1</v>
      </c>
      <c r="I10" s="18">
        <v>1</v>
      </c>
      <c r="J10" s="18">
        <v>1</v>
      </c>
      <c r="K10" s="18">
        <v>0</v>
      </c>
      <c r="L10" s="18"/>
      <c r="M10" s="18"/>
      <c r="N10" s="18"/>
      <c r="O10" s="18"/>
    </row>
    <row r="11" x14ac:dyDescent="0.3">
      <c r="A11" s="13" t="s">
        <v>1155</v>
      </c>
      <c r="B11" s="18">
        <v>1</v>
      </c>
      <c r="C11" s="18">
        <v>1</v>
      </c>
      <c r="D11" s="18">
        <v>1</v>
      </c>
      <c r="E11" s="18">
        <v>0</v>
      </c>
      <c r="F11" s="18">
        <v>1</v>
      </c>
      <c r="G11" s="18">
        <v>1</v>
      </c>
      <c r="H11" s="18">
        <v>1</v>
      </c>
      <c r="I11" s="18">
        <v>1</v>
      </c>
      <c r="J11" s="18">
        <v>0</v>
      </c>
      <c r="K11" s="18">
        <v>1</v>
      </c>
      <c r="L11" s="18"/>
      <c r="M11" s="18"/>
      <c r="N11" s="18"/>
      <c r="O11" s="18"/>
    </row>
    <row r="12" x14ac:dyDescent="0.3">
      <c r="A12" s="13" t="s">
        <v>1156</v>
      </c>
      <c r="B12" s="18">
        <v>1</v>
      </c>
      <c r="C12" s="18">
        <v>0</v>
      </c>
      <c r="D12" s="18">
        <v>0</v>
      </c>
      <c r="E12" s="18">
        <v>0</v>
      </c>
      <c r="F12" s="18">
        <v>1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/>
      <c r="M12" s="18"/>
      <c r="N12" s="18"/>
      <c r="O12" s="18"/>
    </row>
    <row r="13" x14ac:dyDescent="0.3">
      <c r="A13" s="13" t="s">
        <v>1157</v>
      </c>
      <c r="B13" s="18">
        <v>1</v>
      </c>
      <c r="C13" s="18">
        <v>1</v>
      </c>
      <c r="D13" s="18">
        <v>0</v>
      </c>
      <c r="E13" s="18">
        <v>1</v>
      </c>
      <c r="F13" s="18">
        <v>0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/>
      <c r="M13" s="18"/>
      <c r="N13" s="18"/>
      <c r="O13" s="18"/>
    </row>
    <row r="14" x14ac:dyDescent="0.3">
      <c r="A14" s="13" t="s">
        <v>1158</v>
      </c>
      <c r="B14" s="18">
        <v>1</v>
      </c>
      <c r="C14" s="18">
        <v>1</v>
      </c>
      <c r="D14" s="18">
        <v>1</v>
      </c>
      <c r="E14" s="18">
        <v>1</v>
      </c>
      <c r="F14" s="18">
        <v>1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/>
      <c r="M14" s="18"/>
      <c r="N14" s="18"/>
      <c r="O14" s="18"/>
    </row>
    <row r="15" x14ac:dyDescent="0.3">
      <c r="A15" s="13" t="s">
        <v>1159</v>
      </c>
      <c r="B15" s="18">
        <v>1</v>
      </c>
      <c r="C15" s="18">
        <v>1</v>
      </c>
      <c r="D15" s="18">
        <v>1</v>
      </c>
      <c r="E15" s="18">
        <v>1</v>
      </c>
      <c r="F15" s="18">
        <v>1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/>
      <c r="M15" s="18"/>
      <c r="N15" s="18"/>
      <c r="O15" s="18"/>
    </row>
    <row r="16" x14ac:dyDescent="0.3">
      <c r="A16" s="13" t="s">
        <v>1160</v>
      </c>
      <c r="B16" s="18">
        <v>1</v>
      </c>
      <c r="C16" s="18">
        <v>0</v>
      </c>
      <c r="D16" s="18">
        <v>1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/>
      <c r="M16" s="18"/>
      <c r="N16" s="18"/>
      <c r="O16" s="18"/>
    </row>
    <row r="17" x14ac:dyDescent="0.3">
      <c r="A17" s="13" t="s">
        <v>1161</v>
      </c>
      <c r="B17" s="18">
        <v>1</v>
      </c>
      <c r="C17" s="18">
        <v>1</v>
      </c>
      <c r="D17" s="18">
        <v>1</v>
      </c>
      <c r="E17" s="18">
        <v>1</v>
      </c>
      <c r="F17" s="18">
        <v>1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/>
      <c r="M17" s="18"/>
      <c r="N17" s="18"/>
      <c r="O17" s="18"/>
    </row>
    <row r="18" x14ac:dyDescent="0.3">
      <c r="A18" s="13" t="s">
        <v>1162</v>
      </c>
      <c r="B18" s="18">
        <v>1</v>
      </c>
      <c r="C18" s="18">
        <v>1</v>
      </c>
      <c r="D18" s="18">
        <v>1</v>
      </c>
      <c r="E18" s="18">
        <v>1</v>
      </c>
      <c r="F18" s="18">
        <v>1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/>
      <c r="M18" s="18"/>
      <c r="N18" s="18"/>
      <c r="O18" s="18"/>
    </row>
    <row r="19" x14ac:dyDescent="0.3">
      <c r="A19" s="13" t="s">
        <v>1163</v>
      </c>
      <c r="B19" s="18">
        <v>1</v>
      </c>
      <c r="C19" s="18">
        <v>1</v>
      </c>
      <c r="D19" s="18">
        <v>1</v>
      </c>
      <c r="E19" s="18">
        <v>1</v>
      </c>
      <c r="F19" s="18">
        <v>1</v>
      </c>
      <c r="G19" s="18">
        <v>1</v>
      </c>
      <c r="H19" s="18">
        <v>1</v>
      </c>
      <c r="I19" s="18">
        <v>1</v>
      </c>
      <c r="J19" s="18">
        <v>1</v>
      </c>
      <c r="K19" s="18">
        <v>0</v>
      </c>
      <c r="L19" s="18"/>
      <c r="M19" s="18"/>
      <c r="N19" s="18"/>
      <c r="O19" s="18"/>
    </row>
    <row r="20" x14ac:dyDescent="0.3">
      <c r="A20" s="13" t="s">
        <v>1164</v>
      </c>
      <c r="B20" s="18">
        <v>1</v>
      </c>
      <c r="C20" s="18">
        <v>1</v>
      </c>
      <c r="D20" s="18">
        <v>1</v>
      </c>
      <c r="E20" s="18">
        <v>0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/>
      <c r="M20" s="18"/>
      <c r="N20" s="18"/>
      <c r="O20" s="18"/>
    </row>
    <row r="21" x14ac:dyDescent="0.3">
      <c r="A21" s="13" t="s">
        <v>1165</v>
      </c>
      <c r="B21" s="18">
        <v>1</v>
      </c>
      <c r="C21" s="18">
        <v>1</v>
      </c>
      <c r="D21" s="18">
        <v>1</v>
      </c>
      <c r="E21" s="18">
        <v>1</v>
      </c>
      <c r="F21" s="18">
        <v>1</v>
      </c>
      <c r="G21" s="18">
        <v>1</v>
      </c>
      <c r="H21" s="18">
        <v>1</v>
      </c>
      <c r="I21" s="18">
        <v>1</v>
      </c>
      <c r="J21" s="18">
        <v>1</v>
      </c>
      <c r="K21" s="18">
        <v>1</v>
      </c>
      <c r="L21" s="18"/>
      <c r="M21" s="18"/>
      <c r="N21" s="18"/>
      <c r="O21" s="18"/>
    </row>
    <row r="22" x14ac:dyDescent="0.3">
      <c r="A22" s="13" t="s">
        <v>1166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/>
      <c r="M22" s="18"/>
      <c r="N22" s="18"/>
      <c r="O22" s="18"/>
    </row>
    <row r="23" x14ac:dyDescent="0.3">
      <c r="A23" s="13" t="s">
        <v>1167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/>
      <c r="M23" s="18"/>
      <c r="N23" s="18"/>
      <c r="O23" s="18"/>
    </row>
    <row r="24" x14ac:dyDescent="0.3">
      <c r="A24" s="13" t="s">
        <v>1168</v>
      </c>
      <c r="B24" s="18">
        <v>1</v>
      </c>
      <c r="C24" s="18">
        <v>1</v>
      </c>
      <c r="D24" s="18">
        <v>0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0</v>
      </c>
      <c r="K24" s="18">
        <v>1</v>
      </c>
      <c r="L24" s="18"/>
      <c r="M24" s="18"/>
      <c r="N24" s="18"/>
      <c r="O24" s="18"/>
    </row>
    <row r="25" x14ac:dyDescent="0.3">
      <c r="A25" s="13" t="s">
        <v>1169</v>
      </c>
      <c r="B25" s="18">
        <v>1</v>
      </c>
      <c r="C25" s="18"/>
      <c r="D25" s="18">
        <v>1</v>
      </c>
      <c r="E25" s="18">
        <v>1</v>
      </c>
      <c r="F25" s="18">
        <v>1</v>
      </c>
      <c r="G25" s="18">
        <v>1</v>
      </c>
      <c r="H25" s="18">
        <v>1</v>
      </c>
      <c r="I25" s="18">
        <v>1</v>
      </c>
      <c r="J25" s="18">
        <v>1</v>
      </c>
      <c r="K25" s="18">
        <v>1</v>
      </c>
      <c r="L25" s="18"/>
      <c r="M25" s="18"/>
      <c r="N25" s="18"/>
      <c r="O25" s="18"/>
    </row>
    <row r="26" x14ac:dyDescent="0.3">
      <c r="A26" s="13" t="s">
        <v>1170</v>
      </c>
      <c r="B26" s="18">
        <v>1</v>
      </c>
      <c r="C26" s="18">
        <v>0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/>
      <c r="M26" s="18"/>
      <c r="N26" s="18"/>
      <c r="O26" s="18"/>
    </row>
    <row r="27" x14ac:dyDescent="0.3">
      <c r="A27" s="13" t="s">
        <v>1171</v>
      </c>
      <c r="B27" s="18">
        <v>1</v>
      </c>
      <c r="C27" s="18"/>
      <c r="D27" s="18">
        <v>0</v>
      </c>
      <c r="E27" s="18">
        <v>1</v>
      </c>
      <c r="F27" s="18">
        <v>1</v>
      </c>
      <c r="G27" s="18">
        <v>1</v>
      </c>
      <c r="H27" s="18">
        <v>1</v>
      </c>
      <c r="I27" s="18">
        <v>1</v>
      </c>
      <c r="J27" s="18">
        <v>1</v>
      </c>
      <c r="K27" s="18">
        <v>0</v>
      </c>
      <c r="L27" s="18"/>
      <c r="M27" s="18"/>
      <c r="N27" s="18"/>
      <c r="O27" s="18"/>
    </row>
    <row r="28" x14ac:dyDescent="0.3">
      <c r="A28" s="13" t="s">
        <v>1172</v>
      </c>
      <c r="B28" s="18">
        <v>1</v>
      </c>
      <c r="C28" s="18"/>
      <c r="D28" s="18">
        <v>1</v>
      </c>
      <c r="E28" s="18">
        <v>1</v>
      </c>
      <c r="F28" s="18">
        <v>1</v>
      </c>
      <c r="G28" s="18">
        <v>0</v>
      </c>
      <c r="H28" s="18">
        <v>1</v>
      </c>
      <c r="I28" s="18">
        <v>1</v>
      </c>
      <c r="J28" s="18">
        <v>1</v>
      </c>
      <c r="K28" s="18">
        <v>1</v>
      </c>
      <c r="L28" s="18"/>
      <c r="M28" s="18"/>
      <c r="N28" s="18"/>
      <c r="O28" s="18"/>
    </row>
    <row r="29" x14ac:dyDescent="0.3">
      <c r="A29" s="13" t="s">
        <v>1173</v>
      </c>
      <c r="B29" s="18">
        <v>1</v>
      </c>
      <c r="C29" s="18"/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/>
      <c r="M29" s="18"/>
      <c r="N29" s="18"/>
      <c r="O29" s="18"/>
    </row>
    <row r="30" x14ac:dyDescent="0.3">
      <c r="A30" s="13" t="s">
        <v>1174</v>
      </c>
      <c r="B30" s="18">
        <v>1</v>
      </c>
      <c r="C30" s="18"/>
      <c r="D30" s="18">
        <v>1</v>
      </c>
      <c r="E30" s="18">
        <v>1</v>
      </c>
      <c r="F30" s="18">
        <v>1</v>
      </c>
      <c r="G30" s="18">
        <v>1</v>
      </c>
      <c r="H30" s="18">
        <v>0</v>
      </c>
      <c r="I30" s="18">
        <v>0</v>
      </c>
      <c r="J30" s="18">
        <v>1</v>
      </c>
      <c r="K30" s="18">
        <v>1</v>
      </c>
      <c r="L30" s="18"/>
      <c r="M30" s="18"/>
      <c r="N30" s="18"/>
      <c r="O30" s="18"/>
    </row>
    <row r="31" x14ac:dyDescent="0.3">
      <c r="A31" s="13" t="s">
        <v>1175</v>
      </c>
      <c r="B31" s="18">
        <v>1</v>
      </c>
      <c r="C31" s="18"/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/>
      <c r="M31" s="18"/>
      <c r="N31" s="18"/>
      <c r="O31" s="18"/>
    </row>
    <row r="32" x14ac:dyDescent="0.3">
      <c r="A32" s="12" t="s">
        <v>1176</v>
      </c>
      <c r="B32" s="19">
        <v>1</v>
      </c>
      <c r="C32" s="19">
        <v>0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/>
      <c r="L32" s="19"/>
      <c r="M32" s="19"/>
      <c r="N32" s="19"/>
      <c r="O32" s="19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>
      <selection sqref="A1:XFD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8" max="8" width="11.48828125" bestFit="true" customWidth="true"/>
    <col min="9" max="9" width="11.6015625" bestFit="true" customWidth="true"/>
    <col min="10" max="10" width="15.37890625" bestFit="true" customWidth="true"/>
    <col min="11" max="11" width="13.33203125" bestFit="true" customWidth="true"/>
  </cols>
  <sheetData>
    <row r="1" ht="15" thickBot="true" x14ac:dyDescent="0.35">
      <c r="A1" s="29" t="s">
        <v>297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x14ac:dyDescent="0.3">
      <c r="A2" s="12" t="s">
        <v>1182</v>
      </c>
      <c r="B2" s="12" t="s">
        <v>1213</v>
      </c>
      <c r="C2" s="12" t="s">
        <v>1214</v>
      </c>
      <c r="D2" s="12" t="s">
        <v>1215</v>
      </c>
      <c r="E2" s="12" t="s">
        <v>1216</v>
      </c>
      <c r="F2" s="12" t="s">
        <v>1217</v>
      </c>
      <c r="G2" s="12" t="s">
        <v>898</v>
      </c>
      <c r="H2" s="12" t="s">
        <v>899</v>
      </c>
      <c r="I2" s="12" t="s">
        <v>900</v>
      </c>
      <c r="J2" s="12" t="s">
        <v>569</v>
      </c>
      <c r="K2" s="12"/>
      <c r="L2" s="12"/>
      <c r="M2" s="12"/>
      <c r="N2" s="12"/>
      <c r="O2" s="12"/>
    </row>
    <row r="3" x14ac:dyDescent="0.3">
      <c r="A3" s="11" t="s">
        <v>1183</v>
      </c>
      <c r="B3" s="4">
        <v>1.7343976283205826e-06</v>
      </c>
      <c r="C3" s="4">
        <v>2.8785992193943049e-06</v>
      </c>
      <c r="D3" s="4">
        <v>1.7343976283205826e-06</v>
      </c>
      <c r="E3" s="4">
        <v>1.7343976283205826e-06</v>
      </c>
      <c r="F3" s="4">
        <v>1.7343976283205826e-06</v>
      </c>
      <c r="G3" s="4">
        <v>1.7343976283205826e-06</v>
      </c>
      <c r="H3" s="4">
        <v>1.7343976283205826e-06</v>
      </c>
      <c r="I3" s="4">
        <v>1.7343976283205826e-06</v>
      </c>
      <c r="J3" s="4">
        <v>1.7343976283205826e-06</v>
      </c>
      <c r="K3" s="4"/>
      <c r="L3" s="4"/>
      <c r="M3" s="4"/>
      <c r="N3" s="4"/>
      <c r="O3" s="4"/>
    </row>
    <row r="4" x14ac:dyDescent="0.3">
      <c r="A4" s="13" t="s">
        <v>1184</v>
      </c>
      <c r="B4" s="8">
        <v>1.7343976283205826e-06</v>
      </c>
      <c r="C4" s="8">
        <v>1.7343976283205826e-06</v>
      </c>
      <c r="D4" s="8">
        <v>1.7343976283205826e-06</v>
      </c>
      <c r="E4" s="8">
        <v>1.7343976283205826e-06</v>
      </c>
      <c r="F4" s="8">
        <v>1.7343976283205826e-06</v>
      </c>
      <c r="G4" s="8">
        <v>1.7343976283205826e-06</v>
      </c>
      <c r="H4" s="8">
        <v>1.7343976283205826e-06</v>
      </c>
      <c r="I4" s="8">
        <v>1.7343976283205826e-06</v>
      </c>
      <c r="J4" s="8">
        <v>1.7343976283205826e-06</v>
      </c>
      <c r="K4" s="8"/>
      <c r="L4" s="8"/>
      <c r="M4" s="8"/>
      <c r="N4" s="8"/>
      <c r="O4" s="8"/>
    </row>
    <row r="5" x14ac:dyDescent="0.3">
      <c r="A5" s="13" t="s">
        <v>1185</v>
      </c>
      <c r="B5" s="8">
        <v>1.7343976283205826e-06</v>
      </c>
      <c r="C5" s="8">
        <v>1.7343976283205826e-06</v>
      </c>
      <c r="D5" s="8">
        <v>1.7343976283205826e-06</v>
      </c>
      <c r="E5" s="8">
        <v>1.7343976283205826e-06</v>
      </c>
      <c r="F5" s="8">
        <v>6.8922902968349725e-05</v>
      </c>
      <c r="G5" s="8">
        <v>1.7343976283205826e-06</v>
      </c>
      <c r="H5" s="8">
        <v>1.7343976283205826e-06</v>
      </c>
      <c r="I5" s="8">
        <v>1.7343976283205826e-06</v>
      </c>
      <c r="J5" s="8">
        <v>1.7343976283205826e-06</v>
      </c>
      <c r="K5" s="8"/>
      <c r="L5" s="8"/>
      <c r="M5" s="8"/>
      <c r="N5" s="8"/>
      <c r="O5" s="8"/>
    </row>
    <row r="6" x14ac:dyDescent="0.3">
      <c r="A6" s="13" t="s">
        <v>1186</v>
      </c>
      <c r="B6" s="8">
        <v>1.7343976283205826e-06</v>
      </c>
      <c r="C6" s="8">
        <v>1.7343976283205826e-06</v>
      </c>
      <c r="D6" s="8">
        <v>1.7343976283205826e-06</v>
      </c>
      <c r="E6" s="8">
        <v>1.7343976283205826e-06</v>
      </c>
      <c r="F6" s="8">
        <v>1.7343976283205826e-06</v>
      </c>
      <c r="G6" s="8">
        <v>1.7343976283205826e-06</v>
      </c>
      <c r="H6" s="8">
        <v>1.7343976283205826e-06</v>
      </c>
      <c r="I6" s="8">
        <v>1.7343976283205826e-06</v>
      </c>
      <c r="J6" s="8">
        <v>1.7343976283205826e-06</v>
      </c>
      <c r="K6" s="8"/>
      <c r="L6" s="8"/>
      <c r="M6" s="8"/>
      <c r="N6" s="8"/>
      <c r="O6" s="8"/>
    </row>
    <row r="7" x14ac:dyDescent="0.3">
      <c r="A7" s="13" t="s">
        <v>1187</v>
      </c>
      <c r="B7" s="8">
        <v>1.7343976283205826e-06</v>
      </c>
      <c r="C7" s="8">
        <v>1.7343976283205826e-06</v>
      </c>
      <c r="D7" s="8">
        <v>1.7343976283205826e-06</v>
      </c>
      <c r="E7" s="8">
        <v>1.7343976283205826e-06</v>
      </c>
      <c r="F7" s="8">
        <v>0.038723026479358991</v>
      </c>
      <c r="G7" s="8">
        <v>1.7343976283205826e-06</v>
      </c>
      <c r="H7" s="8">
        <v>1.7343976283205826e-06</v>
      </c>
      <c r="I7" s="8">
        <v>1.7343976283205826e-06</v>
      </c>
      <c r="J7" s="8">
        <v>1.7343976283205826e-06</v>
      </c>
      <c r="K7" s="8"/>
      <c r="L7" s="8"/>
      <c r="M7" s="8"/>
      <c r="N7" s="8"/>
      <c r="O7" s="8"/>
    </row>
    <row r="8" x14ac:dyDescent="0.3">
      <c r="A8" s="13" t="s">
        <v>1188</v>
      </c>
      <c r="B8" s="8">
        <v>1.7343976283205826e-06</v>
      </c>
      <c r="C8" s="8">
        <v>4.2856858691898783e-06</v>
      </c>
      <c r="D8" s="8">
        <v>1.7343976283205826e-06</v>
      </c>
      <c r="E8" s="8">
        <v>1.0246327832617652e-05</v>
      </c>
      <c r="F8" s="8">
        <v>1.7343976283205826e-06</v>
      </c>
      <c r="G8" s="8">
        <v>1.7343976283205826e-06</v>
      </c>
      <c r="H8" s="8">
        <v>1.7343976283205826e-06</v>
      </c>
      <c r="I8" s="8">
        <v>1.7343976283205826e-06</v>
      </c>
      <c r="J8" s="8">
        <v>1.7343976283205826e-06</v>
      </c>
      <c r="K8" s="8"/>
      <c r="L8" s="8"/>
      <c r="M8" s="8"/>
      <c r="N8" s="8"/>
      <c r="O8" s="8"/>
    </row>
    <row r="9" x14ac:dyDescent="0.3">
      <c r="A9" s="13" t="s">
        <v>1189</v>
      </c>
      <c r="B9" s="8">
        <v>1.7343976283205826e-06</v>
      </c>
      <c r="C9" s="8">
        <v>1.7343976283205826e-06</v>
      </c>
      <c r="D9" s="8">
        <v>1.7343976283205826e-06</v>
      </c>
      <c r="E9" s="8">
        <v>1.7343976283205826e-06</v>
      </c>
      <c r="F9" s="8">
        <v>1.7343976283205826e-06</v>
      </c>
      <c r="G9" s="8">
        <v>1.7343976283205826e-06</v>
      </c>
      <c r="H9" s="8">
        <v>1.7343976283205826e-06</v>
      </c>
      <c r="I9" s="8">
        <v>1.7343976283205826e-06</v>
      </c>
      <c r="J9" s="8">
        <v>1.7343976283205826e-06</v>
      </c>
      <c r="K9" s="8"/>
      <c r="L9" s="8"/>
      <c r="M9" s="8"/>
      <c r="N9" s="8"/>
      <c r="O9" s="8"/>
    </row>
    <row r="10" x14ac:dyDescent="0.3">
      <c r="A10" s="13" t="s">
        <v>1190</v>
      </c>
      <c r="B10" s="8">
        <v>1.7343976283205826e-06</v>
      </c>
      <c r="C10" s="8">
        <v>0.016565526979430409</v>
      </c>
      <c r="D10" s="8">
        <v>0.0011973381999984534</v>
      </c>
      <c r="E10" s="8">
        <v>1.9209211049031476e-06</v>
      </c>
      <c r="F10" s="8">
        <v>1.7343976283205826e-06</v>
      </c>
      <c r="G10" s="8">
        <v>1.7343976283205826e-06</v>
      </c>
      <c r="H10" s="8">
        <v>1.7343976283205826e-06</v>
      </c>
      <c r="I10" s="8">
        <v>1.7343976283205826e-06</v>
      </c>
      <c r="J10" s="8">
        <v>1.7343976283205826e-06</v>
      </c>
      <c r="K10" s="8"/>
      <c r="L10" s="8"/>
      <c r="M10" s="8"/>
      <c r="N10" s="8"/>
      <c r="O10" s="8"/>
    </row>
    <row r="11" x14ac:dyDescent="0.3">
      <c r="A11" s="13" t="s">
        <v>1191</v>
      </c>
      <c r="B11" s="8">
        <v>1.7343976283205826e-06</v>
      </c>
      <c r="C11" s="8">
        <v>0.0098421424016931561</v>
      </c>
      <c r="D11" s="8">
        <v>3.8821823860608705e-06</v>
      </c>
      <c r="E11" s="8">
        <v>0.46528258187908456</v>
      </c>
      <c r="F11" s="8">
        <v>2.1630223983536977e-05</v>
      </c>
      <c r="G11" s="8">
        <v>1.7343976283205826e-06</v>
      </c>
      <c r="H11" s="8">
        <v>1.7343976283205826e-06</v>
      </c>
      <c r="I11" s="8">
        <v>1.7343976283205826e-06</v>
      </c>
      <c r="J11" s="8">
        <v>0.65833052408813408</v>
      </c>
      <c r="K11" s="8"/>
      <c r="L11" s="8"/>
      <c r="M11" s="8"/>
      <c r="N11" s="8"/>
      <c r="O11" s="8"/>
    </row>
    <row r="12" x14ac:dyDescent="0.3">
      <c r="A12" s="13" t="s">
        <v>1192</v>
      </c>
      <c r="B12" s="8">
        <v>1.7343976283205826e-06</v>
      </c>
      <c r="C12" s="8">
        <v>0.12044472790832518</v>
      </c>
      <c r="D12" s="8">
        <v>0.044918903765480356</v>
      </c>
      <c r="E12" s="8">
        <v>0.47794743855272331</v>
      </c>
      <c r="F12" s="8">
        <v>1.7343976283205826e-06</v>
      </c>
      <c r="G12" s="8">
        <v>1.7343976283205826e-06</v>
      </c>
      <c r="H12" s="8">
        <v>1.7343976283205826e-06</v>
      </c>
      <c r="I12" s="8">
        <v>1.7343976283205826e-06</v>
      </c>
      <c r="J12" s="8">
        <v>1.7343976283205826e-06</v>
      </c>
      <c r="K12" s="8"/>
      <c r="L12" s="8"/>
      <c r="M12" s="8"/>
      <c r="N12" s="8"/>
      <c r="O12" s="8"/>
    </row>
    <row r="13" x14ac:dyDescent="0.3">
      <c r="A13" s="13" t="s">
        <v>1193</v>
      </c>
      <c r="B13" s="8">
        <v>1.7343976283205826e-06</v>
      </c>
      <c r="C13" s="8">
        <v>0.054462503971891126</v>
      </c>
      <c r="D13" s="8">
        <v>0.17137638877502237</v>
      </c>
      <c r="E13" s="8">
        <v>1.7343976283205826e-06</v>
      </c>
      <c r="F13" s="8">
        <v>0.10639417319061395</v>
      </c>
      <c r="G13" s="8">
        <v>1.7343976283205826e-06</v>
      </c>
      <c r="H13" s="8">
        <v>1.9209211049031476e-06</v>
      </c>
      <c r="I13" s="8">
        <v>1.7343976283205826e-06</v>
      </c>
      <c r="J13" s="8">
        <v>1.7343976283205826e-06</v>
      </c>
      <c r="K13" s="8"/>
      <c r="L13" s="8"/>
      <c r="M13" s="8"/>
      <c r="N13" s="8"/>
      <c r="O13" s="8"/>
    </row>
    <row r="14" x14ac:dyDescent="0.3">
      <c r="A14" s="13" t="s">
        <v>1194</v>
      </c>
      <c r="B14" s="8">
        <v>2.12663601073143e-06</v>
      </c>
      <c r="C14" s="8">
        <v>0.0015927015020870084</v>
      </c>
      <c r="D14" s="8">
        <v>1.7343976283205826e-06</v>
      </c>
      <c r="E14" s="8">
        <v>1.7343976283205826e-06</v>
      </c>
      <c r="F14" s="8">
        <v>1.7343976283205826e-06</v>
      </c>
      <c r="G14" s="8">
        <v>1.7343976283205826e-06</v>
      </c>
      <c r="H14" s="8">
        <v>1.7343976283205826e-06</v>
      </c>
      <c r="I14" s="8">
        <v>1.7343976283205826e-06</v>
      </c>
      <c r="J14" s="8">
        <v>1.7343976283205826e-06</v>
      </c>
      <c r="K14" s="8"/>
      <c r="L14" s="8"/>
      <c r="M14" s="8"/>
      <c r="N14" s="8"/>
      <c r="O14" s="8"/>
    </row>
    <row r="15" x14ac:dyDescent="0.3">
      <c r="A15" s="13" t="s">
        <v>1195</v>
      </c>
      <c r="B15" s="8">
        <v>1.7343976283205826e-06</v>
      </c>
      <c r="C15" s="8">
        <v>0.019569215233846415</v>
      </c>
      <c r="D15" s="8">
        <v>1.7343976283205826e-06</v>
      </c>
      <c r="E15" s="8">
        <v>0.0004896900705332653</v>
      </c>
      <c r="F15" s="8">
        <v>1.7343976283205826e-06</v>
      </c>
      <c r="G15" s="8">
        <v>1.7343976283205826e-06</v>
      </c>
      <c r="H15" s="8">
        <v>1.7343976283205826e-06</v>
      </c>
      <c r="I15" s="8">
        <v>1.7343976283205826e-06</v>
      </c>
      <c r="J15" s="8">
        <v>1.7343976283205826e-06</v>
      </c>
      <c r="K15" s="8"/>
      <c r="L15" s="8"/>
      <c r="M15" s="8"/>
      <c r="N15" s="8"/>
      <c r="O15" s="8"/>
    </row>
    <row r="16" x14ac:dyDescent="0.3">
      <c r="A16" s="13" t="s">
        <v>1196</v>
      </c>
      <c r="B16" s="8">
        <v>1.7343976283205826e-06</v>
      </c>
      <c r="C16" s="8">
        <v>0.97538716417633631</v>
      </c>
      <c r="D16" s="8">
        <v>1.7343976283205826e-06</v>
      </c>
      <c r="E16" s="8">
        <v>1.7343976283205826e-06</v>
      </c>
      <c r="F16" s="8">
        <v>1.7343976283205826e-06</v>
      </c>
      <c r="G16" s="8">
        <v>1.7343976283205826e-06</v>
      </c>
      <c r="H16" s="8">
        <v>1.7343976283205826e-06</v>
      </c>
      <c r="I16" s="8">
        <v>1.7343976283205826e-06</v>
      </c>
      <c r="J16" s="8">
        <v>1.7343976283205826e-06</v>
      </c>
      <c r="K16" s="8"/>
      <c r="L16" s="8"/>
      <c r="M16" s="8"/>
      <c r="N16" s="8"/>
      <c r="O16" s="8"/>
    </row>
    <row r="17" x14ac:dyDescent="0.3">
      <c r="A17" s="13" t="s">
        <v>1197</v>
      </c>
      <c r="B17" s="8">
        <v>1.7343976283205826e-06</v>
      </c>
      <c r="C17" s="8">
        <v>1.7343976283205826e-06</v>
      </c>
      <c r="D17" s="8">
        <v>1.7343976283205826e-06</v>
      </c>
      <c r="E17" s="8">
        <v>1.7343976283205826e-06</v>
      </c>
      <c r="F17" s="8">
        <v>1.7343976283205826e-06</v>
      </c>
      <c r="G17" s="8">
        <v>1.7343976283205826e-06</v>
      </c>
      <c r="H17" s="8">
        <v>1.7343976283205826e-06</v>
      </c>
      <c r="I17" s="8">
        <v>1.7343976283205826e-06</v>
      </c>
      <c r="J17" s="8">
        <v>1.7343976283205826e-06</v>
      </c>
      <c r="K17" s="8"/>
      <c r="L17" s="8"/>
      <c r="M17" s="8"/>
      <c r="N17" s="8"/>
      <c r="O17" s="8"/>
    </row>
    <row r="18" x14ac:dyDescent="0.3">
      <c r="A18" s="13" t="s">
        <v>1198</v>
      </c>
      <c r="B18" s="8">
        <v>1.7343976283205826e-06</v>
      </c>
      <c r="C18" s="8">
        <v>5.216493447033382e-06</v>
      </c>
      <c r="D18" s="8">
        <v>6.3197567643979481e-05</v>
      </c>
      <c r="E18" s="8">
        <v>2.3534209951215406e-06</v>
      </c>
      <c r="F18" s="8">
        <v>1.9209211049031476e-06</v>
      </c>
      <c r="G18" s="8">
        <v>1.7343976283205826e-06</v>
      </c>
      <c r="H18" s="8">
        <v>1.7343976283205826e-06</v>
      </c>
      <c r="I18" s="8">
        <v>1.7343976283205826e-06</v>
      </c>
      <c r="J18" s="8">
        <v>1.7343976283205826e-06</v>
      </c>
      <c r="K18" s="8"/>
      <c r="L18" s="8"/>
      <c r="M18" s="8"/>
      <c r="N18" s="8"/>
      <c r="O18" s="8"/>
    </row>
    <row r="19" x14ac:dyDescent="0.3">
      <c r="A19" s="13" t="s">
        <v>1199</v>
      </c>
      <c r="B19" s="8">
        <v>1.7343976283205826e-06</v>
      </c>
      <c r="C19" s="8">
        <v>1.7343976283205826e-06</v>
      </c>
      <c r="D19" s="8">
        <v>1.9209211049031476e-06</v>
      </c>
      <c r="E19" s="8">
        <v>1.9209211049031476e-06</v>
      </c>
      <c r="F19" s="8">
        <v>1.7343976283205826e-06</v>
      </c>
      <c r="G19" s="8">
        <v>1.7343976283205826e-06</v>
      </c>
      <c r="H19" s="8">
        <v>1.7343976283205826e-06</v>
      </c>
      <c r="I19" s="8">
        <v>1.7343976283205826e-06</v>
      </c>
      <c r="J19" s="8">
        <v>1.7343976283205826e-06</v>
      </c>
      <c r="K19" s="8"/>
      <c r="L19" s="8"/>
      <c r="M19" s="8"/>
      <c r="N19" s="8"/>
      <c r="O19" s="8"/>
    </row>
    <row r="20" x14ac:dyDescent="0.3">
      <c r="A20" s="13" t="s">
        <v>1200</v>
      </c>
      <c r="B20" s="8">
        <v>1.7343976283205826e-06</v>
      </c>
      <c r="C20" s="8">
        <v>7.5136622549448184e-05</v>
      </c>
      <c r="D20" s="8">
        <v>1.7343976283205826e-06</v>
      </c>
      <c r="E20" s="8">
        <v>0.0025845592065520105</v>
      </c>
      <c r="F20" s="8">
        <v>1.9209211049031476e-06</v>
      </c>
      <c r="G20" s="8">
        <v>1.7343976283205826e-06</v>
      </c>
      <c r="H20" s="8">
        <v>1.7343976283205826e-06</v>
      </c>
      <c r="I20" s="8">
        <v>1.7343976283205826e-06</v>
      </c>
      <c r="J20" s="8">
        <v>1.7343976283205826e-06</v>
      </c>
      <c r="K20" s="8"/>
      <c r="L20" s="8"/>
      <c r="M20" s="8"/>
      <c r="N20" s="8"/>
      <c r="O20" s="8"/>
    </row>
    <row r="21" x14ac:dyDescent="0.3">
      <c r="A21" s="13" t="s">
        <v>1201</v>
      </c>
      <c r="B21" s="8">
        <v>1.7343976283205826e-06</v>
      </c>
      <c r="C21" s="8">
        <v>3.5152372790448369e-06</v>
      </c>
      <c r="D21" s="8">
        <v>1.7343976283205826e-06</v>
      </c>
      <c r="E21" s="8">
        <v>1.7343976283205826e-06</v>
      </c>
      <c r="F21" s="8">
        <v>3.5152372790448369e-06</v>
      </c>
      <c r="G21" s="8">
        <v>1.7343976283205826e-06</v>
      </c>
      <c r="H21" s="8">
        <v>1.7343976283205826e-06</v>
      </c>
      <c r="I21" s="8">
        <v>1.7343976283205826e-06</v>
      </c>
      <c r="J21" s="8">
        <v>1.7343976283205826e-06</v>
      </c>
      <c r="K21" s="8"/>
      <c r="L21" s="8"/>
      <c r="M21" s="8"/>
      <c r="N21" s="8"/>
      <c r="O21" s="8"/>
    </row>
    <row r="22" x14ac:dyDescent="0.3">
      <c r="A22" s="13" t="s">
        <v>1202</v>
      </c>
      <c r="B22" s="8">
        <v>1.7343976283205826e-06</v>
      </c>
      <c r="C22" s="8">
        <v>1.7343976283205826e-06</v>
      </c>
      <c r="D22" s="8">
        <v>1.7343976283205826e-06</v>
      </c>
      <c r="E22" s="8">
        <v>1.7343976283205826e-06</v>
      </c>
      <c r="F22" s="8">
        <v>1.7343976283205826e-06</v>
      </c>
      <c r="G22" s="8">
        <v>1.7343976283205826e-06</v>
      </c>
      <c r="H22" s="8">
        <v>1.7343976283205826e-06</v>
      </c>
      <c r="I22" s="8">
        <v>1.7343976283205826e-06</v>
      </c>
      <c r="J22" s="8">
        <v>1.7343976283205826e-06</v>
      </c>
      <c r="K22" s="8"/>
      <c r="L22" s="8"/>
      <c r="M22" s="8"/>
      <c r="N22" s="8"/>
      <c r="O22" s="8"/>
    </row>
    <row r="23" x14ac:dyDescent="0.3">
      <c r="A23" s="13" t="s">
        <v>1203</v>
      </c>
      <c r="B23" s="8">
        <v>1.7343976283205826e-06</v>
      </c>
      <c r="C23" s="8">
        <v>3.5152372790448369e-06</v>
      </c>
      <c r="D23" s="8">
        <v>1.7343976283205826e-06</v>
      </c>
      <c r="E23" s="8">
        <v>1.7343976283205826e-06</v>
      </c>
      <c r="F23" s="8">
        <v>1.7343976283205826e-06</v>
      </c>
      <c r="G23" s="8">
        <v>1.7343976283205826e-06</v>
      </c>
      <c r="H23" s="8">
        <v>1.7343976283205826e-06</v>
      </c>
      <c r="I23" s="8">
        <v>1.7343976283205826e-06</v>
      </c>
      <c r="J23" s="8">
        <v>1.7343976283205826e-06</v>
      </c>
      <c r="K23" s="8"/>
      <c r="L23" s="8"/>
      <c r="M23" s="8"/>
      <c r="N23" s="8"/>
      <c r="O23" s="8"/>
    </row>
    <row r="24" x14ac:dyDescent="0.3">
      <c r="A24" s="13" t="s">
        <v>1204</v>
      </c>
      <c r="B24" s="8">
        <v>1.7343976283205826e-06</v>
      </c>
      <c r="C24" s="8">
        <v>0.014795424247745157</v>
      </c>
      <c r="D24" s="8">
        <v>0.051930665029697204</v>
      </c>
      <c r="E24" s="8">
        <v>4.4493372834531134e-05</v>
      </c>
      <c r="F24" s="8">
        <v>0.044918903765480356</v>
      </c>
      <c r="G24" s="8">
        <v>1.7343976283205826e-06</v>
      </c>
      <c r="H24" s="8">
        <v>1.7343976283205826e-06</v>
      </c>
      <c r="I24" s="8">
        <v>1.7343976283205826e-06</v>
      </c>
      <c r="J24" s="8">
        <v>0.22102157481330351</v>
      </c>
      <c r="K24" s="8"/>
      <c r="L24" s="8"/>
      <c r="M24" s="8"/>
      <c r="N24" s="8"/>
      <c r="O24" s="8"/>
    </row>
    <row r="25" x14ac:dyDescent="0.3">
      <c r="A25" s="13" t="s">
        <v>1205</v>
      </c>
      <c r="B25" s="8">
        <v>1.7343976283205826e-06</v>
      </c>
      <c r="C25" s="8">
        <v>1</v>
      </c>
      <c r="D25" s="8">
        <v>1.7343976283205826e-06</v>
      </c>
      <c r="E25" s="8">
        <v>1.7343976283205826e-06</v>
      </c>
      <c r="F25" s="8">
        <v>1.7343976283205826e-06</v>
      </c>
      <c r="G25" s="8">
        <v>1.7343976283205826e-06</v>
      </c>
      <c r="H25" s="8">
        <v>1.7343976283205826e-06</v>
      </c>
      <c r="I25" s="8">
        <v>1.7343976283205826e-06</v>
      </c>
      <c r="J25" s="8">
        <v>1.7343976283205826e-06</v>
      </c>
      <c r="K25" s="8"/>
      <c r="L25" s="8"/>
      <c r="M25" s="8"/>
      <c r="N25" s="8"/>
      <c r="O25" s="8"/>
    </row>
    <row r="26" x14ac:dyDescent="0.3">
      <c r="A26" s="13" t="s">
        <v>1206</v>
      </c>
      <c r="B26" s="8">
        <v>1.7343976283205826e-06</v>
      </c>
      <c r="C26" s="8">
        <v>0.000244140625</v>
      </c>
      <c r="D26" s="8">
        <v>1.7343976283205826e-06</v>
      </c>
      <c r="E26" s="8">
        <v>1.7343976283205826e-06</v>
      </c>
      <c r="F26" s="8">
        <v>1.7343976283205826e-06</v>
      </c>
      <c r="G26" s="8">
        <v>1.7343976283205826e-06</v>
      </c>
      <c r="H26" s="8">
        <v>1.7343976283205826e-06</v>
      </c>
      <c r="I26" s="8">
        <v>1.7343976283205826e-06</v>
      </c>
      <c r="J26" s="8">
        <v>1.7343976283205826e-06</v>
      </c>
      <c r="K26" s="8"/>
      <c r="L26" s="8"/>
      <c r="M26" s="8"/>
      <c r="N26" s="8"/>
      <c r="O26" s="8"/>
    </row>
    <row r="27" x14ac:dyDescent="0.3">
      <c r="A27" s="13" t="s">
        <v>1207</v>
      </c>
      <c r="B27" s="8">
        <v>1.7343976283205826e-06</v>
      </c>
      <c r="C27" s="8">
        <v>1</v>
      </c>
      <c r="D27" s="8">
        <v>1.7343976283205826e-06</v>
      </c>
      <c r="E27" s="8">
        <v>1.7343976283205826e-06</v>
      </c>
      <c r="F27" s="8">
        <v>1.7343976283205826e-06</v>
      </c>
      <c r="G27" s="8">
        <v>1.7343976283205826e-06</v>
      </c>
      <c r="H27" s="8">
        <v>1.7343976283205826e-06</v>
      </c>
      <c r="I27" s="8">
        <v>1.7343976283205826e-06</v>
      </c>
      <c r="J27" s="8">
        <v>1.7343976283205826e-06</v>
      </c>
      <c r="K27" s="8"/>
      <c r="L27" s="8"/>
      <c r="M27" s="8"/>
      <c r="N27" s="8"/>
      <c r="O27" s="8"/>
    </row>
    <row r="28" x14ac:dyDescent="0.3">
      <c r="A28" s="13" t="s">
        <v>1208</v>
      </c>
      <c r="B28" s="8">
        <v>1.7343976283205826e-06</v>
      </c>
      <c r="C28" s="8">
        <v>1</v>
      </c>
      <c r="D28" s="8">
        <v>1.7343976283205826e-06</v>
      </c>
      <c r="E28" s="8">
        <v>1.7343976283205826e-06</v>
      </c>
      <c r="F28" s="8">
        <v>1.7343976283205826e-06</v>
      </c>
      <c r="G28" s="8">
        <v>3.1123151153729202e-05</v>
      </c>
      <c r="H28" s="8">
        <v>2.3704477025504914e-05</v>
      </c>
      <c r="I28" s="8">
        <v>1.3601107967991009e-05</v>
      </c>
      <c r="J28" s="8">
        <v>1.7343976283205826e-06</v>
      </c>
      <c r="K28" s="8"/>
      <c r="L28" s="8"/>
      <c r="M28" s="8"/>
      <c r="N28" s="8"/>
      <c r="O28" s="8"/>
    </row>
    <row r="29" x14ac:dyDescent="0.3">
      <c r="A29" s="13" t="s">
        <v>1209</v>
      </c>
      <c r="B29" s="8">
        <v>1.7343976283205826e-06</v>
      </c>
      <c r="C29" s="8">
        <v>1</v>
      </c>
      <c r="D29" s="8">
        <v>1.7343976283205826e-06</v>
      </c>
      <c r="E29" s="8">
        <v>1.7343976283205826e-06</v>
      </c>
      <c r="F29" s="8">
        <v>1.7343976283205826e-06</v>
      </c>
      <c r="G29" s="8">
        <v>5.3069919380911133e-05</v>
      </c>
      <c r="H29" s="8">
        <v>5.3069919380911133e-05</v>
      </c>
      <c r="I29" s="8">
        <v>5.3069919380911133e-05</v>
      </c>
      <c r="J29" s="8">
        <v>1.7343976283205826e-06</v>
      </c>
      <c r="K29" s="8"/>
      <c r="L29" s="8"/>
      <c r="M29" s="8"/>
      <c r="N29" s="8"/>
      <c r="O29" s="8"/>
    </row>
    <row r="30" x14ac:dyDescent="0.3">
      <c r="A30" s="13" t="s">
        <v>1210</v>
      </c>
      <c r="B30" s="8">
        <v>1.7343976283205826e-06</v>
      </c>
      <c r="C30" s="8">
        <v>1</v>
      </c>
      <c r="D30" s="8">
        <v>1.7343976283205826e-06</v>
      </c>
      <c r="E30" s="8">
        <v>1.7343976283205826e-06</v>
      </c>
      <c r="F30" s="8">
        <v>1.7343976283205826e-06</v>
      </c>
      <c r="G30" s="8">
        <v>0.030009891313080801</v>
      </c>
      <c r="H30" s="8">
        <v>0.37093530784512468</v>
      </c>
      <c r="I30" s="8">
        <v>0.22888042228496513</v>
      </c>
      <c r="J30" s="8">
        <v>1.7343976283205826e-06</v>
      </c>
      <c r="K30" s="8"/>
      <c r="L30" s="8"/>
      <c r="M30" s="8"/>
      <c r="N30" s="8"/>
      <c r="O30" s="8"/>
    </row>
    <row r="31" x14ac:dyDescent="0.3">
      <c r="A31" s="13" t="s">
        <v>1211</v>
      </c>
      <c r="B31" s="8">
        <v>1.7343976283205826e-06</v>
      </c>
      <c r="C31" s="8">
        <v>1</v>
      </c>
      <c r="D31" s="8">
        <v>1.7343976283205826e-06</v>
      </c>
      <c r="E31" s="8">
        <v>1.7343976283205826e-06</v>
      </c>
      <c r="F31" s="8">
        <v>1.7343976283205826e-06</v>
      </c>
      <c r="G31" s="8">
        <v>1.7343976283205826e-06</v>
      </c>
      <c r="H31" s="8">
        <v>1.3601107967991009e-05</v>
      </c>
      <c r="I31" s="8">
        <v>2.12663601073143e-06</v>
      </c>
      <c r="J31" s="8">
        <v>1.7343976283205826e-06</v>
      </c>
      <c r="K31" s="8"/>
      <c r="L31" s="8"/>
      <c r="M31" s="8"/>
      <c r="N31" s="8"/>
      <c r="O31" s="8"/>
    </row>
    <row r="32" x14ac:dyDescent="0.3">
      <c r="A32" s="12" t="s">
        <v>1212</v>
      </c>
      <c r="B32" s="10">
        <v>1.7343976283205826e-06</v>
      </c>
      <c r="C32" s="10">
        <v>1</v>
      </c>
      <c r="D32" s="10">
        <v>1.7343976283205826e-06</v>
      </c>
      <c r="E32" s="10">
        <v>1.7343976283205826e-06</v>
      </c>
      <c r="F32" s="10">
        <v>1.7343976283205826e-06</v>
      </c>
      <c r="G32" s="10">
        <v>3.5152372790448369e-06</v>
      </c>
      <c r="H32" s="10">
        <v>1.7343976283205826e-06</v>
      </c>
      <c r="I32" s="10">
        <v>1.7343976283205826e-06</v>
      </c>
      <c r="J32" s="10">
        <v>1.7343976283205826e-06</v>
      </c>
      <c r="K32" s="10"/>
      <c r="L32" s="10"/>
      <c r="M32" s="10"/>
      <c r="N32" s="10"/>
      <c r="O32" s="10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selection sqref="A1:XFD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2.6015625" bestFit="true" customWidth="true"/>
    <col min="9" max="9" width="11.6015625" bestFit="true" customWidth="true"/>
    <col min="10" max="10" width="15.37890625" bestFit="true" customWidth="true"/>
    <col min="8" max="8" width="11.48828125" bestFit="true" customWidth="true"/>
    <col min="11" max="11" width="2" bestFit="true" customWidth="true"/>
  </cols>
  <sheetData>
    <row r="1" ht="15" thickBot="true" x14ac:dyDescent="0.35">
      <c r="A1" s="29" t="s">
        <v>318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x14ac:dyDescent="0.3">
      <c r="A2" s="5" t="s">
        <v>1218</v>
      </c>
      <c r="B2" s="5" t="s">
        <v>1249</v>
      </c>
      <c r="C2" s="5" t="s">
        <v>1250</v>
      </c>
      <c r="D2" s="5" t="s">
        <v>1251</v>
      </c>
      <c r="E2" s="5" t="s">
        <v>1252</v>
      </c>
      <c r="F2" s="5" t="s">
        <v>1253</v>
      </c>
      <c r="G2" s="5" t="s">
        <v>937</v>
      </c>
      <c r="H2" s="5" t="s">
        <v>938</v>
      </c>
      <c r="I2" s="5" t="s">
        <v>939</v>
      </c>
      <c r="J2" s="5" t="s">
        <v>609</v>
      </c>
      <c r="K2" s="5"/>
      <c r="L2" s="5"/>
      <c r="M2" s="5"/>
      <c r="N2" s="5"/>
      <c r="O2" s="5"/>
    </row>
    <row r="3" x14ac:dyDescent="0.3">
      <c r="A3" s="3" t="s">
        <v>1219</v>
      </c>
      <c r="B3" s="17">
        <v>1</v>
      </c>
      <c r="C3" s="17">
        <v>1</v>
      </c>
      <c r="D3" s="17">
        <v>1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7">
        <v>1</v>
      </c>
      <c r="K3" s="17">
        <v>1</v>
      </c>
      <c r="L3" s="17"/>
      <c r="M3" s="17"/>
      <c r="N3" s="17"/>
      <c r="O3" s="17"/>
    </row>
    <row r="4" x14ac:dyDescent="0.3">
      <c r="A4" s="9" t="s">
        <v>1220</v>
      </c>
      <c r="B4" s="18">
        <v>1</v>
      </c>
      <c r="C4" s="18">
        <v>1</v>
      </c>
      <c r="D4" s="18">
        <v>1</v>
      </c>
      <c r="E4" s="18">
        <v>1</v>
      </c>
      <c r="F4" s="18">
        <v>1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/>
      <c r="M4" s="18"/>
      <c r="N4" s="18"/>
      <c r="O4" s="18"/>
    </row>
    <row r="5" x14ac:dyDescent="0.3">
      <c r="A5" s="9" t="s">
        <v>1221</v>
      </c>
      <c r="B5" s="18">
        <v>1</v>
      </c>
      <c r="C5" s="18">
        <v>1</v>
      </c>
      <c r="D5" s="18">
        <v>1</v>
      </c>
      <c r="E5" s="18">
        <v>1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/>
      <c r="M5" s="18"/>
      <c r="N5" s="18"/>
      <c r="O5" s="18"/>
    </row>
    <row r="6" x14ac:dyDescent="0.3">
      <c r="A6" s="9" t="s">
        <v>1222</v>
      </c>
      <c r="B6" s="18">
        <v>1</v>
      </c>
      <c r="C6" s="18">
        <v>1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/>
      <c r="M6" s="18"/>
      <c r="N6" s="18"/>
      <c r="O6" s="18"/>
    </row>
    <row r="7" x14ac:dyDescent="0.3">
      <c r="A7" s="9" t="s">
        <v>1223</v>
      </c>
      <c r="B7" s="18">
        <v>1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/>
      <c r="M7" s="18"/>
      <c r="N7" s="18"/>
      <c r="O7" s="18"/>
    </row>
    <row r="8" x14ac:dyDescent="0.3">
      <c r="A8" s="9" t="s">
        <v>1224</v>
      </c>
      <c r="B8" s="18">
        <v>1</v>
      </c>
      <c r="C8" s="18">
        <v>1</v>
      </c>
      <c r="D8" s="18">
        <v>1</v>
      </c>
      <c r="E8" s="18">
        <v>1</v>
      </c>
      <c r="F8" s="18">
        <v>1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/>
      <c r="M8" s="18"/>
      <c r="N8" s="18"/>
      <c r="O8" s="18"/>
    </row>
    <row r="9" x14ac:dyDescent="0.3">
      <c r="A9" s="9" t="s">
        <v>1225</v>
      </c>
      <c r="B9" s="18">
        <v>1</v>
      </c>
      <c r="C9" s="18">
        <v>1</v>
      </c>
      <c r="D9" s="18">
        <v>1</v>
      </c>
      <c r="E9" s="18">
        <v>1</v>
      </c>
      <c r="F9" s="18">
        <v>1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/>
      <c r="M9" s="18"/>
      <c r="N9" s="18"/>
      <c r="O9" s="18"/>
    </row>
    <row r="10" x14ac:dyDescent="0.3">
      <c r="A10" s="9" t="s">
        <v>1226</v>
      </c>
      <c r="B10" s="18">
        <v>1</v>
      </c>
      <c r="C10" s="18">
        <v>1</v>
      </c>
      <c r="D10" s="18">
        <v>1</v>
      </c>
      <c r="E10" s="18">
        <v>1</v>
      </c>
      <c r="F10" s="18">
        <v>1</v>
      </c>
      <c r="G10" s="18">
        <v>1</v>
      </c>
      <c r="H10" s="18">
        <v>1</v>
      </c>
      <c r="I10" s="18">
        <v>1</v>
      </c>
      <c r="J10" s="18">
        <v>1</v>
      </c>
      <c r="K10" s="18">
        <v>0</v>
      </c>
      <c r="L10" s="18"/>
      <c r="M10" s="18"/>
      <c r="N10" s="18"/>
      <c r="O10" s="18"/>
    </row>
    <row r="11" x14ac:dyDescent="0.3">
      <c r="A11" s="9" t="s">
        <v>1227</v>
      </c>
      <c r="B11" s="18">
        <v>1</v>
      </c>
      <c r="C11" s="18">
        <v>1</v>
      </c>
      <c r="D11" s="18">
        <v>1</v>
      </c>
      <c r="E11" s="18">
        <v>0</v>
      </c>
      <c r="F11" s="18">
        <v>1</v>
      </c>
      <c r="G11" s="18">
        <v>1</v>
      </c>
      <c r="H11" s="18">
        <v>1</v>
      </c>
      <c r="I11" s="18">
        <v>1</v>
      </c>
      <c r="J11" s="18">
        <v>0</v>
      </c>
      <c r="K11" s="18">
        <v>1</v>
      </c>
      <c r="L11" s="18"/>
      <c r="M11" s="18"/>
      <c r="N11" s="18"/>
      <c r="O11" s="18"/>
    </row>
    <row r="12" x14ac:dyDescent="0.3">
      <c r="A12" s="9" t="s">
        <v>1228</v>
      </c>
      <c r="B12" s="18">
        <v>1</v>
      </c>
      <c r="C12" s="18">
        <v>0</v>
      </c>
      <c r="D12" s="18">
        <v>1</v>
      </c>
      <c r="E12" s="18">
        <v>0</v>
      </c>
      <c r="F12" s="18">
        <v>1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/>
      <c r="M12" s="18"/>
      <c r="N12" s="18"/>
      <c r="O12" s="18"/>
    </row>
    <row r="13" x14ac:dyDescent="0.3">
      <c r="A13" s="9" t="s">
        <v>1229</v>
      </c>
      <c r="B13" s="18">
        <v>1</v>
      </c>
      <c r="C13" s="18">
        <v>0</v>
      </c>
      <c r="D13" s="18">
        <v>0</v>
      </c>
      <c r="E13" s="18">
        <v>1</v>
      </c>
      <c r="F13" s="18">
        <v>0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/>
      <c r="M13" s="18"/>
      <c r="N13" s="18"/>
      <c r="O13" s="18"/>
    </row>
    <row r="14" x14ac:dyDescent="0.3">
      <c r="A14" s="9" t="s">
        <v>1230</v>
      </c>
      <c r="B14" s="18">
        <v>1</v>
      </c>
      <c r="C14" s="18">
        <v>1</v>
      </c>
      <c r="D14" s="18">
        <v>1</v>
      </c>
      <c r="E14" s="18">
        <v>1</v>
      </c>
      <c r="F14" s="18">
        <v>1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/>
      <c r="M14" s="18"/>
      <c r="N14" s="18"/>
      <c r="O14" s="18"/>
    </row>
    <row r="15" x14ac:dyDescent="0.3">
      <c r="A15" s="9" t="s">
        <v>1231</v>
      </c>
      <c r="B15" s="18">
        <v>1</v>
      </c>
      <c r="C15" s="18">
        <v>1</v>
      </c>
      <c r="D15" s="18">
        <v>1</v>
      </c>
      <c r="E15" s="18">
        <v>1</v>
      </c>
      <c r="F15" s="18">
        <v>1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/>
      <c r="M15" s="18"/>
      <c r="N15" s="18"/>
      <c r="O15" s="18"/>
    </row>
    <row r="16" x14ac:dyDescent="0.3">
      <c r="A16" s="9" t="s">
        <v>1232</v>
      </c>
      <c r="B16" s="18">
        <v>1</v>
      </c>
      <c r="C16" s="18">
        <v>0</v>
      </c>
      <c r="D16" s="18">
        <v>1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/>
      <c r="M16" s="18"/>
      <c r="N16" s="18"/>
      <c r="O16" s="18"/>
    </row>
    <row r="17" x14ac:dyDescent="0.3">
      <c r="A17" s="9" t="s">
        <v>1233</v>
      </c>
      <c r="B17" s="18">
        <v>1</v>
      </c>
      <c r="C17" s="18">
        <v>1</v>
      </c>
      <c r="D17" s="18">
        <v>1</v>
      </c>
      <c r="E17" s="18">
        <v>1</v>
      </c>
      <c r="F17" s="18">
        <v>1</v>
      </c>
      <c r="G17" s="18">
        <v>1</v>
      </c>
      <c r="H17" s="18">
        <v>1</v>
      </c>
      <c r="I17" s="18">
        <v>1</v>
      </c>
      <c r="J17" s="18">
        <v>1</v>
      </c>
      <c r="K17" s="18">
        <v>1</v>
      </c>
      <c r="L17" s="18"/>
      <c r="M17" s="18"/>
      <c r="N17" s="18"/>
      <c r="O17" s="18"/>
    </row>
    <row r="18" x14ac:dyDescent="0.3">
      <c r="A18" s="9" t="s">
        <v>1234</v>
      </c>
      <c r="B18" s="18">
        <v>1</v>
      </c>
      <c r="C18" s="18">
        <v>1</v>
      </c>
      <c r="D18" s="18">
        <v>1</v>
      </c>
      <c r="E18" s="18">
        <v>1</v>
      </c>
      <c r="F18" s="18">
        <v>1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/>
      <c r="M18" s="18"/>
      <c r="N18" s="18"/>
      <c r="O18" s="18"/>
    </row>
    <row r="19" x14ac:dyDescent="0.3">
      <c r="A19" s="9" t="s">
        <v>1235</v>
      </c>
      <c r="B19" s="18">
        <v>1</v>
      </c>
      <c r="C19" s="18">
        <v>1</v>
      </c>
      <c r="D19" s="18">
        <v>1</v>
      </c>
      <c r="E19" s="18">
        <v>1</v>
      </c>
      <c r="F19" s="18">
        <v>1</v>
      </c>
      <c r="G19" s="18">
        <v>1</v>
      </c>
      <c r="H19" s="18">
        <v>1</v>
      </c>
      <c r="I19" s="18">
        <v>1</v>
      </c>
      <c r="J19" s="18">
        <v>1</v>
      </c>
      <c r="K19" s="18">
        <v>1</v>
      </c>
      <c r="L19" s="18"/>
      <c r="M19" s="18"/>
      <c r="N19" s="18"/>
      <c r="O19" s="18"/>
    </row>
    <row r="20" x14ac:dyDescent="0.3">
      <c r="A20" s="9" t="s">
        <v>1236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/>
      <c r="M20" s="18"/>
      <c r="N20" s="18"/>
      <c r="O20" s="18"/>
    </row>
    <row r="21" x14ac:dyDescent="0.3">
      <c r="A21" s="9" t="s">
        <v>1237</v>
      </c>
      <c r="B21" s="18">
        <v>1</v>
      </c>
      <c r="C21" s="18">
        <v>1</v>
      </c>
      <c r="D21" s="18">
        <v>1</v>
      </c>
      <c r="E21" s="18">
        <v>1</v>
      </c>
      <c r="F21" s="18">
        <v>1</v>
      </c>
      <c r="G21" s="18">
        <v>1</v>
      </c>
      <c r="H21" s="18">
        <v>1</v>
      </c>
      <c r="I21" s="18">
        <v>1</v>
      </c>
      <c r="J21" s="18">
        <v>1</v>
      </c>
      <c r="K21" s="18">
        <v>1</v>
      </c>
      <c r="L21" s="18"/>
      <c r="M21" s="18"/>
      <c r="N21" s="18"/>
      <c r="O21" s="18"/>
    </row>
    <row r="22" x14ac:dyDescent="0.3">
      <c r="A22" s="9" t="s">
        <v>1238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/>
      <c r="M22" s="18"/>
      <c r="N22" s="18"/>
      <c r="O22" s="18"/>
    </row>
    <row r="23" x14ac:dyDescent="0.3">
      <c r="A23" s="9" t="s">
        <v>1239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/>
      <c r="M23" s="18"/>
      <c r="N23" s="18"/>
      <c r="O23" s="18"/>
    </row>
    <row r="24" x14ac:dyDescent="0.3">
      <c r="A24" s="9" t="s">
        <v>1240</v>
      </c>
      <c r="B24" s="18">
        <v>1</v>
      </c>
      <c r="C24" s="18">
        <v>1</v>
      </c>
      <c r="D24" s="18">
        <v>0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0</v>
      </c>
      <c r="K24" s="18">
        <v>1</v>
      </c>
      <c r="L24" s="18"/>
      <c r="M24" s="18"/>
      <c r="N24" s="18"/>
      <c r="O24" s="18"/>
    </row>
    <row r="25" x14ac:dyDescent="0.3">
      <c r="A25" s="9" t="s">
        <v>1241</v>
      </c>
      <c r="B25" s="18">
        <v>1</v>
      </c>
      <c r="C25" s="18">
        <v>0</v>
      </c>
      <c r="D25" s="18">
        <v>1</v>
      </c>
      <c r="E25" s="18">
        <v>1</v>
      </c>
      <c r="F25" s="18">
        <v>1</v>
      </c>
      <c r="G25" s="18">
        <v>1</v>
      </c>
      <c r="H25" s="18">
        <v>1</v>
      </c>
      <c r="I25" s="18">
        <v>1</v>
      </c>
      <c r="J25" s="18">
        <v>1</v>
      </c>
      <c r="K25" s="18">
        <v>1</v>
      </c>
      <c r="L25" s="18"/>
      <c r="M25" s="18"/>
      <c r="N25" s="18"/>
      <c r="O25" s="18"/>
    </row>
    <row r="26" x14ac:dyDescent="0.3">
      <c r="A26" s="9" t="s">
        <v>1242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/>
      <c r="M26" s="18"/>
      <c r="N26" s="18"/>
      <c r="O26" s="18"/>
    </row>
    <row r="27" x14ac:dyDescent="0.3">
      <c r="A27" s="9" t="s">
        <v>1243</v>
      </c>
      <c r="B27" s="18">
        <v>1</v>
      </c>
      <c r="C27" s="18">
        <v>0</v>
      </c>
      <c r="D27" s="18">
        <v>1</v>
      </c>
      <c r="E27" s="18">
        <v>1</v>
      </c>
      <c r="F27" s="18">
        <v>1</v>
      </c>
      <c r="G27" s="18">
        <v>1</v>
      </c>
      <c r="H27" s="18">
        <v>1</v>
      </c>
      <c r="I27" s="18">
        <v>1</v>
      </c>
      <c r="J27" s="18">
        <v>1</v>
      </c>
      <c r="K27" s="18">
        <v>1</v>
      </c>
      <c r="L27" s="18"/>
      <c r="M27" s="18"/>
      <c r="N27" s="18"/>
      <c r="O27" s="18"/>
    </row>
    <row r="28" x14ac:dyDescent="0.3">
      <c r="A28" s="9" t="s">
        <v>1244</v>
      </c>
      <c r="B28" s="18">
        <v>1</v>
      </c>
      <c r="C28" s="18">
        <v>0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/>
      <c r="M28" s="18"/>
      <c r="N28" s="18"/>
      <c r="O28" s="18"/>
    </row>
    <row r="29" x14ac:dyDescent="0.3">
      <c r="A29" s="9" t="s">
        <v>1245</v>
      </c>
      <c r="B29" s="18">
        <v>1</v>
      </c>
      <c r="C29" s="18">
        <v>0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/>
      <c r="M29" s="18"/>
      <c r="N29" s="18"/>
      <c r="O29" s="18"/>
    </row>
    <row r="30" x14ac:dyDescent="0.3">
      <c r="A30" s="9" t="s">
        <v>1246</v>
      </c>
      <c r="B30" s="18">
        <v>1</v>
      </c>
      <c r="C30" s="18">
        <v>0</v>
      </c>
      <c r="D30" s="18">
        <v>1</v>
      </c>
      <c r="E30" s="18">
        <v>1</v>
      </c>
      <c r="F30" s="18">
        <v>1</v>
      </c>
      <c r="G30" s="18">
        <v>1</v>
      </c>
      <c r="H30" s="18">
        <v>0</v>
      </c>
      <c r="I30" s="18">
        <v>0</v>
      </c>
      <c r="J30" s="18">
        <v>1</v>
      </c>
      <c r="K30" s="18">
        <v>1</v>
      </c>
      <c r="L30" s="18"/>
      <c r="M30" s="18"/>
      <c r="N30" s="18"/>
      <c r="O30" s="18"/>
    </row>
    <row r="31" x14ac:dyDescent="0.3">
      <c r="A31" s="9" t="s">
        <v>1247</v>
      </c>
      <c r="B31" s="18">
        <v>1</v>
      </c>
      <c r="C31" s="18">
        <v>0</v>
      </c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8"/>
      <c r="M31" s="18"/>
      <c r="N31" s="18"/>
      <c r="O31" s="18"/>
    </row>
    <row r="32" x14ac:dyDescent="0.3">
      <c r="A32" s="5" t="s">
        <v>1248</v>
      </c>
      <c r="B32" s="19">
        <v>1</v>
      </c>
      <c r="C32" s="19">
        <v>0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/>
      <c r="L32" s="19"/>
      <c r="M32" s="19"/>
      <c r="N32" s="19"/>
      <c r="O32" s="19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>
      <selection sqref="A1:XFD1048576"/>
    </sheetView>
  </sheetViews>
  <sheetFormatPr defaultRowHeight="14.4" x14ac:dyDescent="0.3"/>
  <cols>
    <col min="1" max="1" width="8.15625" style="1" bestFit="true" customWidth="true"/>
    <col min="2" max="2" width="16.82421875" style="1" bestFit="true" customWidth="true"/>
    <col min="3" max="3" width="17.48828125" style="1" bestFit="true" customWidth="true"/>
    <col min="4" max="4" width="18.046875" style="1" bestFit="true" customWidth="true"/>
    <col min="5" max="5" width="16.93359375" style="1" bestFit="true" customWidth="true"/>
    <col min="6" max="6" width="16.046875" style="1" bestFit="true" customWidth="true"/>
    <col min="7" max="7" width="12.6015625" style="1" bestFit="true" customWidth="true"/>
    <col min="8" max="8" width="11.48828125" style="1" bestFit="true" customWidth="true"/>
    <col min="9" max="9" width="11.6015625" style="1" bestFit="true" customWidth="true"/>
    <col min="10" max="10" width="15.37890625" style="1" bestFit="true" customWidth="true"/>
    <col min="11" max="11" width="13.33203125" style="1" bestFit="true" customWidth="true"/>
    <col min="12" max="15" width="8.88671875" style="1"/>
  </cols>
  <sheetData>
    <row r="1" ht="15" thickBot="true" x14ac:dyDescent="0.35">
      <c r="A1" s="29" t="s">
        <v>317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x14ac:dyDescent="0.3">
      <c r="A2" s="5" t="s">
        <v>1254</v>
      </c>
      <c r="B2" s="5" t="s">
        <v>1285</v>
      </c>
      <c r="C2" s="5" t="s">
        <v>1286</v>
      </c>
      <c r="D2" s="5" t="s">
        <v>1287</v>
      </c>
      <c r="E2" s="5" t="s">
        <v>1288</v>
      </c>
      <c r="F2" s="5" t="s">
        <v>1289</v>
      </c>
      <c r="G2" s="5" t="s">
        <v>976</v>
      </c>
      <c r="H2" s="5" t="s">
        <v>977</v>
      </c>
      <c r="I2" s="5" t="s">
        <v>978</v>
      </c>
      <c r="J2" s="5" t="s">
        <v>649</v>
      </c>
      <c r="K2" s="5"/>
      <c r="L2" s="5"/>
      <c r="M2" s="5"/>
      <c r="N2" s="5"/>
      <c r="O2" s="5"/>
    </row>
    <row r="3" x14ac:dyDescent="0.3">
      <c r="A3" s="3" t="s">
        <v>1255</v>
      </c>
      <c r="B3" s="3">
        <v>0</v>
      </c>
      <c r="C3" s="3">
        <v>5</v>
      </c>
      <c r="D3" s="3">
        <v>0</v>
      </c>
      <c r="E3" s="3">
        <v>0</v>
      </c>
      <c r="F3" s="3">
        <v>0</v>
      </c>
      <c r="G3" s="3">
        <v>465</v>
      </c>
      <c r="H3" s="3">
        <v>465</v>
      </c>
      <c r="I3" s="3">
        <v>465</v>
      </c>
      <c r="J3" s="3">
        <v>0</v>
      </c>
      <c r="K3" s="3">
        <v>0</v>
      </c>
      <c r="L3" s="3"/>
      <c r="M3" s="3"/>
      <c r="N3" s="3"/>
      <c r="O3" s="3"/>
    </row>
    <row r="4" x14ac:dyDescent="0.3">
      <c r="A4" s="9" t="s">
        <v>1256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465</v>
      </c>
      <c r="H4" s="9">
        <v>465</v>
      </c>
      <c r="I4" s="9">
        <v>465</v>
      </c>
      <c r="J4" s="9">
        <v>0</v>
      </c>
      <c r="K4" s="9">
        <v>0</v>
      </c>
      <c r="L4" s="9"/>
      <c r="M4" s="9"/>
      <c r="N4" s="9"/>
      <c r="O4" s="9"/>
    </row>
    <row r="5" x14ac:dyDescent="0.3">
      <c r="A5" s="9" t="s">
        <v>1257</v>
      </c>
      <c r="B5" s="9">
        <v>0</v>
      </c>
      <c r="C5" s="9">
        <v>0</v>
      </c>
      <c r="D5" s="9">
        <v>0</v>
      </c>
      <c r="E5" s="9">
        <v>0</v>
      </c>
      <c r="F5" s="9">
        <v>39</v>
      </c>
      <c r="G5" s="9">
        <v>465</v>
      </c>
      <c r="H5" s="9">
        <v>465</v>
      </c>
      <c r="I5" s="9">
        <v>465</v>
      </c>
      <c r="J5" s="9">
        <v>0</v>
      </c>
      <c r="K5" s="9">
        <v>0</v>
      </c>
      <c r="L5" s="9"/>
      <c r="M5" s="9"/>
      <c r="N5" s="9"/>
      <c r="O5" s="9"/>
    </row>
    <row r="6" x14ac:dyDescent="0.3">
      <c r="A6" s="9" t="s">
        <v>1258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465</v>
      </c>
      <c r="H6" s="9">
        <v>465</v>
      </c>
      <c r="I6" s="9">
        <v>465</v>
      </c>
      <c r="J6" s="9">
        <v>0</v>
      </c>
      <c r="K6" s="9">
        <v>465</v>
      </c>
      <c r="L6" s="9"/>
      <c r="M6" s="9"/>
      <c r="N6" s="9"/>
      <c r="O6" s="9"/>
    </row>
    <row r="7" x14ac:dyDescent="0.3">
      <c r="A7" s="9" t="s">
        <v>1259</v>
      </c>
      <c r="B7" s="9">
        <v>0</v>
      </c>
      <c r="C7" s="9">
        <v>0</v>
      </c>
      <c r="D7" s="9">
        <v>0</v>
      </c>
      <c r="E7" s="9">
        <v>0</v>
      </c>
      <c r="F7" s="9">
        <v>333</v>
      </c>
      <c r="G7" s="9">
        <v>465</v>
      </c>
      <c r="H7" s="9">
        <v>465</v>
      </c>
      <c r="I7" s="9">
        <v>465</v>
      </c>
      <c r="J7" s="9">
        <v>0</v>
      </c>
      <c r="K7" s="9">
        <v>3</v>
      </c>
      <c r="L7" s="9"/>
      <c r="M7" s="9"/>
      <c r="N7" s="9"/>
      <c r="O7" s="9"/>
    </row>
    <row r="8" x14ac:dyDescent="0.3">
      <c r="A8" s="9" t="s">
        <v>1260</v>
      </c>
      <c r="B8" s="9">
        <v>0</v>
      </c>
      <c r="C8" s="9">
        <v>9</v>
      </c>
      <c r="D8" s="9">
        <v>465</v>
      </c>
      <c r="E8" s="9">
        <v>447</v>
      </c>
      <c r="F8" s="9">
        <v>465</v>
      </c>
      <c r="G8" s="9">
        <v>465</v>
      </c>
      <c r="H8" s="9">
        <v>465</v>
      </c>
      <c r="I8" s="9">
        <v>465</v>
      </c>
      <c r="J8" s="9">
        <v>465</v>
      </c>
      <c r="K8" s="9">
        <v>0</v>
      </c>
      <c r="L8" s="9"/>
      <c r="M8" s="9"/>
      <c r="N8" s="9"/>
      <c r="O8" s="9"/>
    </row>
    <row r="9" x14ac:dyDescent="0.3">
      <c r="A9" s="9" t="s">
        <v>1261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465</v>
      </c>
      <c r="H9" s="9">
        <v>465</v>
      </c>
      <c r="I9" s="9">
        <v>465</v>
      </c>
      <c r="J9" s="9">
        <v>0</v>
      </c>
      <c r="K9" s="9">
        <v>454</v>
      </c>
      <c r="L9" s="9"/>
      <c r="M9" s="9"/>
      <c r="N9" s="9"/>
      <c r="O9" s="9"/>
    </row>
    <row r="10" x14ac:dyDescent="0.3">
      <c r="A10" s="9" t="s">
        <v>1262</v>
      </c>
      <c r="B10" s="9">
        <v>0</v>
      </c>
      <c r="C10" s="9">
        <v>116</v>
      </c>
      <c r="D10" s="9">
        <v>390</v>
      </c>
      <c r="E10" s="9">
        <v>464</v>
      </c>
      <c r="F10" s="9">
        <v>465</v>
      </c>
      <c r="G10" s="9">
        <v>465</v>
      </c>
      <c r="H10" s="9">
        <v>465</v>
      </c>
      <c r="I10" s="9">
        <v>465</v>
      </c>
      <c r="J10" s="9">
        <v>0</v>
      </c>
      <c r="K10" s="9">
        <v>324</v>
      </c>
      <c r="L10" s="9"/>
      <c r="M10" s="9"/>
      <c r="N10" s="9"/>
      <c r="O10" s="9"/>
    </row>
    <row r="11" x14ac:dyDescent="0.3">
      <c r="A11" s="9" t="s">
        <v>1263</v>
      </c>
      <c r="B11" s="9">
        <v>0</v>
      </c>
      <c r="C11" s="9">
        <v>358</v>
      </c>
      <c r="D11" s="9">
        <v>457</v>
      </c>
      <c r="E11" s="9">
        <v>268</v>
      </c>
      <c r="F11" s="9">
        <v>439</v>
      </c>
      <c r="G11" s="9">
        <v>465</v>
      </c>
      <c r="H11" s="9">
        <v>465</v>
      </c>
      <c r="I11" s="9">
        <v>465</v>
      </c>
      <c r="J11" s="9">
        <v>211</v>
      </c>
      <c r="K11" s="9">
        <v>465</v>
      </c>
      <c r="L11" s="9"/>
      <c r="M11" s="9"/>
      <c r="N11" s="9"/>
      <c r="O11" s="9"/>
    </row>
    <row r="12" x14ac:dyDescent="0.3">
      <c r="A12" s="9" t="s">
        <v>1264</v>
      </c>
      <c r="B12" s="9">
        <v>0</v>
      </c>
      <c r="C12" s="9">
        <v>308</v>
      </c>
      <c r="D12" s="9">
        <v>330</v>
      </c>
      <c r="E12" s="9">
        <v>267</v>
      </c>
      <c r="F12" s="9">
        <v>465</v>
      </c>
      <c r="G12" s="9">
        <v>465</v>
      </c>
      <c r="H12" s="9">
        <v>465</v>
      </c>
      <c r="I12" s="9">
        <v>465</v>
      </c>
      <c r="J12" s="9">
        <v>0</v>
      </c>
      <c r="K12" s="9">
        <v>465</v>
      </c>
      <c r="L12" s="9"/>
      <c r="M12" s="9"/>
      <c r="N12" s="9"/>
      <c r="O12" s="9"/>
    </row>
    <row r="13" x14ac:dyDescent="0.3">
      <c r="A13" s="9" t="s">
        <v>1265</v>
      </c>
      <c r="B13" s="9">
        <v>0</v>
      </c>
      <c r="C13" s="9">
        <v>139</v>
      </c>
      <c r="D13" s="9">
        <v>299</v>
      </c>
      <c r="E13" s="9">
        <v>0</v>
      </c>
      <c r="F13" s="9">
        <v>311</v>
      </c>
      <c r="G13" s="9">
        <v>465</v>
      </c>
      <c r="H13" s="9">
        <v>464</v>
      </c>
      <c r="I13" s="9">
        <v>465</v>
      </c>
      <c r="J13" s="9">
        <v>0</v>
      </c>
      <c r="K13" s="9">
        <v>465</v>
      </c>
      <c r="L13" s="9"/>
      <c r="M13" s="9"/>
      <c r="N13" s="9"/>
      <c r="O13" s="9"/>
    </row>
    <row r="14" x14ac:dyDescent="0.3">
      <c r="A14" s="9" t="s">
        <v>1266</v>
      </c>
      <c r="B14" s="9">
        <v>2</v>
      </c>
      <c r="C14" s="9">
        <v>79</v>
      </c>
      <c r="D14" s="9">
        <v>0</v>
      </c>
      <c r="E14" s="9">
        <v>0</v>
      </c>
      <c r="F14" s="9">
        <v>465</v>
      </c>
      <c r="G14" s="9">
        <v>465</v>
      </c>
      <c r="H14" s="9">
        <v>465</v>
      </c>
      <c r="I14" s="9">
        <v>465</v>
      </c>
      <c r="J14" s="9">
        <v>0</v>
      </c>
      <c r="K14" s="9">
        <v>412</v>
      </c>
      <c r="L14" s="9"/>
      <c r="M14" s="9"/>
      <c r="N14" s="9"/>
      <c r="O14" s="9"/>
    </row>
    <row r="15" x14ac:dyDescent="0.3">
      <c r="A15" s="9" t="s">
        <v>1267</v>
      </c>
      <c r="B15" s="9">
        <v>0</v>
      </c>
      <c r="C15" s="9">
        <v>346</v>
      </c>
      <c r="D15" s="9">
        <v>0</v>
      </c>
      <c r="E15" s="9">
        <v>63</v>
      </c>
      <c r="F15" s="9">
        <v>0</v>
      </c>
      <c r="G15" s="9">
        <v>465</v>
      </c>
      <c r="H15" s="9">
        <v>465</v>
      </c>
      <c r="I15" s="9">
        <v>465</v>
      </c>
      <c r="J15" s="9">
        <v>0</v>
      </c>
      <c r="K15" s="9">
        <v>3</v>
      </c>
      <c r="L15" s="9"/>
      <c r="M15" s="9"/>
      <c r="N15" s="9"/>
      <c r="O15" s="9"/>
    </row>
    <row r="16" x14ac:dyDescent="0.3">
      <c r="A16" s="9" t="s">
        <v>1268</v>
      </c>
      <c r="B16" s="9">
        <v>0</v>
      </c>
      <c r="C16" s="9">
        <v>234</v>
      </c>
      <c r="D16" s="9">
        <v>0</v>
      </c>
      <c r="E16" s="9">
        <v>0</v>
      </c>
      <c r="F16" s="9">
        <v>0</v>
      </c>
      <c r="G16" s="9">
        <v>465</v>
      </c>
      <c r="H16" s="9">
        <v>465</v>
      </c>
      <c r="I16" s="9">
        <v>465</v>
      </c>
      <c r="J16" s="9">
        <v>0</v>
      </c>
      <c r="K16" s="9">
        <v>0</v>
      </c>
      <c r="L16" s="9"/>
      <c r="M16" s="9"/>
      <c r="N16" s="9"/>
      <c r="O16" s="9"/>
    </row>
    <row r="17" x14ac:dyDescent="0.3">
      <c r="A17" s="9" t="s">
        <v>1269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465</v>
      </c>
      <c r="H17" s="9">
        <v>465</v>
      </c>
      <c r="I17" s="9">
        <v>465</v>
      </c>
      <c r="J17" s="9">
        <v>0</v>
      </c>
      <c r="K17" s="9">
        <v>416</v>
      </c>
      <c r="L17" s="9"/>
      <c r="M17" s="9"/>
      <c r="N17" s="9"/>
      <c r="O17" s="9"/>
    </row>
    <row r="18" x14ac:dyDescent="0.3">
      <c r="A18" s="9" t="s">
        <v>1270</v>
      </c>
      <c r="B18" s="9">
        <v>0</v>
      </c>
      <c r="C18" s="9">
        <v>11</v>
      </c>
      <c r="D18" s="9">
        <v>38</v>
      </c>
      <c r="E18" s="9">
        <v>3</v>
      </c>
      <c r="F18" s="9">
        <v>464</v>
      </c>
      <c r="G18" s="9">
        <v>465</v>
      </c>
      <c r="H18" s="9">
        <v>465</v>
      </c>
      <c r="I18" s="9">
        <v>465</v>
      </c>
      <c r="J18" s="9">
        <v>0</v>
      </c>
      <c r="K18" s="9">
        <v>15</v>
      </c>
      <c r="L18" s="9"/>
      <c r="M18" s="9"/>
      <c r="N18" s="9"/>
      <c r="O18" s="9"/>
    </row>
    <row r="19" x14ac:dyDescent="0.3">
      <c r="A19" s="9" t="s">
        <v>1271</v>
      </c>
      <c r="B19" s="9">
        <v>0</v>
      </c>
      <c r="C19" s="9">
        <v>0</v>
      </c>
      <c r="D19" s="9">
        <v>1</v>
      </c>
      <c r="E19" s="9">
        <v>1</v>
      </c>
      <c r="F19" s="9">
        <v>0</v>
      </c>
      <c r="G19" s="9">
        <v>465</v>
      </c>
      <c r="H19" s="9">
        <v>465</v>
      </c>
      <c r="I19" s="9">
        <v>465</v>
      </c>
      <c r="J19" s="9">
        <v>0</v>
      </c>
      <c r="K19" s="9">
        <v>378</v>
      </c>
      <c r="L19" s="9"/>
      <c r="M19" s="9"/>
      <c r="N19" s="9"/>
      <c r="O19" s="9"/>
    </row>
    <row r="20" x14ac:dyDescent="0.3">
      <c r="A20" s="9" t="s">
        <v>1272</v>
      </c>
      <c r="B20" s="9">
        <v>0</v>
      </c>
      <c r="C20" s="9">
        <v>40</v>
      </c>
      <c r="D20" s="9">
        <v>0</v>
      </c>
      <c r="E20" s="9">
        <v>379</v>
      </c>
      <c r="F20" s="9">
        <v>1</v>
      </c>
      <c r="G20" s="9">
        <v>465</v>
      </c>
      <c r="H20" s="9">
        <v>465</v>
      </c>
      <c r="I20" s="9">
        <v>465</v>
      </c>
      <c r="J20" s="9">
        <v>0</v>
      </c>
      <c r="K20" s="9">
        <v>0</v>
      </c>
      <c r="L20" s="9"/>
      <c r="M20" s="9"/>
      <c r="N20" s="9"/>
      <c r="O20" s="9"/>
    </row>
    <row r="21" x14ac:dyDescent="0.3">
      <c r="A21" s="9" t="s">
        <v>1273</v>
      </c>
      <c r="B21" s="9">
        <v>0</v>
      </c>
      <c r="C21" s="9">
        <v>7</v>
      </c>
      <c r="D21" s="9">
        <v>0</v>
      </c>
      <c r="E21" s="9">
        <v>0</v>
      </c>
      <c r="F21" s="9">
        <v>7</v>
      </c>
      <c r="G21" s="9">
        <v>465</v>
      </c>
      <c r="H21" s="9">
        <v>465</v>
      </c>
      <c r="I21" s="9">
        <v>465</v>
      </c>
      <c r="J21" s="9">
        <v>0</v>
      </c>
      <c r="K21" s="9">
        <v>0</v>
      </c>
      <c r="L21" s="9"/>
      <c r="M21" s="9"/>
      <c r="N21" s="9"/>
      <c r="O21" s="9"/>
    </row>
    <row r="22" x14ac:dyDescent="0.3">
      <c r="A22" s="9" t="s">
        <v>1274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465</v>
      </c>
      <c r="H22" s="9">
        <v>465</v>
      </c>
      <c r="I22" s="9">
        <v>465</v>
      </c>
      <c r="J22" s="9">
        <v>0</v>
      </c>
      <c r="K22" s="9">
        <v>1</v>
      </c>
      <c r="L22" s="9"/>
      <c r="M22" s="9"/>
      <c r="N22" s="9"/>
      <c r="O22" s="9"/>
    </row>
    <row r="23" x14ac:dyDescent="0.3">
      <c r="A23" s="9" t="s">
        <v>1275</v>
      </c>
      <c r="B23" s="9">
        <v>0</v>
      </c>
      <c r="C23" s="9">
        <v>7</v>
      </c>
      <c r="D23" s="9">
        <v>0</v>
      </c>
      <c r="E23" s="9">
        <v>0</v>
      </c>
      <c r="F23" s="9">
        <v>0</v>
      </c>
      <c r="G23" s="9">
        <v>465</v>
      </c>
      <c r="H23" s="9">
        <v>465</v>
      </c>
      <c r="I23" s="9">
        <v>465</v>
      </c>
      <c r="J23" s="9">
        <v>0</v>
      </c>
      <c r="K23" s="9">
        <v>459</v>
      </c>
      <c r="L23" s="9"/>
      <c r="M23" s="9"/>
      <c r="N23" s="9"/>
      <c r="O23" s="9"/>
    </row>
    <row r="24" x14ac:dyDescent="0.3">
      <c r="A24" s="9" t="s">
        <v>1276</v>
      </c>
      <c r="B24" s="9">
        <v>0</v>
      </c>
      <c r="C24" s="9">
        <v>114</v>
      </c>
      <c r="D24" s="9">
        <v>327</v>
      </c>
      <c r="E24" s="9">
        <v>34</v>
      </c>
      <c r="F24" s="9">
        <v>135</v>
      </c>
      <c r="G24" s="9">
        <v>465</v>
      </c>
      <c r="H24" s="9">
        <v>465</v>
      </c>
      <c r="I24" s="9">
        <v>465</v>
      </c>
      <c r="J24" s="9">
        <v>292</v>
      </c>
      <c r="K24" s="9">
        <v>0</v>
      </c>
      <c r="L24" s="9"/>
      <c r="M24" s="9"/>
      <c r="N24" s="9"/>
      <c r="O24" s="9"/>
    </row>
    <row r="25" x14ac:dyDescent="0.3">
      <c r="A25" s="9" t="s">
        <v>1277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/>
      <c r="M25" s="9"/>
      <c r="N25" s="9"/>
      <c r="O25" s="9"/>
    </row>
    <row r="26" x14ac:dyDescent="0.3">
      <c r="A26" s="9" t="s">
        <v>1278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/>
      <c r="M26" s="9"/>
      <c r="N26" s="9"/>
      <c r="O26" s="9"/>
    </row>
    <row r="27" x14ac:dyDescent="0.3">
      <c r="A27" s="9" t="s">
        <v>1279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59</v>
      </c>
      <c r="L27" s="9"/>
      <c r="M27" s="9"/>
      <c r="N27" s="9"/>
      <c r="O27" s="9"/>
    </row>
    <row r="28" x14ac:dyDescent="0.3">
      <c r="A28" s="9" t="s">
        <v>1280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30</v>
      </c>
      <c r="H28" s="9">
        <v>27</v>
      </c>
      <c r="I28" s="9">
        <v>21</v>
      </c>
      <c r="J28" s="9">
        <v>0</v>
      </c>
      <c r="K28" s="9">
        <v>0</v>
      </c>
      <c r="L28" s="9"/>
      <c r="M28" s="9"/>
      <c r="N28" s="9"/>
      <c r="O28" s="9"/>
    </row>
    <row r="29" x14ac:dyDescent="0.3">
      <c r="A29" s="9" t="s">
        <v>1281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429</v>
      </c>
      <c r="H29" s="9">
        <v>429</v>
      </c>
      <c r="I29" s="9">
        <v>429</v>
      </c>
      <c r="J29" s="9">
        <v>0</v>
      </c>
      <c r="K29" s="9">
        <v>0</v>
      </c>
      <c r="L29" s="9"/>
      <c r="M29" s="9"/>
      <c r="N29" s="9"/>
      <c r="O29" s="9"/>
    </row>
    <row r="30" x14ac:dyDescent="0.3">
      <c r="A30" s="9" t="s">
        <v>1282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127</v>
      </c>
      <c r="H30" s="9">
        <v>189</v>
      </c>
      <c r="I30" s="9">
        <v>174</v>
      </c>
      <c r="J30" s="9">
        <v>0</v>
      </c>
      <c r="K30" s="9">
        <v>0</v>
      </c>
      <c r="L30" s="9"/>
      <c r="M30" s="9"/>
      <c r="N30" s="9"/>
      <c r="O30" s="9"/>
    </row>
    <row r="31" x14ac:dyDescent="0.3">
      <c r="A31" s="9" t="s">
        <v>1283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465</v>
      </c>
      <c r="H31" s="9">
        <v>444</v>
      </c>
      <c r="I31" s="9">
        <v>463</v>
      </c>
      <c r="J31" s="9">
        <v>0</v>
      </c>
      <c r="K31" s="9">
        <v>0</v>
      </c>
      <c r="L31" s="9"/>
      <c r="M31" s="9"/>
      <c r="N31" s="9"/>
      <c r="O31" s="9"/>
    </row>
    <row r="32" x14ac:dyDescent="0.3">
      <c r="A32" s="5" t="s">
        <v>1284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458</v>
      </c>
      <c r="H32" s="5">
        <v>465</v>
      </c>
      <c r="I32" s="5">
        <v>465</v>
      </c>
      <c r="J32" s="5">
        <v>0</v>
      </c>
      <c r="K32" s="5"/>
      <c r="L32" s="5"/>
      <c r="M32" s="5"/>
      <c r="N32" s="5"/>
      <c r="O3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4.4" x14ac:dyDescent="0.3"/>
  <cols>
    <col min="1" max="1" width="46.26953125" customWidth="true"/>
  </cols>
  <sheetData>
    <row r="1" x14ac:dyDescent="0.3">
      <c r="A1" s="0" t="s">
        <v>1290</v>
      </c>
    </row>
    <row r="2" x14ac:dyDescent="0.3">
      <c r="A2" s="0" t="s">
        <v>1291</v>
      </c>
    </row>
    <row r="3" x14ac:dyDescent="0.3">
      <c r="A3" s="0" t="s">
        <v>1292</v>
      </c>
    </row>
    <row r="4" x14ac:dyDescent="0.3">
      <c r="A4" s="0" t="s">
        <v>1293</v>
      </c>
    </row>
    <row r="5" x14ac:dyDescent="0.3">
      <c r="A5" s="0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cp:lastPrinted>2024-08-29T12:24:16Z</cp:lastPrinted>
  <dcterms:modified xsi:type="dcterms:W3CDTF">2025-08-16T09:36:12Z</dcterms:modified>
</cp:coreProperties>
</file>