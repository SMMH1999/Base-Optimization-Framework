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14\"/>
    </mc:Choice>
  </mc:AlternateContent>
  <xr:revisionPtr revIDLastSave="0" documentId="13_ncr:1_{11C0749E-F134-4A2D-9EBB-D71CFEFF5FEE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<sst xmlns="http://schemas.openxmlformats.org/spreadsheetml/2006/main" count="1642" uniqueCount="1295">
  <si>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</si>
  <si>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</si>
  <si>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</si>
  <si>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</si>
  <si>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</si>
  <si>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</si>
  <si>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</si>
  <si>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</si>
  <si>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</si>
  <si>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</si>
  <si>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</si>
  <si>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</si>
  <si>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</si>
  <si>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</si>
  <si>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</si>
  <si>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</si>
  <si>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</si>
  <si>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</si>
  <si>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</si>
  <si>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</si>
  <si>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</si>
  <si>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</si>
  <si>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</si>
  <si>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</si>
  <si>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</si>
  <si>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</si>
  <si>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</si>
  <si>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</si>
  <si>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</si>
  <si>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</si>
  <si>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</si>
  <si>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</si>
  <si>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</si>
  <si>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Unimodal
Functions</t>
  </si>
  <si>
    <t>Simple
Multimodal
Functions</t>
  </si>
  <si>
    <t>Hybrid
Function 1</t>
  </si>
  <si>
    <t>Composition
Functions</t>
  </si>
  <si>
    <t>Functions</t>
  </si>
  <si>
    <t>Column1</t>
  </si>
  <si>
    <t>Column2</t>
  </si>
  <si>
    <t>Comparison of optimization results for the CEC benchmark functions 2014 (30 Dim)</t>
  </si>
  <si>
    <t>Total number of 
best answers</t>
  </si>
  <si>
    <t>Rank by total number of 
best answers</t>
  </si>
  <si>
    <t>Average rating in the set</t>
  </si>
  <si>
    <t>Rank based on 
the average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</si>
  <si>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</si>
  <si>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</si>
  <si>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</si>
  <si>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</si>
  <si>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</si>
  <si>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</si>
  <si>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</si>
  <si>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</si>
  <si>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</si>
  <si>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</si>
  <si>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</si>
  <si>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</si>
  <si>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</si>
  <si>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</si>
  <si>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</si>
  <si>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</si>
  <si>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</si>
  <si>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</si>
  <si>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</si>
  <si>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</si>
  <si>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</si>
  <si>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</si>
  <si>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</si>
  <si>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</si>
  <si>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</si>
  <si>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</si>
  <si>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</si>
  <si>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</si>
  <si>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</si>
  <si>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</si>
  <si>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</si>
  <si>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</si>
  <si>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</si>
  <si>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</si>
  <si>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</si>
  <si>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</si>
  <si>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</si>
  <si>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</si>
  <si>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</si>
  <si>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</si>
  <si>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</si>
  <si>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</si>
  <si>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</si>
  <si>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</si>
  <si>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</si>
  <si>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</si>
  <si>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</si>
  <si>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</si>
  <si>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</si>
  <si>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</si>
  <si>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</si>
  <si>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</si>
  <si>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</si>
  <si>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</si>
  <si>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</si>
  <si>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</si>
  <si>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</si>
  <si>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</si>
  <si>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</si>
  <si>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</si>
  <si>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</si>
  <si>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</si>
  <si>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</si>
  <si>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</si>
  <si>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</si>
  <si>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</si>
  <si>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</si>
  <si>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</si>
  <si>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</si>
  <si>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</si>
  <si>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</si>
  <si>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</si>
  <si>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</si>
  <si>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</si>
  <si>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</si>
  <si>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</si>
  <si>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</si>
  <si>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</si>
  <si>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</si>
  <si>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</si>
  <si>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</si>
  <si>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</si>
  <si>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</si>
  <si>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</si>
  <si>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</si>
  <si>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</si>
  <si>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</si>
  <si>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</si>
  <si>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</si>
  <si>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</si>
  <si>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</si>
  <si>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</si>
  <si>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</si>
  <si>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</si>
  <si>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</si>
  <si>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</si>
  <si>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</si>
  <si>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</si>
  <si>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</si>
  <si>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</si>
  <si>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</si>
  <si>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</si>
  <si>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</si>
  <si>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</si>
  <si>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</si>
  <si>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</si>
  <si>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</si>
  <si>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</si>
  <si>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</si>
  <si>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</si>
  <si>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</si>
  <si>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</si>
  <si>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</si>
  <si>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</si>
  <si>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</si>
  <si>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</si>
  <si>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</si>
  <si>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</si>
  <si>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</si>
  <si>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</si>
  <si>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</si>
  <si>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</si>
  <si>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</si>
  <si>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</si>
  <si>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</si>
  <si>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</si>
  <si>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</si>
  <si>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</si>
  <si>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</si>
  <si>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</si>
  <si>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</si>
  <si>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</si>
  <si>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</si>
  <si>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</si>
  <si>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</si>
  <si>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</si>
  <si>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</si>
  <si>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</si>
  <si>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</si>
  <si>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</si>
  <si>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</si>
  <si>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</si>
  <si>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</si>
  <si>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</si>
  <si>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</si>
  <si>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</si>
  <si>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</si>
  <si>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</si>
  <si>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</si>
  <si>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</si>
  <si>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</si>
  <si>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</si>
  <si>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</si>
  <si>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</si>
  <si>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</si>
  <si>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</si>
  <si>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</si>
  <si>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</si>
  <si>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</si>
  <si>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</si>
  <si>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</si>
  <si>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</si>
  <si>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</si>
  <si>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</si>
  <si>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</si>
  <si>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</si>
  <si>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</si>
  <si>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</si>
  <si>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</si>
  <si>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</si>
  <si>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</si>
  <si>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</si>
  <si>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</si>
  <si>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</si>
  <si>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</si>
  <si>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</si>
  <si>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</si>
  <si>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</si>
  <si>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</si>
  <si>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</si>
  <si>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</si>
  <si>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</si>
  <si>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</si>
  <si>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</si>
  <si>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</si>
  <si>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</si>
  <si>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</si>
  <si>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</si>
  <si>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</si>
  <si>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</si>
  <si>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</si>
  <si>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</si>
  <si>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</si>
  <si>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</si>
  <si>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</si>
  <si>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</si>
  <si>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</si>
  <si>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</si>
  <si>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</si>
  <si>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</si>
  <si>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</si>
  <si>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</si>
  <si>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</si>
  <si>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</si>
  <si>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</si>
  <si>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</si>
  <si>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</si>
  <si>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</si>
  <si>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</si>
  <si>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</si>
  <si>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</si>
  <si>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</si>
  <si>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</si>
  <si>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</si>
  <si>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</si>
  <si>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</si>
  <si>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</si>
  <si>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</si>
  <si>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</si>
  <si>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</si>
  <si>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</si>
  <si>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</si>
  <si>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</si>
  <si>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</si>
  <si>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</si>
  <si>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</si>
  <si>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</si>
  <si>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</si>
  <si>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</si>
  <si>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</si>
  <si>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</si>
  <si>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</si>
  <si>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</si>
  <si>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</si>
  <si>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</si>
  <si>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</si>
  <si>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</si>
  <si>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</si>
  <si>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</si>
  <si>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</si>
  <si>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</si>
  <si>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</si>
  <si>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</si>
  <si>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</si>
  <si>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</si>
  <si>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</si>
  <si>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</si>
  <si>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</si>
  <si>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</si>
  <si>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</si>
  <si>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</si>
  <si>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</si>
  <si>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</si>
  <si>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</si>
  <si>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</si>
  <si>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2014 (30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</si>
  <si>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</si>
  <si>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</si>
  <si>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</si>
  <si>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</si>
  <si>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</si>
  <si>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</si>
  <si>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</si>
  <si>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</si>
  <si>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</si>
  <si>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</si>
  <si>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</si>
  <si>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</si>
  <si>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</si>
  <si>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</si>
  <si>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</si>
  <si>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P-value of the T-test analysis for the CEC benchmark functions 2014 (30 Dim)</t>
  </si>
  <si>
    <t>H-value of the T-test analysis for the CEC benchmark functions 2014 (30 Dim)</t>
  </si>
  <si>
    <t>H-value of the Wilcoxon analysis for the CEC benchmark functions 2014 (30 Dim)</t>
  </si>
  <si>
    <t>State of the Wilcoxon analysis for the CEC benchmark functions 2014 (30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</si>
  <si>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</si>
  <si>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</si>
  <si>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</si>
  <si>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</si>
  <si>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</si>
  <si>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</si>
  <si>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</si>
  <si>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</si>
  <si>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</si>
  <si>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</si>
  <si>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</si>
  <si>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</si>
  <si>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</si>
  <si>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</si>
  <si>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</si>
  <si>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</si>
  <si>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</si>
  <si>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</si>
  <si>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</si>
  <si>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</si>
  <si>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</si>
  <si>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</si>
  <si>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</si>
  <si>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</si>
  <si>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</si>
  <si>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</si>
  <si>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</si>
  <si>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</si>
  <si>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</si>
  <si>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</si>
  <si>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</si>
  <si>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</si>
  <si>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</si>
  <si>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</si>
  <si>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</si>
  <si>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</si>
  <si>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</si>
  <si>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</si>
  <si>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</si>
  <si>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</si>
  <si>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</si>
  <si>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</si>
  <si>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</si>
  <si>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</si>
  <si>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</si>
  <si>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</si>
  <si>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</si>
  <si>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</si>
  <si>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</si>
  <si>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</si>
  <si>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</si>
  <si>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</si>
  <si>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</si>
  <si>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</si>
  <si>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</si>
  <si>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</si>
  <si>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</si>
  <si>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</si>
  <si>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</si>
  <si>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</si>
  <si>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</si>
  <si>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</si>
  <si>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</si>
  <si>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</si>
  <si>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</si>
  <si>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</si>
  <si>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</si>
  <si>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</si>
  <si>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</si>
  <si>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</si>
  <si>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</si>
  <si>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</si>
  <si>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</si>
  <si>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</si>
  <si>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</si>
  <si>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</si>
  <si>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</si>
  <si>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</si>
  <si>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</si>
  <si>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</si>
  <si>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</si>
  <si>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</si>
  <si>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</si>
  <si>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</si>
  <si>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</si>
  <si>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</si>
  <si>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</si>
  <si>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</si>
  <si>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</si>
  <si>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</si>
  <si>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</si>
  <si>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</si>
  <si>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</si>
  <si>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</si>
  <si>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</si>
  <si>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</si>
  <si>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</si>
  <si>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</si>
  <si>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</si>
  <si>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</si>
  <si>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</si>
  <si>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</si>
  <si>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</si>
  <si>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</si>
  <si>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</si>
  <si>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</si>
  <si>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</si>
  <si>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</si>
  <si>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</si>
  <si>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</si>
  <si>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</si>
  <si>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</si>
  <si>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</si>
  <si>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</si>
  <si>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</si>
  <si>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</si>
  <si>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</si>
  <si>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</si>
  <si>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</si>
  <si>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</si>
  <si>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</si>
  <si>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</si>
  <si>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</si>
  <si>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</si>
  <si>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</si>
  <si>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</si>
  <si>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</si>
  <si>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</si>
  <si>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</si>
  <si>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</si>
  <si>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</si>
  <si>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</si>
  <si>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</si>
  <si>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</si>
  <si>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</si>
  <si>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</si>
  <si>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</si>
  <si>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</si>
  <si>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</si>
  <si>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</si>
  <si>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</si>
  <si>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</si>
  <si>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</si>
  <si>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</si>
  <si>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</si>
  <si>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</si>
  <si>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</si>
  <si>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</si>
  <si>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</si>
  <si>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</si>
  <si>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</si>
  <si>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</si>
  <si>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</si>
  <si>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</si>
  <si>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</si>
  <si>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</si>
  <si>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</si>
  <si>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</si>
  <si>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</si>
  <si>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</si>
  <si>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</si>
  <si>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</si>
  <si>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</si>
  <si>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</si>
  <si>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</si>
  <si>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</si>
  <si>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</si>
  <si>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</si>
  <si>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</si>
  <si>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</si>
  <si>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</si>
  <si>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</si>
  <si>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</si>
  <si>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</si>
  <si>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</si>
  <si>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</si>
  <si>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</si>
  <si>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</si>
  <si>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</si>
  <si>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</si>
  <si>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</si>
  <si>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</si>
  <si>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</si>
  <si>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</si>
  <si>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</si>
  <si>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</si>
  <si>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</si>
  <si>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</si>
  <si>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</si>
  <si>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</si>
  <si>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</si>
  <si>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</si>
  <si>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</si>
  <si>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</si>
  <si>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</si>
  <si>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</si>
  <si>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</si>
  <si>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</si>
  <si>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</si>
  <si>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</si>
  <si>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</si>
  <si>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</si>
  <si>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</si>
  <si>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</si>
  <si>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</si>
  <si>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</si>
  <si>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</si>
  <si>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</si>
  <si>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</si>
  <si>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</si>
  <si>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</si>
  <si>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</si>
  <si>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</si>
  <si>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</si>
  <si>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</si>
  <si>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</si>
  <si>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</si>
  <si>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</si>
  <si>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</si>
  <si>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</si>
  <si>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</si>
  <si>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</si>
  <si>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</si>
  <si>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</si>
  <si>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</si>
  <si>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</si>
  <si>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</si>
  <si>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</si>
  <si>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</si>
  <si>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</si>
  <si>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</si>
  <si>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</si>
  <si>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</si>
  <si>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</si>
  <si>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</si>
  <si>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</si>
  <si>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</si>
  <si>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</si>
  <si>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</si>
  <si>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</si>
  <si>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</si>
  <si>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</si>
  <si>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</si>
  <si>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</si>
  <si>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</si>
  <si>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</si>
  <si>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</si>
  <si>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</si>
  <si>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</si>
  <si>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</si>
  <si>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</si>
  <si>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</si>
  <si>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</si>
  <si>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</si>
  <si>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</si>
  <si>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</si>
  <si>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</si>
  <si>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</si>
  <si>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</si>
  <si>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</si>
  <si>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</si>
  <si>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</si>
  <si>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</si>
  <si>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</si>
  <si>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</si>
  <si>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</si>
  <si>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</si>
  <si>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</si>
  <si>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</si>
  <si>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</si>
  <si>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</si>
  <si>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</si>
  <si>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</si>
  <si>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</si>
  <si>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</si>
  <si>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</si>
  <si>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</si>
  <si>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</si>
  <si>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</si>
  <si>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</si>
  <si>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</si>
  <si>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</si>
  <si>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</si>
  <si>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</si>
  <si>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</si>
  <si>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</si>
  <si>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</si>
  <si>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</si>
  <si>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</si>
  <si>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</si>
  <si>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</si>
  <si>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</si>
  <si>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</si>
  <si>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</si>
  <si>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</si>
  <si>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</si>
  <si>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</si>
  <si>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</si>
  <si>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</si>
  <si>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</si>
  <si>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</si>
  <si>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</si>
  <si>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</si>
  <si>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</si>
  <si>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</si>
  <si>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</si>
  <si>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</si>
  <si>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</si>
  <si>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</si>
  <si>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</si>
  <si>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</si>
  <si>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</si>
  <si>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</si>
  <si>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</si>
  <si>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</si>
  <si>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</si>
  <si>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</si>
  <si>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</si>
  <si>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</si>
  <si>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</si>
  <si>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</si>
  <si>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</si>
  <si>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</si>
  <si>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</si>
  <si>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</si>
  <si>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</si>
  <si>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</si>
  <si>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</si>
  <si>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</si>
  <si>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</si>
  <si>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</si>
  <si>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</si>
  <si>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</si>
  <si>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</si>
  <si>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</si>
  <si>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</si>
  <si>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</si>
  <si>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</si>
  <si>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</si>
  <si>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</si>
  <si>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</si>
  <si>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</si>
  <si>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</si>
  <si>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</si>
  <si>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</si>
  <si>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</si>
  <si>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</si>
  <si>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</si>
  <si>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</si>
  <si>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</si>
  <si>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</si>
  <si>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</si>
  <si>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</si>
  <si>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</si>
  <si>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</si>
  <si>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</si>
  <si>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</si>
  <si>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</si>
  <si>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</si>
  <si>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</si>
  <si>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</si>
  <si>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</si>
  <si>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</si>
  <si>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</si>
  <si>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</si>
  <si>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</si>
  <si>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</si>
  <si>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</si>
  <si>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</si>
  <si>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</si>
  <si>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</si>
  <si>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</si>
  <si>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</si>
  <si>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</si>
  <si>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</si>
  <si>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</si>
  <si>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</si>
  <si>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</si>
  <si>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</si>
  <si>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</si>
  <si>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</si>
  <si>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</si>
  <si>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</si>
  <si>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</si>
  <si>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</si>
  <si>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</si>
  <si>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</si>
  <si>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</si>
  <si>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</si>
  <si>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</si>
  <si>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</si>
  <si>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</si>
  <si>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</si>
  <si>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</si>
  <si>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</si>
  <si>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</si>
  <si>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</si>
  <si>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</si>
  <si>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</si>
  <si>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</si>
  <si>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</si>
  <si>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</si>
  <si>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</si>
  <si>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</si>
  <si>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</si>
  <si>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</si>
  <si>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</si>
  <si>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</si>
  <si>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</si>
  <si>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</si>
  <si>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</si>
  <si>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</si>
  <si>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</si>
  <si>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</si>
  <si>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</si>
  <si>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</si>
  <si>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</si>
  <si>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</si>
  <si>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</si>
  <si>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</si>
  <si>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</si>
  <si>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</si>
  <si>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</si>
  <si>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</si>
  <si>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</si>
  <si>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</si>
  <si>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</si>
  <si>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</si>
  <si>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</si>
  <si>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</si>
  <si>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</si>
  <si>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</si>
  <si>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</si>
  <si>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</si>
  <si>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</si>
  <si>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</si>
  <si>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</si>
  <si>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</si>
  <si>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</si>
  <si>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</si>
  <si>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</si>
  <si>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</si>
  <si>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</si>
  <si>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</si>
  <si>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</si>
  <si>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</si>
  <si>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</si>
  <si>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</si>
  <si>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</si>
  <si>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</si>
  <si>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</si>
  <si>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</si>
  <si>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</si>
  <si>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</si>
  <si>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</si>
  <si>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ORCAS</t>
  </si>
  <si>
    <t>GWO</t>
  </si>
  <si>
    <t>SSA</t>
  </si>
  <si>
    <t>PSO</t>
  </si>
  <si>
    <t>CSA</t>
  </si>
  <si>
    <t>WHO</t>
  </si>
  <si>
    <t>SBO</t>
  </si>
  <si>
    <t>DE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</si>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</sst>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true" applyAlignment="true">
      <alignment horizontal="center" vertical="top"/>
    </xf>
    <xf numFmtId="0" fontId="0" fillId="0" borderId="2" xfId="0" applyBorder="true" applyAlignment="true">
      <alignment horizontal="left" vertical="top"/>
    </xf>
    <xf numFmtId="11" fontId="0" fillId="0" borderId="2" xfId="0" applyNumberFormat="true" applyBorder="true" applyAlignment="true">
      <alignment horizontal="left" vertical="top"/>
    </xf>
    <xf numFmtId="0" fontId="0" fillId="0" borderId="3" xfId="0" applyBorder="true" applyAlignment="true">
      <alignment horizontal="center" vertical="top"/>
    </xf>
    <xf numFmtId="0" fontId="0" fillId="0" borderId="3" xfId="0" applyBorder="true" applyAlignment="true">
      <alignment horizontal="left" vertical="top"/>
    </xf>
    <xf numFmtId="164" fontId="0" fillId="0" borderId="3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11" fontId="2" fillId="0" borderId="1" xfId="0" applyNumberFormat="true" applyFon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0" fillId="0" borderId="4" xfId="0" applyBorder="true" applyAlignment="true">
      <alignment horizontal="left" vertical="top"/>
    </xf>
    <xf numFmtId="0" fontId="1" fillId="0" borderId="4" xfId="0" applyFont="true" applyBorder="true" applyAlignment="true">
      <alignment horizontal="left" vertical="top"/>
    </xf>
    <xf numFmtId="0" fontId="1" fillId="0" borderId="3" xfId="0" applyFont="true" applyBorder="true" applyAlignment="true">
      <alignment horizontal="left" vertical="top" wrapText="true"/>
    </xf>
    <xf numFmtId="0" fontId="0" fillId="0" borderId="3" xfId="0" applyBorder="true" applyAlignment="true">
      <alignment horizontal="left" vertical="top"/>
    </xf>
    <xf numFmtId="0" fontId="1" fillId="0" borderId="2" xfId="0" applyFont="true" applyBorder="true" applyAlignment="true">
      <alignment horizontal="left" vertical="top" wrapText="true"/>
    </xf>
    <xf numFmtId="0" fontId="0" fillId="0" borderId="2" xfId="0" applyBorder="true" applyAlignment="true">
      <alignment horizontal="left" vertical="top"/>
    </xf>
    <xf numFmtId="0" fontId="2" fillId="0" borderId="1" xfId="0" applyFont="true" applyBorder="true" applyAlignment="true">
      <alignment horizontal="left" vertical="top"/>
    </xf>
    <xf numFmtId="0" fontId="0" fillId="0" borderId="2" xfId="0" applyBorder="true"/>
    <xf numFmtId="0" fontId="1" fillId="0" borderId="3" xfId="0" applyFont="true" applyBorder="true" applyAlignment="true">
      <alignment horizontal="left" vertical="top"/>
    </xf>
    <xf numFmtId="0" fontId="1" fillId="0" borderId="3" xfId="0" applyFont="true" applyBorder="true" applyAlignment="true">
      <alignment horizontal="left" vertical="top"/>
    </xf>
    <xf numFmtId="0" fontId="0" fillId="0" borderId="3" xfId="0" applyBorder="true"/>
    <xf numFmtId="0" fontId="0" fillId="0" borderId="4" xfId="0" applyBorder="true" applyAlignment="true">
      <alignment horizontal="center" vertical="top"/>
    </xf>
    <xf numFmtId="2" fontId="0" fillId="0" borderId="4" xfId="0" applyNumberFormat="true" applyBorder="true" applyAlignment="true">
      <alignment horizontal="left" vertical="top"/>
    </xf>
    <xf numFmtId="0" fontId="0" fillId="0" borderId="4" xfId="0" applyBorder="true"/>
    <xf numFmtId="1" fontId="0" fillId="0" borderId="2" xfId="0" applyNumberForma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1" fontId="0" fillId="0" borderId="3" xfId="0" applyNumberFormat="true" applyBorder="true" applyAlignment="true">
      <alignment horizontal="left" vertical="top"/>
    </xf>
    <xf numFmtId="22" fontId="0" fillId="0" borderId="5" xfId="0" applyNumberFormat="true"/>
  </cellXfs>
  <cellStyles count="1">
    <cellStyle name="Normal" xfId="0" builtinId="0"/>
  </cellStyles>
  <dxfs count="69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alignment horizontal="center" vertical="top" textRotation="0" wrapText="false" indent="0" justifyLastLine="false" shrinkToFit="false" readingOrder="0"/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border outline="false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S2:T92" totalsRowShown="false" headerRowDxfId="4" tableBorderDxfId="68" mc:Ignorable="xr xr3" xr:uid="{00000000-000C-0000-FFFF-FFFF00000000}">
  <autoFilter ref="S2:T92" xr:uid="{00000000-0009-0000-0100-000001000000}"/>
  <tableColumns count="2">
    <tableColumn id="1" name="Column1" dataDxfId="6" xr3:uid="{00000000-0010-0000-0000-000001000000}"/>
    <tableColumn id="2" name="Column2" dataDxfId="5" xr3:uid="{00000000-0010-0000-0000-000002000000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96"/>
  <sheetViews>
    <sheetView tabSelected="true" zoomScaleNormal="100" workbookViewId="0">
      <selection activeCell="F16" sqref="F16"/>
    </sheetView>
  </sheetViews>
  <sheetFormatPr defaultRowHeight="14.4" x14ac:dyDescent="0.3"/>
  <cols>
    <col min="1" max="1" width="11.33203125" style="7" bestFit="true" customWidth="true"/>
    <col min="2" max="2" width="4.046875" bestFit="true" customWidth="true"/>
    <col min="3" max="3" width="5.82421875" bestFit="true" customWidth="true"/>
    <col min="4" max="4" width="11.15625" bestFit="true" customWidth="true"/>
    <col min="13" max="13" width="8.7109375" bestFit="true" customWidth="true"/>
    <col min="19" max="20" width="10.44140625" style="7" customWidth="true"/>
    <col min="23" max="31" width="10.33203125" bestFit="true" customWidth="true"/>
    <col min="32" max="37" width="11.33203125" bestFit="true" customWidth="true"/>
    <col min="5" max="5" width="8.7109375" bestFit="true" customWidth="true"/>
    <col min="6" max="6" width="8.7109375" bestFit="true" customWidth="true"/>
    <col min="7" max="7" width="8.7109375" bestFit="true" customWidth="true"/>
    <col min="8" max="8" width="8.7109375" bestFit="true" customWidth="true"/>
    <col min="9" max="9" width="8.7109375" bestFit="true" customWidth="true"/>
    <col min="10" max="10" width="8.7109375" bestFit="true" customWidth="true"/>
    <col min="11" max="11" width="8.7109375" bestFit="true" customWidth="true"/>
    <col min="12" max="12" width="8.7109375" bestFit="true" customWidth="true"/>
    <col min="14" max="18" width="11.33203125" bestFit="true" customWidth="true"/>
  </cols>
  <sheetData>
    <row r="1" ht="15" thickBot="true" x14ac:dyDescent="0.35">
      <c r="A1" s="11" t="s">
        <v>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="7" customFormat="true" x14ac:dyDescent="0.3">
      <c r="A2" s="21" t="s">
        <v>37</v>
      </c>
      <c r="B2" s="21"/>
      <c r="C2" s="21"/>
      <c r="D2" s="22" t="s">
        <v>1104</v>
      </c>
      <c r="E2" s="22" t="s">
        <v>1105</v>
      </c>
      <c r="F2" s="22" t="s">
        <v>1106</v>
      </c>
      <c r="G2" s="22" t="s">
        <v>1107</v>
      </c>
      <c r="H2" s="22" t="s">
        <v>1108</v>
      </c>
      <c r="I2" s="22" t="s">
        <v>1109</v>
      </c>
      <c r="J2" s="22" t="s">
        <v>781</v>
      </c>
      <c r="K2" s="22" t="s">
        <v>782</v>
      </c>
      <c r="L2" s="22" t="s">
        <v>783</v>
      </c>
      <c r="M2" s="22" t="s">
        <v>449</v>
      </c>
      <c r="N2" s="22" t="s">
        <v>311</v>
      </c>
      <c r="O2" s="22" t="s">
        <v>312</v>
      </c>
      <c r="P2" s="22" t="s">
        <v>313</v>
      </c>
      <c r="Q2" s="22" t="s">
        <v>314</v>
      </c>
      <c r="R2" s="22" t="s">
        <v>315</v>
      </c>
      <c r="S2" s="9" t="s">
        <v>38</v>
      </c>
      <c r="T2" s="9" t="s">
        <v>39</v>
      </c>
      <c r="W2" s="22" t="s">
        <v>301</v>
      </c>
      <c r="X2" s="22" t="s">
        <v>302</v>
      </c>
      <c r="Y2" s="22" t="s">
        <v>303</v>
      </c>
      <c r="Z2" s="22" t="s">
        <v>304</v>
      </c>
      <c r="AA2" s="22" t="s">
        <v>305</v>
      </c>
      <c r="AB2" s="22" t="s">
        <v>306</v>
      </c>
      <c r="AC2" s="22" t="s">
        <v>307</v>
      </c>
      <c r="AD2" s="22" t="s">
        <v>308</v>
      </c>
      <c r="AE2" s="22" t="s">
        <v>309</v>
      </c>
      <c r="AF2" s="22" t="s">
        <v>310</v>
      </c>
      <c r="AG2" s="22" t="s">
        <v>311</v>
      </c>
      <c r="AH2" s="22" t="s">
        <v>312</v>
      </c>
      <c r="AI2" s="22" t="s">
        <v>313</v>
      </c>
      <c r="AJ2" s="22" t="s">
        <v>314</v>
      </c>
      <c r="AK2" s="22" t="s">
        <v>315</v>
      </c>
    </row>
    <row r="3" ht="14.4" customHeight="true" x14ac:dyDescent="0.3">
      <c r="A3" s="17" t="s">
        <v>33</v>
      </c>
      <c r="B3" s="18" t="s">
        <v>984</v>
      </c>
      <c r="C3" s="2" t="s">
        <v>1014</v>
      </c>
      <c r="D3" s="3">
        <v>10631215.608055416</v>
      </c>
      <c r="E3" s="3">
        <v>571897766.30408347</v>
      </c>
      <c r="F3" s="3">
        <v>29894576.903848685</v>
      </c>
      <c r="G3" s="3">
        <v>105866211.09944829</v>
      </c>
      <c r="H3" s="3">
        <v>39615402.67515409</v>
      </c>
      <c r="I3" s="3">
        <v>126370711.55939773</v>
      </c>
      <c r="J3" s="3">
        <v>20416372.558979914</v>
      </c>
      <c r="K3" s="3">
        <v>9123190.796116937</v>
      </c>
      <c r="L3" s="3">
        <v>143553994.4050802</v>
      </c>
      <c r="M3" s="3">
        <v>128213786.0325418</v>
      </c>
      <c r="N3" s="3"/>
      <c r="O3" s="3"/>
      <c r="P3" s="3"/>
      <c r="Q3" s="3"/>
      <c r="R3" s="3"/>
      <c r="S3" s="1" t="s">
        <v>0</v>
      </c>
      <c r="T3" s="2" t="s">
        <v>30</v>
      </c>
      <c r="W3" s="7">
        <f>_xlfn.RANK.EQ(D3,$D3:$R3,1)</f>
        <v>1</v>
      </c>
      <c r="X3" s="7">
        <f t="shared" ref="X3:AK3" si="0">_xlfn.RANK.EQ(E3,$D3:$R3,1)</f>
        <v>2</v>
      </c>
      <c r="Y3" s="7">
        <f t="shared" si="0"/>
        <v>3</v>
      </c>
      <c r="Z3" s="7">
        <f t="shared" si="0"/>
        <v>6</v>
      </c>
      <c r="AA3" s="7">
        <f t="shared" si="0"/>
        <v>9</v>
      </c>
      <c r="AB3" s="7">
        <f t="shared" si="0"/>
        <v>5</v>
      </c>
      <c r="AC3" s="7">
        <f t="shared" si="0"/>
        <v>8</v>
      </c>
      <c r="AD3" s="7">
        <f t="shared" si="0"/>
        <v>4</v>
      </c>
      <c r="AE3" s="7">
        <f t="shared" si="0"/>
        <v>7</v>
      </c>
      <c r="AF3" s="7" t="e">
        <f t="shared" si="0"/>
        <v>#N/A</v>
      </c>
      <c r="AG3" s="7" t="e">
        <f t="shared" si="0"/>
        <v>#N/A</v>
      </c>
      <c r="AH3" s="7" t="e">
        <f t="shared" si="0"/>
        <v>#N/A</v>
      </c>
      <c r="AI3" s="7" t="e">
        <f t="shared" si="0"/>
        <v>#N/A</v>
      </c>
      <c r="AJ3" s="7" t="e">
        <f t="shared" si="0"/>
        <v>#N/A</v>
      </c>
      <c r="AK3" s="7" t="e">
        <f t="shared" si="0"/>
        <v>#N/A</v>
      </c>
    </row>
    <row r="4" x14ac:dyDescent="0.3">
      <c r="A4" s="12"/>
      <c r="B4" s="13" t="s">
        <v>984</v>
      </c>
      <c r="C4" s="9" t="s">
        <v>1015</v>
      </c>
      <c r="D4" s="8">
        <v>3467954.8086782666</v>
      </c>
      <c r="E4" s="8">
        <v>208315293.47675174</v>
      </c>
      <c r="F4" s="8">
        <v>9707128.2375040092</v>
      </c>
      <c r="G4" s="8">
        <v>56978644.879578695</v>
      </c>
      <c r="H4" s="8">
        <v>19682921.336314939</v>
      </c>
      <c r="I4" s="8">
        <v>93271594.558113798</v>
      </c>
      <c r="J4" s="8">
        <v>7015353.9548009513</v>
      </c>
      <c r="K4" s="8">
        <v>6360327.6362478063</v>
      </c>
      <c r="L4" s="8">
        <v>79991414.330611736</v>
      </c>
      <c r="M4" s="8">
        <v>104917652.84451415</v>
      </c>
      <c r="N4" s="8"/>
      <c r="O4" s="8"/>
      <c r="P4" s="8"/>
      <c r="Q4" s="8"/>
      <c r="R4" s="8"/>
      <c r="S4" s="24"/>
      <c r="T4" s="9" t="s">
        <v>31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x14ac:dyDescent="0.3">
      <c r="A5" s="12"/>
      <c r="B5" s="16" t="s">
        <v>984</v>
      </c>
      <c r="C5" s="5" t="s">
        <v>1016</v>
      </c>
      <c r="D5" s="6">
        <v>1.715625</v>
      </c>
      <c r="E5" s="6">
        <v>0.14270833333333333</v>
      </c>
      <c r="F5" s="6">
        <v>0.30937500000000001</v>
      </c>
      <c r="G5" s="6">
        <v>0.22500000000000001</v>
      </c>
      <c r="H5" s="6">
        <v>0.24843750000000001</v>
      </c>
      <c r="I5" s="6">
        <v>0.19583333333333333</v>
      </c>
      <c r="J5" s="6">
        <v>0.68125000000000002</v>
      </c>
      <c r="K5" s="6">
        <v>0.30625000000000002</v>
      </c>
      <c r="L5" s="6">
        <v>0.18124999999999999</v>
      </c>
      <c r="M5" s="6">
        <v>0.22343750000000001</v>
      </c>
      <c r="N5" s="6"/>
      <c r="O5" s="6"/>
      <c r="P5" s="6"/>
      <c r="Q5" s="6"/>
      <c r="R5" s="6"/>
      <c r="S5" s="4"/>
      <c r="T5" s="5" t="s">
        <v>32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x14ac:dyDescent="0.3">
      <c r="A6" s="12"/>
      <c r="B6" s="18" t="s">
        <v>985</v>
      </c>
      <c r="C6" s="2" t="s">
        <v>1017</v>
      </c>
      <c r="D6" s="3">
        <v>15338430.951930137</v>
      </c>
      <c r="E6" s="3">
        <v>40771088751.378098</v>
      </c>
      <c r="F6" s="3">
        <v>38486300.453797631</v>
      </c>
      <c r="G6" s="3">
        <v>3354310859.5863695</v>
      </c>
      <c r="H6" s="3">
        <v>5857647.2898970367</v>
      </c>
      <c r="I6" s="3">
        <v>263895069.39704838</v>
      </c>
      <c r="J6" s="3">
        <v>875166.64235023828</v>
      </c>
      <c r="K6" s="3">
        <v>69010230.638023034</v>
      </c>
      <c r="L6" s="3">
        <v>276514282.78786266</v>
      </c>
      <c r="M6" s="3">
        <v>3544411893.145093</v>
      </c>
      <c r="N6" s="3"/>
      <c r="O6" s="3"/>
      <c r="P6" s="3"/>
      <c r="Q6" s="3"/>
      <c r="R6" s="3"/>
      <c r="S6" s="1" t="s">
        <v>1</v>
      </c>
      <c r="T6" s="2" t="s">
        <v>30</v>
      </c>
      <c r="W6" s="7">
        <f t="shared" ref="W6:W37" si="1">_xlfn.RANK.EQ(D6,$D6:$R6,1)</f>
        <v>1</v>
      </c>
      <c r="X6" s="7">
        <f t="shared" ref="X6:X69" si="2">_xlfn.RANK.EQ(E6,$D6:$R6,1)</f>
        <v>5</v>
      </c>
      <c r="Y6" s="7">
        <f t="shared" ref="Y6:Y69" si="3">_xlfn.RANK.EQ(F6,$D6:$R6,1)</f>
        <v>3</v>
      </c>
      <c r="Z6" s="7">
        <f t="shared" ref="Z6:Z69" si="4">_xlfn.RANK.EQ(G6,$D6:$R6,1)</f>
        <v>7</v>
      </c>
      <c r="AA6" s="7">
        <f t="shared" ref="AA6:AA69" si="5">_xlfn.RANK.EQ(H6,$D6:$R6,1)</f>
        <v>9</v>
      </c>
      <c r="AB6" s="7">
        <f t="shared" ref="AB6:AB69" si="6">_xlfn.RANK.EQ(I6,$D6:$R6,1)</f>
        <v>2</v>
      </c>
      <c r="AC6" s="7">
        <f t="shared" ref="AC6:AC69" si="7">_xlfn.RANK.EQ(J6,$D6:$R6,1)</f>
        <v>8</v>
      </c>
      <c r="AD6" s="7">
        <f t="shared" ref="AD6:AD69" si="8">_xlfn.RANK.EQ(K6,$D6:$R6,1)</f>
        <v>4</v>
      </c>
      <c r="AE6" s="7">
        <f t="shared" ref="AE6:AE69" si="9">_xlfn.RANK.EQ(L6,$D6:$R6,1)</f>
        <v>6</v>
      </c>
      <c r="AF6" s="7" t="e">
        <f t="shared" ref="AF6:AF69" si="10">_xlfn.RANK.EQ(M6,$D6:$R6,1)</f>
        <v>#N/A</v>
      </c>
      <c r="AG6" s="7" t="e">
        <f t="shared" ref="AG6:AG69" si="11">_xlfn.RANK.EQ(N6,$D6:$R6,1)</f>
        <v>#N/A</v>
      </c>
      <c r="AH6" s="7" t="e">
        <f t="shared" ref="AH6:AH69" si="12">_xlfn.RANK.EQ(O6,$D6:$R6,1)</f>
        <v>#N/A</v>
      </c>
      <c r="AI6" s="7" t="e">
        <f t="shared" ref="AI6:AI69" si="13">_xlfn.RANK.EQ(P6,$D6:$R6,1)</f>
        <v>#N/A</v>
      </c>
      <c r="AJ6" s="7" t="e">
        <f t="shared" ref="AJ6:AJ69" si="14">_xlfn.RANK.EQ(Q6,$D6:$R6,1)</f>
        <v>#N/A</v>
      </c>
      <c r="AK6" s="7" t="e">
        <f t="shared" ref="AK6:AK69" si="15">_xlfn.RANK.EQ(R6,$D6:$R6,1)</f>
        <v>#N/A</v>
      </c>
    </row>
    <row r="7" x14ac:dyDescent="0.3">
      <c r="A7" s="12"/>
      <c r="B7" s="13" t="s">
        <v>985</v>
      </c>
      <c r="C7" s="9" t="s">
        <v>1018</v>
      </c>
      <c r="D7" s="8">
        <v>5487652.0190376816</v>
      </c>
      <c r="E7" s="8">
        <v>7817713874.1109676</v>
      </c>
      <c r="F7" s="8">
        <v>7369930.8470671084</v>
      </c>
      <c r="G7" s="8">
        <v>2840788653.8649225</v>
      </c>
      <c r="H7" s="8">
        <v>7966928.2451323774</v>
      </c>
      <c r="I7" s="8">
        <v>114288159.00316402</v>
      </c>
      <c r="J7" s="8">
        <v>266160.81411671807</v>
      </c>
      <c r="K7" s="8">
        <v>254042290.87187281</v>
      </c>
      <c r="L7" s="8">
        <v>98949528.122491896</v>
      </c>
      <c r="M7" s="8">
        <v>2926360458.3474245</v>
      </c>
      <c r="N7" s="8"/>
      <c r="O7" s="8"/>
      <c r="P7" s="8"/>
      <c r="Q7" s="8"/>
      <c r="R7" s="8"/>
      <c r="S7" s="24"/>
      <c r="T7" s="9" t="s">
        <v>31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x14ac:dyDescent="0.3">
      <c r="A8" s="12"/>
      <c r="B8" s="16" t="s">
        <v>985</v>
      </c>
      <c r="C8" s="5" t="s">
        <v>1019</v>
      </c>
      <c r="D8" s="6">
        <v>1.4567708333333333</v>
      </c>
      <c r="E8" s="6">
        <v>0.079687499999999994</v>
      </c>
      <c r="F8" s="6">
        <v>0.24843750000000001</v>
      </c>
      <c r="G8" s="6">
        <v>0.20729166666666668</v>
      </c>
      <c r="H8" s="6">
        <v>0.22812499999999999</v>
      </c>
      <c r="I8" s="6">
        <v>0.19635416666666666</v>
      </c>
      <c r="J8" s="6">
        <v>0.70520833333333333</v>
      </c>
      <c r="K8" s="6">
        <v>0.15937499999999999</v>
      </c>
      <c r="L8" s="6">
        <v>0.17864583333333334</v>
      </c>
      <c r="M8" s="6">
        <v>0.20833333333333334</v>
      </c>
      <c r="N8" s="6"/>
      <c r="O8" s="6"/>
      <c r="P8" s="6"/>
      <c r="Q8" s="6"/>
      <c r="R8" s="6"/>
      <c r="S8" s="4"/>
      <c r="T8" s="5" t="s">
        <v>32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x14ac:dyDescent="0.3">
      <c r="A9" s="12"/>
      <c r="B9" s="18" t="s">
        <v>986</v>
      </c>
      <c r="C9" s="2" t="s">
        <v>1020</v>
      </c>
      <c r="D9" s="3">
        <v>2953.1780701552539</v>
      </c>
      <c r="E9" s="3">
        <v>80410.206861518833</v>
      </c>
      <c r="F9" s="3">
        <v>41520.560123107971</v>
      </c>
      <c r="G9" s="3">
        <v>51961.494894020761</v>
      </c>
      <c r="H9" s="3">
        <v>27047.837628356607</v>
      </c>
      <c r="I9" s="3">
        <v>42597.824277608452</v>
      </c>
      <c r="J9" s="3">
        <v>9149.0348892018501</v>
      </c>
      <c r="K9" s="3">
        <v>2900.5469726012434</v>
      </c>
      <c r="L9" s="3">
        <v>28276.565061732308</v>
      </c>
      <c r="M9" s="3">
        <v>53073.609810033471</v>
      </c>
      <c r="N9" s="3"/>
      <c r="O9" s="3"/>
      <c r="P9" s="3"/>
      <c r="Q9" s="3"/>
      <c r="R9" s="3"/>
      <c r="S9" s="1" t="s">
        <v>2</v>
      </c>
      <c r="T9" s="2" t="s">
        <v>30</v>
      </c>
      <c r="W9" s="7">
        <f t="shared" ref="W9:W40" si="16">_xlfn.RANK.EQ(D9,$D9:$R9,1)</f>
        <v>1</v>
      </c>
      <c r="X9" s="7">
        <f t="shared" ref="X9:X72" si="17">_xlfn.RANK.EQ(E9,$D9:$R9,1)</f>
        <v>2</v>
      </c>
      <c r="Y9" s="7">
        <f t="shared" ref="Y9:Y72" si="18">_xlfn.RANK.EQ(F9,$D9:$R9,1)</f>
        <v>3</v>
      </c>
      <c r="Z9" s="7">
        <f t="shared" ref="Z9:Z72" si="19">_xlfn.RANK.EQ(G9,$D9:$R9,1)</f>
        <v>8</v>
      </c>
      <c r="AA9" s="7">
        <f t="shared" ref="AA9:AA72" si="20">_xlfn.RANK.EQ(H9,$D9:$R9,1)</f>
        <v>9</v>
      </c>
      <c r="AB9" s="7">
        <f t="shared" ref="AB9:AB72" si="21">_xlfn.RANK.EQ(I9,$D9:$R9,1)</f>
        <v>7</v>
      </c>
      <c r="AC9" s="7">
        <f t="shared" ref="AC9:AC72" si="22">_xlfn.RANK.EQ(J9,$D9:$R9,1)</f>
        <v>6</v>
      </c>
      <c r="AD9" s="7">
        <f t="shared" ref="AD9:AD72" si="23">_xlfn.RANK.EQ(K9,$D9:$R9,1)</f>
        <v>4</v>
      </c>
      <c r="AE9" s="7">
        <f t="shared" ref="AE9:AE72" si="24">_xlfn.RANK.EQ(L9,$D9:$R9,1)</f>
        <v>5</v>
      </c>
      <c r="AF9" s="7" t="e">
        <f t="shared" ref="AF9:AF72" si="25">_xlfn.RANK.EQ(M9,$D9:$R9,1)</f>
        <v>#N/A</v>
      </c>
      <c r="AG9" s="7" t="e">
        <f t="shared" ref="AG9:AG72" si="26">_xlfn.RANK.EQ(N9,$D9:$R9,1)</f>
        <v>#N/A</v>
      </c>
      <c r="AH9" s="7" t="e">
        <f t="shared" ref="AH9:AH72" si="27">_xlfn.RANK.EQ(O9,$D9:$R9,1)</f>
        <v>#N/A</v>
      </c>
      <c r="AI9" s="7" t="e">
        <f t="shared" ref="AI9:AI72" si="28">_xlfn.RANK.EQ(P9,$D9:$R9,1)</f>
        <v>#N/A</v>
      </c>
      <c r="AJ9" s="7" t="e">
        <f t="shared" ref="AJ9:AJ72" si="29">_xlfn.RANK.EQ(Q9,$D9:$R9,1)</f>
        <v>#N/A</v>
      </c>
      <c r="AK9" s="7" t="e">
        <f t="shared" ref="AK9:AK72" si="30">_xlfn.RANK.EQ(R9,$D9:$R9,1)</f>
        <v>#N/A</v>
      </c>
    </row>
    <row r="10" x14ac:dyDescent="0.3">
      <c r="A10" s="12"/>
      <c r="B10" s="13" t="s">
        <v>986</v>
      </c>
      <c r="C10" s="9" t="s">
        <v>1021</v>
      </c>
      <c r="D10" s="8">
        <v>923.91528150836245</v>
      </c>
      <c r="E10" s="8">
        <v>7341.6650672286314</v>
      </c>
      <c r="F10" s="8">
        <v>6235.9424559639838</v>
      </c>
      <c r="G10" s="8">
        <v>12316.566805316976</v>
      </c>
      <c r="H10" s="8">
        <v>16665.740628115131</v>
      </c>
      <c r="I10" s="8">
        <v>72026.061158905199</v>
      </c>
      <c r="J10" s="8">
        <v>7297.1715119998507</v>
      </c>
      <c r="K10" s="8">
        <v>2196.0809874153219</v>
      </c>
      <c r="L10" s="8">
        <v>26294.866694807977</v>
      </c>
      <c r="M10" s="8">
        <v>13655.858663439856</v>
      </c>
      <c r="N10" s="8"/>
      <c r="O10" s="8"/>
      <c r="P10" s="8"/>
      <c r="Q10" s="8"/>
      <c r="R10" s="8"/>
      <c r="S10" s="24"/>
      <c r="T10" s="9" t="s">
        <v>31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x14ac:dyDescent="0.3">
      <c r="A11" s="15"/>
      <c r="B11" s="16" t="s">
        <v>986</v>
      </c>
      <c r="C11" s="5" t="s">
        <v>1022</v>
      </c>
      <c r="D11" s="6">
        <v>1.4744791666666666</v>
      </c>
      <c r="E11" s="6">
        <v>0.11093749999999999</v>
      </c>
      <c r="F11" s="6">
        <v>0.23854166666666668</v>
      </c>
      <c r="G11" s="6">
        <v>0.19843749999999999</v>
      </c>
      <c r="H11" s="6">
        <v>0.23333333333333334</v>
      </c>
      <c r="I11" s="6">
        <v>0.19114583333333332</v>
      </c>
      <c r="J11" s="6">
        <v>0.71302083333333333</v>
      </c>
      <c r="K11" s="6">
        <v>0.23802083333333332</v>
      </c>
      <c r="L11" s="6">
        <v>0.19479166666666667</v>
      </c>
      <c r="M11" s="6">
        <v>0.21249999999999999</v>
      </c>
      <c r="N11" s="6"/>
      <c r="O11" s="6"/>
      <c r="P11" s="6"/>
      <c r="Q11" s="6"/>
      <c r="R11" s="6"/>
      <c r="S11" s="4"/>
      <c r="T11" s="5" t="s">
        <v>32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ht="14.4" customHeight="true" x14ac:dyDescent="0.3">
      <c r="A12" s="17" t="s">
        <v>34</v>
      </c>
      <c r="B12" s="18" t="s">
        <v>987</v>
      </c>
      <c r="C12" s="2" t="s">
        <v>1023</v>
      </c>
      <c r="D12" s="3">
        <v>524.0914310395018</v>
      </c>
      <c r="E12" s="3">
        <v>5093.4058632189672</v>
      </c>
      <c r="F12" s="3">
        <v>603.7347595245709</v>
      </c>
      <c r="G12" s="3">
        <v>703.64524439239563</v>
      </c>
      <c r="H12" s="3">
        <v>639.44658761485266</v>
      </c>
      <c r="I12" s="3">
        <v>653.96563062484017</v>
      </c>
      <c r="J12" s="3">
        <v>541.0690690381864</v>
      </c>
      <c r="K12" s="3">
        <v>529.32015578071378</v>
      </c>
      <c r="L12" s="3">
        <v>624.14284428022756</v>
      </c>
      <c r="M12" s="3">
        <v>685.99809322426199</v>
      </c>
      <c r="N12" s="3"/>
      <c r="O12" s="3"/>
      <c r="P12" s="3"/>
      <c r="Q12" s="3"/>
      <c r="R12" s="3"/>
      <c r="S12" s="1" t="s">
        <v>3</v>
      </c>
      <c r="T12" s="2" t="s">
        <v>30</v>
      </c>
      <c r="W12" s="7">
        <f t="shared" ref="W12:W43" si="31">_xlfn.RANK.EQ(D12,$D12:$R12,1)</f>
        <v>1</v>
      </c>
      <c r="X12" s="7">
        <f t="shared" ref="X12:X75" si="32">_xlfn.RANK.EQ(E12,$D12:$R12,1)</f>
        <v>4</v>
      </c>
      <c r="Y12" s="7">
        <f t="shared" ref="Y12:Y75" si="33">_xlfn.RANK.EQ(F12,$D12:$R12,1)</f>
        <v>2</v>
      </c>
      <c r="Z12" s="7">
        <f t="shared" ref="Z12:Z75" si="34">_xlfn.RANK.EQ(G12,$D12:$R12,1)</f>
        <v>5</v>
      </c>
      <c r="AA12" s="7">
        <f t="shared" ref="AA12:AA75" si="35">_xlfn.RANK.EQ(H12,$D12:$R12,1)</f>
        <v>9</v>
      </c>
      <c r="AB12" s="7">
        <f t="shared" ref="AB12:AB75" si="36">_xlfn.RANK.EQ(I12,$D12:$R12,1)</f>
        <v>3</v>
      </c>
      <c r="AC12" s="7">
        <f t="shared" ref="AC12:AC75" si="37">_xlfn.RANK.EQ(J12,$D12:$R12,1)</f>
        <v>8</v>
      </c>
      <c r="AD12" s="7">
        <f t="shared" ref="AD12:AD75" si="38">_xlfn.RANK.EQ(K12,$D12:$R12,1)</f>
        <v>7</v>
      </c>
      <c r="AE12" s="7">
        <f t="shared" ref="AE12:AE75" si="39">_xlfn.RANK.EQ(L12,$D12:$R12,1)</f>
        <v>6</v>
      </c>
      <c r="AF12" s="7" t="e">
        <f t="shared" ref="AF12:AF75" si="40">_xlfn.RANK.EQ(M12,$D12:$R12,1)</f>
        <v>#N/A</v>
      </c>
      <c r="AG12" s="7" t="e">
        <f t="shared" ref="AG12:AG75" si="41">_xlfn.RANK.EQ(N12,$D12:$R12,1)</f>
        <v>#N/A</v>
      </c>
      <c r="AH12" s="7" t="e">
        <f t="shared" ref="AH12:AH75" si="42">_xlfn.RANK.EQ(O12,$D12:$R12,1)</f>
        <v>#N/A</v>
      </c>
      <c r="AI12" s="7" t="e">
        <f t="shared" ref="AI12:AI75" si="43">_xlfn.RANK.EQ(P12,$D12:$R12,1)</f>
        <v>#N/A</v>
      </c>
      <c r="AJ12" s="7" t="e">
        <f t="shared" ref="AJ12:AJ75" si="44">_xlfn.RANK.EQ(Q12,$D12:$R12,1)</f>
        <v>#N/A</v>
      </c>
      <c r="AK12" s="7" t="e">
        <f t="shared" ref="AK12:AK75" si="45">_xlfn.RANK.EQ(R12,$D12:$R12,1)</f>
        <v>#N/A</v>
      </c>
    </row>
    <row r="13" x14ac:dyDescent="0.3">
      <c r="A13" s="12"/>
      <c r="B13" s="13" t="s">
        <v>987</v>
      </c>
      <c r="C13" s="9" t="s">
        <v>1024</v>
      </c>
      <c r="D13" s="8">
        <v>38.769574458348067</v>
      </c>
      <c r="E13" s="8">
        <v>2105.766444876379</v>
      </c>
      <c r="F13" s="8">
        <v>41.303012348580296</v>
      </c>
      <c r="G13" s="8">
        <v>130.1385534046515</v>
      </c>
      <c r="H13" s="8">
        <v>62.661281815099507</v>
      </c>
      <c r="I13" s="8">
        <v>81.001721177299018</v>
      </c>
      <c r="J13" s="8">
        <v>38.72415145306266</v>
      </c>
      <c r="K13" s="8">
        <v>35.323451080587994</v>
      </c>
      <c r="L13" s="8">
        <v>50.948289900131066</v>
      </c>
      <c r="M13" s="8">
        <v>69.893666062263279</v>
      </c>
      <c r="N13" s="8"/>
      <c r="O13" s="8"/>
      <c r="P13" s="8"/>
      <c r="Q13" s="8"/>
      <c r="R13" s="8"/>
      <c r="S13" s="24"/>
      <c r="T13" s="9" t="s">
        <v>31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x14ac:dyDescent="0.3">
      <c r="A14" s="12"/>
      <c r="B14" s="16" t="s">
        <v>987</v>
      </c>
      <c r="C14" s="5" t="s">
        <v>1025</v>
      </c>
      <c r="D14" s="6">
        <v>1.3786458333333333</v>
      </c>
      <c r="E14" s="6">
        <v>0.07604166666666666</v>
      </c>
      <c r="F14" s="6">
        <v>0.23593749999999999</v>
      </c>
      <c r="G14" s="6">
        <v>0.21458333333333332</v>
      </c>
      <c r="H14" s="6">
        <v>0.23072916666666668</v>
      </c>
      <c r="I14" s="6">
        <v>0.18437500000000001</v>
      </c>
      <c r="J14" s="6">
        <v>0.71510416666666665</v>
      </c>
      <c r="K14" s="6">
        <v>0.16510416666666666</v>
      </c>
      <c r="L14" s="6">
        <v>0.19375000000000001</v>
      </c>
      <c r="M14" s="6">
        <v>0.20052083333333334</v>
      </c>
      <c r="N14" s="6"/>
      <c r="O14" s="6"/>
      <c r="P14" s="6"/>
      <c r="Q14" s="6"/>
      <c r="R14" s="6"/>
      <c r="S14" s="4"/>
      <c r="T14" s="5" t="s">
        <v>32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x14ac:dyDescent="0.3">
      <c r="A15" s="12"/>
      <c r="B15" s="18" t="s">
        <v>988</v>
      </c>
      <c r="C15" s="2" t="s">
        <v>1026</v>
      </c>
      <c r="D15" s="3">
        <v>520.42381014520663</v>
      </c>
      <c r="E15" s="3">
        <v>520.96517377618693</v>
      </c>
      <c r="F15" s="3">
        <v>520.8040730739134</v>
      </c>
      <c r="G15" s="3">
        <v>521.09101551146875</v>
      </c>
      <c r="H15" s="3">
        <v>520.98498125292497</v>
      </c>
      <c r="I15" s="3">
        <v>520.43140903557526</v>
      </c>
      <c r="J15" s="3">
        <v>521.07451280043949</v>
      </c>
      <c r="K15" s="3">
        <v>521.05659719653534</v>
      </c>
      <c r="L15" s="3">
        <v>520.42411043423431</v>
      </c>
      <c r="M15" s="3">
        <v>521.08780468731038</v>
      </c>
      <c r="N15" s="3"/>
      <c r="O15" s="3"/>
      <c r="P15" s="3"/>
      <c r="Q15" s="3"/>
      <c r="R15" s="3"/>
      <c r="S15" s="1" t="s">
        <v>4</v>
      </c>
      <c r="T15" s="2" t="s">
        <v>30</v>
      </c>
      <c r="W15" s="7">
        <f t="shared" ref="W15:W46" si="46">_xlfn.RANK.EQ(D15,$D15:$R15,1)</f>
        <v>2</v>
      </c>
      <c r="X15" s="7">
        <f t="shared" ref="X15:X78" si="47">_xlfn.RANK.EQ(E15,$D15:$R15,1)</f>
        <v>4</v>
      </c>
      <c r="Y15" s="7">
        <f t="shared" ref="Y15:Y78" si="48">_xlfn.RANK.EQ(F15,$D15:$R15,1)</f>
        <v>9</v>
      </c>
      <c r="Z15" s="7">
        <f t="shared" ref="Z15:Z78" si="49">_xlfn.RANK.EQ(G15,$D15:$R15,1)</f>
        <v>8</v>
      </c>
      <c r="AA15" s="7">
        <f t="shared" ref="AA15:AA78" si="50">_xlfn.RANK.EQ(H15,$D15:$R15,1)</f>
        <v>6</v>
      </c>
      <c r="AB15" s="7">
        <f t="shared" ref="AB15:AB78" si="51">_xlfn.RANK.EQ(I15,$D15:$R15,1)</f>
        <v>3</v>
      </c>
      <c r="AC15" s="7">
        <f t="shared" ref="AC15:AC78" si="52">_xlfn.RANK.EQ(J15,$D15:$R15,1)</f>
        <v>1</v>
      </c>
      <c r="AD15" s="7">
        <f t="shared" ref="AD15:AD78" si="53">_xlfn.RANK.EQ(K15,$D15:$R15,1)</f>
        <v>7</v>
      </c>
      <c r="AE15" s="7">
        <f t="shared" ref="AE15:AE78" si="54">_xlfn.RANK.EQ(L15,$D15:$R15,1)</f>
        <v>5</v>
      </c>
      <c r="AF15" s="7" t="e">
        <f t="shared" ref="AF15:AF78" si="55">_xlfn.RANK.EQ(M15,$D15:$R15,1)</f>
        <v>#N/A</v>
      </c>
      <c r="AG15" s="7" t="e">
        <f t="shared" ref="AG15:AG78" si="56">_xlfn.RANK.EQ(N15,$D15:$R15,1)</f>
        <v>#N/A</v>
      </c>
      <c r="AH15" s="7" t="e">
        <f t="shared" ref="AH15:AH78" si="57">_xlfn.RANK.EQ(O15,$D15:$R15,1)</f>
        <v>#N/A</v>
      </c>
      <c r="AI15" s="7" t="e">
        <f t="shared" ref="AI15:AI78" si="58">_xlfn.RANK.EQ(P15,$D15:$R15,1)</f>
        <v>#N/A</v>
      </c>
      <c r="AJ15" s="7" t="e">
        <f t="shared" ref="AJ15:AJ78" si="59">_xlfn.RANK.EQ(Q15,$D15:$R15,1)</f>
        <v>#N/A</v>
      </c>
      <c r="AK15" s="7" t="e">
        <f t="shared" ref="AK15:AK78" si="60">_xlfn.RANK.EQ(R15,$D15:$R15,1)</f>
        <v>#N/A</v>
      </c>
    </row>
    <row r="16" x14ac:dyDescent="0.3">
      <c r="A16" s="12"/>
      <c r="B16" s="13" t="s">
        <v>988</v>
      </c>
      <c r="C16" s="9" t="s">
        <v>1027</v>
      </c>
      <c r="D16" s="8">
        <v>0.23124040982690894</v>
      </c>
      <c r="E16" s="8">
        <v>0.089071803931907861</v>
      </c>
      <c r="F16" s="8">
        <v>0.12197919943552595</v>
      </c>
      <c r="G16" s="8">
        <v>0.055041215154311908</v>
      </c>
      <c r="H16" s="8">
        <v>0.091443979745006426</v>
      </c>
      <c r="I16" s="8">
        <v>0.048849597810636303</v>
      </c>
      <c r="J16" s="8">
        <v>0.044292525852360855</v>
      </c>
      <c r="K16" s="8">
        <v>0.076295683354996743</v>
      </c>
      <c r="L16" s="8">
        <v>0.072342168991926317</v>
      </c>
      <c r="M16" s="8">
        <v>0.046651472734444331</v>
      </c>
      <c r="N16" s="8"/>
      <c r="O16" s="8"/>
      <c r="P16" s="8"/>
      <c r="Q16" s="8"/>
      <c r="R16" s="8"/>
      <c r="S16" s="24"/>
      <c r="T16" s="9" t="s">
        <v>31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x14ac:dyDescent="0.3">
      <c r="A17" s="12"/>
      <c r="B17" s="16" t="s">
        <v>988</v>
      </c>
      <c r="C17" s="5" t="s">
        <v>1028</v>
      </c>
      <c r="D17" s="6">
        <v>1.5182291666666667</v>
      </c>
      <c r="E17" s="6">
        <v>0.1140625</v>
      </c>
      <c r="F17" s="6">
        <v>0.30260416666666667</v>
      </c>
      <c r="G17" s="6">
        <v>0.24010416666666667</v>
      </c>
      <c r="H17" s="6">
        <v>0.28802083333333334</v>
      </c>
      <c r="I17" s="6">
        <v>0.22135416666666666</v>
      </c>
      <c r="J17" s="6">
        <v>0.70156249999999998</v>
      </c>
      <c r="K17" s="6">
        <v>0.15364583333333334</v>
      </c>
      <c r="L17" s="6">
        <v>0.18229166666666666</v>
      </c>
      <c r="M17" s="6">
        <v>0.2109375</v>
      </c>
      <c r="N17" s="6"/>
      <c r="O17" s="6"/>
      <c r="P17" s="6"/>
      <c r="Q17" s="6"/>
      <c r="R17" s="6"/>
      <c r="S17" s="4"/>
      <c r="T17" s="5" t="s">
        <v>32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x14ac:dyDescent="0.3">
      <c r="A18" s="12"/>
      <c r="B18" s="18" t="s">
        <v>989</v>
      </c>
      <c r="C18" s="2" t="s">
        <v>1029</v>
      </c>
      <c r="D18" s="3">
        <v>627.6924993889279</v>
      </c>
      <c r="E18" s="3">
        <v>637.84975714263567</v>
      </c>
      <c r="F18" s="3">
        <v>634.54072268095729</v>
      </c>
      <c r="G18" s="3">
        <v>617.6527827237577</v>
      </c>
      <c r="H18" s="3">
        <v>617.41106548792357</v>
      </c>
      <c r="I18" s="3">
        <v>621.75567593109122</v>
      </c>
      <c r="J18" s="3">
        <v>629.45964008161252</v>
      </c>
      <c r="K18" s="3">
        <v>608.52009639491166</v>
      </c>
      <c r="L18" s="3">
        <v>620.00137080304694</v>
      </c>
      <c r="M18" s="3">
        <v>617.35712845906608</v>
      </c>
      <c r="N18" s="3"/>
      <c r="O18" s="3"/>
      <c r="P18" s="3"/>
      <c r="Q18" s="3"/>
      <c r="R18" s="3"/>
      <c r="S18" s="1" t="s">
        <v>5</v>
      </c>
      <c r="T18" s="2" t="s">
        <v>30</v>
      </c>
      <c r="W18" s="7">
        <f t="shared" ref="W18:W49" si="61">_xlfn.RANK.EQ(D18,$D18:$R18,1)</f>
        <v>5</v>
      </c>
      <c r="X18" s="7">
        <f t="shared" ref="X18:X81" si="62">_xlfn.RANK.EQ(E18,$D18:$R18,1)</f>
        <v>4</v>
      </c>
      <c r="Y18" s="7">
        <f t="shared" ref="Y18:Y81" si="63">_xlfn.RANK.EQ(F18,$D18:$R18,1)</f>
        <v>7</v>
      </c>
      <c r="Z18" s="7">
        <f t="shared" ref="Z18:Z81" si="64">_xlfn.RANK.EQ(G18,$D18:$R18,1)</f>
        <v>2</v>
      </c>
      <c r="AA18" s="7">
        <f t="shared" ref="AA18:AA81" si="65">_xlfn.RANK.EQ(H18,$D18:$R18,1)</f>
        <v>9</v>
      </c>
      <c r="AB18" s="7">
        <f t="shared" ref="AB18:AB81" si="66">_xlfn.RANK.EQ(I18,$D18:$R18,1)</f>
        <v>6</v>
      </c>
      <c r="AC18" s="7">
        <f t="shared" ref="AC18:AC81" si="67">_xlfn.RANK.EQ(J18,$D18:$R18,1)</f>
        <v>8</v>
      </c>
      <c r="AD18" s="7">
        <f t="shared" ref="AD18:AD81" si="68">_xlfn.RANK.EQ(K18,$D18:$R18,1)</f>
        <v>1</v>
      </c>
      <c r="AE18" s="7">
        <f t="shared" ref="AE18:AE81" si="69">_xlfn.RANK.EQ(L18,$D18:$R18,1)</f>
        <v>3</v>
      </c>
      <c r="AF18" s="7" t="e">
        <f t="shared" ref="AF18:AF81" si="70">_xlfn.RANK.EQ(M18,$D18:$R18,1)</f>
        <v>#N/A</v>
      </c>
      <c r="AG18" s="7" t="e">
        <f t="shared" ref="AG18:AG81" si="71">_xlfn.RANK.EQ(N18,$D18:$R18,1)</f>
        <v>#N/A</v>
      </c>
      <c r="AH18" s="7" t="e">
        <f t="shared" ref="AH18:AH81" si="72">_xlfn.RANK.EQ(O18,$D18:$R18,1)</f>
        <v>#N/A</v>
      </c>
      <c r="AI18" s="7" t="e">
        <f t="shared" ref="AI18:AI81" si="73">_xlfn.RANK.EQ(P18,$D18:$R18,1)</f>
        <v>#N/A</v>
      </c>
      <c r="AJ18" s="7" t="e">
        <f t="shared" ref="AJ18:AJ81" si="74">_xlfn.RANK.EQ(Q18,$D18:$R18,1)</f>
        <v>#N/A</v>
      </c>
      <c r="AK18" s="7" t="e">
        <f t="shared" ref="AK18:AK81" si="75">_xlfn.RANK.EQ(R18,$D18:$R18,1)</f>
        <v>#N/A</v>
      </c>
    </row>
    <row r="19" x14ac:dyDescent="0.3">
      <c r="A19" s="12"/>
      <c r="B19" s="13" t="s">
        <v>989</v>
      </c>
      <c r="C19" s="9" t="s">
        <v>1030</v>
      </c>
      <c r="D19" s="8">
        <v>3.7884178958320143</v>
      </c>
      <c r="E19" s="8">
        <v>2.5388380339410648</v>
      </c>
      <c r="F19" s="8">
        <v>3.3482769269696608</v>
      </c>
      <c r="G19" s="8">
        <v>3.3917346414929006</v>
      </c>
      <c r="H19" s="8">
        <v>2.8104811965399574</v>
      </c>
      <c r="I19" s="8">
        <v>2.923156106757661</v>
      </c>
      <c r="J19" s="8">
        <v>2.6871587656330611</v>
      </c>
      <c r="K19" s="8">
        <v>3.2912149279369385</v>
      </c>
      <c r="L19" s="8">
        <v>1.9090639209001041</v>
      </c>
      <c r="M19" s="8">
        <v>3.1208180217789354</v>
      </c>
      <c r="N19" s="8"/>
      <c r="O19" s="8"/>
      <c r="P19" s="8"/>
      <c r="Q19" s="8"/>
      <c r="R19" s="8"/>
      <c r="S19" s="24"/>
      <c r="T19" s="9" t="s">
        <v>31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x14ac:dyDescent="0.3">
      <c r="A20" s="12"/>
      <c r="B20" s="16" t="s">
        <v>989</v>
      </c>
      <c r="C20" s="5" t="s">
        <v>1031</v>
      </c>
      <c r="D20" s="6">
        <v>16.021875000000001</v>
      </c>
      <c r="E20" s="6">
        <v>4.0015625000000004</v>
      </c>
      <c r="F20" s="6">
        <v>2.2744791666666666</v>
      </c>
      <c r="G20" s="6">
        <v>1.1010416666666667</v>
      </c>
      <c r="H20" s="6">
        <v>1.171875</v>
      </c>
      <c r="I20" s="6">
        <v>1.0249999999999999</v>
      </c>
      <c r="J20" s="6">
        <v>1.5333333333333334</v>
      </c>
      <c r="K20" s="6">
        <v>1.0739583333333333</v>
      </c>
      <c r="L20" s="6">
        <v>1.0302083333333334</v>
      </c>
      <c r="M20" s="6">
        <v>1.1463541666666666</v>
      </c>
      <c r="N20" s="6"/>
      <c r="O20" s="6"/>
      <c r="P20" s="6"/>
      <c r="Q20" s="6"/>
      <c r="R20" s="6"/>
      <c r="S20" s="4"/>
      <c r="T20" s="5" t="s">
        <v>32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x14ac:dyDescent="0.3">
      <c r="A21" s="12"/>
      <c r="B21" s="18" t="s">
        <v>990</v>
      </c>
      <c r="C21" s="2" t="s">
        <v>1032</v>
      </c>
      <c r="D21" s="3">
        <v>701.16512251129575</v>
      </c>
      <c r="E21" s="3">
        <v>1028.0626210074613</v>
      </c>
      <c r="F21" s="3">
        <v>701.37096438670244</v>
      </c>
      <c r="G21" s="3">
        <v>741.28865779876321</v>
      </c>
      <c r="H21" s="3">
        <v>701.02229319182891</v>
      </c>
      <c r="I21" s="3">
        <v>703.14029258887911</v>
      </c>
      <c r="J21" s="3">
        <v>700.77276808348074</v>
      </c>
      <c r="K21" s="3">
        <v>700.91650549762426</v>
      </c>
      <c r="L21" s="3">
        <v>703.22592221614991</v>
      </c>
      <c r="M21" s="3">
        <v>742.74406509413905</v>
      </c>
      <c r="N21" s="3"/>
      <c r="O21" s="3"/>
      <c r="P21" s="3"/>
      <c r="Q21" s="3"/>
      <c r="R21" s="3"/>
      <c r="S21" s="1" t="s">
        <v>6</v>
      </c>
      <c r="T21" s="2" t="s">
        <v>30</v>
      </c>
      <c r="W21" s="7">
        <f t="shared" ref="W21:W52" si="76">_xlfn.RANK.EQ(D21,$D21:$R21,1)</f>
        <v>2</v>
      </c>
      <c r="X21" s="7">
        <f t="shared" ref="X21:X84" si="77">_xlfn.RANK.EQ(E21,$D21:$R21,1)</f>
        <v>4</v>
      </c>
      <c r="Y21" s="7">
        <f t="shared" ref="Y21:Y84" si="78">_xlfn.RANK.EQ(F21,$D21:$R21,1)</f>
        <v>3</v>
      </c>
      <c r="Z21" s="7">
        <f t="shared" ref="Z21:Z84" si="79">_xlfn.RANK.EQ(G21,$D21:$R21,1)</f>
        <v>7</v>
      </c>
      <c r="AA21" s="7">
        <f t="shared" ref="AA21:AA84" si="80">_xlfn.RANK.EQ(H21,$D21:$R21,1)</f>
        <v>8</v>
      </c>
      <c r="AB21" s="7">
        <f t="shared" ref="AB21:AB84" si="81">_xlfn.RANK.EQ(I21,$D21:$R21,1)</f>
        <v>1</v>
      </c>
      <c r="AC21" s="7">
        <f t="shared" ref="AC21:AC84" si="82">_xlfn.RANK.EQ(J21,$D21:$R21,1)</f>
        <v>9</v>
      </c>
      <c r="AD21" s="7">
        <f t="shared" ref="AD21:AD84" si="83">_xlfn.RANK.EQ(K21,$D21:$R21,1)</f>
        <v>5</v>
      </c>
      <c r="AE21" s="7">
        <f t="shared" ref="AE21:AE84" si="84">_xlfn.RANK.EQ(L21,$D21:$R21,1)</f>
        <v>6</v>
      </c>
      <c r="AF21" s="7" t="e">
        <f t="shared" ref="AF21:AF84" si="85">_xlfn.RANK.EQ(M21,$D21:$R21,1)</f>
        <v>#N/A</v>
      </c>
      <c r="AG21" s="7" t="e">
        <f t="shared" ref="AG21:AG84" si="86">_xlfn.RANK.EQ(N21,$D21:$R21,1)</f>
        <v>#N/A</v>
      </c>
      <c r="AH21" s="7" t="e">
        <f t="shared" ref="AH21:AH84" si="87">_xlfn.RANK.EQ(O21,$D21:$R21,1)</f>
        <v>#N/A</v>
      </c>
      <c r="AI21" s="7" t="e">
        <f t="shared" ref="AI21:AI84" si="88">_xlfn.RANK.EQ(P21,$D21:$R21,1)</f>
        <v>#N/A</v>
      </c>
      <c r="AJ21" s="7" t="e">
        <f t="shared" ref="AJ21:AJ84" si="89">_xlfn.RANK.EQ(Q21,$D21:$R21,1)</f>
        <v>#N/A</v>
      </c>
      <c r="AK21" s="7" t="e">
        <f t="shared" ref="AK21:AK84" si="90">_xlfn.RANK.EQ(R21,$D21:$R21,1)</f>
        <v>#N/A</v>
      </c>
    </row>
    <row r="22" x14ac:dyDescent="0.3">
      <c r="A22" s="12"/>
      <c r="B22" s="13" t="s">
        <v>990</v>
      </c>
      <c r="C22" s="9" t="s">
        <v>1033</v>
      </c>
      <c r="D22" s="8">
        <v>0.049053406910724615</v>
      </c>
      <c r="E22" s="8">
        <v>69.769657278895764</v>
      </c>
      <c r="F22" s="8">
        <v>0.085422141364914661</v>
      </c>
      <c r="G22" s="8">
        <v>29.3731800311547</v>
      </c>
      <c r="H22" s="8">
        <v>0.07566288421982037</v>
      </c>
      <c r="I22" s="8">
        <v>0.7834374341872985</v>
      </c>
      <c r="J22" s="8">
        <v>0.11844357470208074</v>
      </c>
      <c r="K22" s="8">
        <v>0.80626773276640162</v>
      </c>
      <c r="L22" s="8">
        <v>0.94590277325037919</v>
      </c>
      <c r="M22" s="8">
        <v>41.051211959840039</v>
      </c>
      <c r="N22" s="8"/>
      <c r="O22" s="8"/>
      <c r="P22" s="8"/>
      <c r="Q22" s="8"/>
      <c r="R22" s="8"/>
      <c r="S22" s="24"/>
      <c r="T22" s="9" t="s">
        <v>31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x14ac:dyDescent="0.3">
      <c r="A23" s="12"/>
      <c r="B23" s="16" t="s">
        <v>990</v>
      </c>
      <c r="C23" s="5" t="s">
        <v>1034</v>
      </c>
      <c r="D23" s="6">
        <v>1.7583333333333333</v>
      </c>
      <c r="E23" s="6">
        <v>0.13802083333333334</v>
      </c>
      <c r="F23" s="6">
        <v>0.28854166666666664</v>
      </c>
      <c r="G23" s="6">
        <v>0.24791666666666667</v>
      </c>
      <c r="H23" s="6">
        <v>0.27447916666666666</v>
      </c>
      <c r="I23" s="6">
        <v>0.21562500000000001</v>
      </c>
      <c r="J23" s="6">
        <v>0.69427083333333328</v>
      </c>
      <c r="K23" s="6">
        <v>0.1484375</v>
      </c>
      <c r="L23" s="6">
        <v>0.17916666666666667</v>
      </c>
      <c r="M23" s="6">
        <v>0.22135416666666666</v>
      </c>
      <c r="N23" s="6"/>
      <c r="O23" s="6"/>
      <c r="P23" s="6"/>
      <c r="Q23" s="6"/>
      <c r="R23" s="6"/>
      <c r="S23" s="4"/>
      <c r="T23" s="5" t="s">
        <v>32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x14ac:dyDescent="0.3">
      <c r="A24" s="12"/>
      <c r="B24" s="18" t="s">
        <v>991</v>
      </c>
      <c r="C24" s="2" t="s">
        <v>1035</v>
      </c>
      <c r="D24" s="3">
        <v>923.46467270269102</v>
      </c>
      <c r="E24" s="3">
        <v>1072.4700816078732</v>
      </c>
      <c r="F24" s="3">
        <v>944.37038161002249</v>
      </c>
      <c r="G24" s="3">
        <v>904.88247440734858</v>
      </c>
      <c r="H24" s="3">
        <v>856.88684883189558</v>
      </c>
      <c r="I24" s="3">
        <v>819.64233386142598</v>
      </c>
      <c r="J24" s="3">
        <v>943.17446852852049</v>
      </c>
      <c r="K24" s="3">
        <v>939.61079678640851</v>
      </c>
      <c r="L24" s="3">
        <v>818.0391427873725</v>
      </c>
      <c r="M24" s="3">
        <v>895.57052010631867</v>
      </c>
      <c r="N24" s="3"/>
      <c r="O24" s="3"/>
      <c r="P24" s="3"/>
      <c r="Q24" s="3"/>
      <c r="R24" s="3"/>
      <c r="S24" s="1" t="s">
        <v>7</v>
      </c>
      <c r="T24" s="2" t="s">
        <v>30</v>
      </c>
      <c r="W24" s="7">
        <f t="shared" ref="W24:W55" si="91">_xlfn.RANK.EQ(D24,$D24:$R24,1)</f>
        <v>4</v>
      </c>
      <c r="X24" s="7">
        <f t="shared" ref="X24:X87" si="92">_xlfn.RANK.EQ(E24,$D24:$R24,1)</f>
        <v>3</v>
      </c>
      <c r="Y24" s="7">
        <f t="shared" ref="Y24:Y87" si="93">_xlfn.RANK.EQ(F24,$D24:$R24,1)</f>
        <v>5</v>
      </c>
      <c r="Z24" s="7">
        <f t="shared" ref="Z24:Z87" si="94">_xlfn.RANK.EQ(G24,$D24:$R24,1)</f>
        <v>8</v>
      </c>
      <c r="AA24" s="7">
        <f t="shared" ref="AA24:AA87" si="95">_xlfn.RANK.EQ(H24,$D24:$R24,1)</f>
        <v>9</v>
      </c>
      <c r="AB24" s="7">
        <f t="shared" ref="AB24:AB87" si="96">_xlfn.RANK.EQ(I24,$D24:$R24,1)</f>
        <v>7</v>
      </c>
      <c r="AC24" s="7">
        <f t="shared" ref="AC24:AC87" si="97">_xlfn.RANK.EQ(J24,$D24:$R24,1)</f>
        <v>6</v>
      </c>
      <c r="AD24" s="7">
        <f t="shared" ref="AD24:AD87" si="98">_xlfn.RANK.EQ(K24,$D24:$R24,1)</f>
        <v>2</v>
      </c>
      <c r="AE24" s="7">
        <f t="shared" ref="AE24:AE87" si="99">_xlfn.RANK.EQ(L24,$D24:$R24,1)</f>
        <v>1</v>
      </c>
      <c r="AF24" s="7" t="e">
        <f t="shared" ref="AF24:AF87" si="100">_xlfn.RANK.EQ(M24,$D24:$R24,1)</f>
        <v>#N/A</v>
      </c>
      <c r="AG24" s="7" t="e">
        <f t="shared" ref="AG24:AG87" si="101">_xlfn.RANK.EQ(N24,$D24:$R24,1)</f>
        <v>#N/A</v>
      </c>
      <c r="AH24" s="7" t="e">
        <f t="shared" ref="AH24:AH87" si="102">_xlfn.RANK.EQ(O24,$D24:$R24,1)</f>
        <v>#N/A</v>
      </c>
      <c r="AI24" s="7" t="e">
        <f t="shared" ref="AI24:AI87" si="103">_xlfn.RANK.EQ(P24,$D24:$R24,1)</f>
        <v>#N/A</v>
      </c>
      <c r="AJ24" s="7" t="e">
        <f t="shared" ref="AJ24:AJ87" si="104">_xlfn.RANK.EQ(Q24,$D24:$R24,1)</f>
        <v>#N/A</v>
      </c>
      <c r="AK24" s="7" t="e">
        <f t="shared" ref="AK24:AK87" si="105">_xlfn.RANK.EQ(R24,$D24:$R24,1)</f>
        <v>#N/A</v>
      </c>
    </row>
    <row r="25" x14ac:dyDescent="0.3">
      <c r="A25" s="12"/>
      <c r="B25" s="13" t="s">
        <v>991</v>
      </c>
      <c r="C25" s="9" t="s">
        <v>1036</v>
      </c>
      <c r="D25" s="8">
        <v>21.320787068648759</v>
      </c>
      <c r="E25" s="8">
        <v>22.089193116233396</v>
      </c>
      <c r="F25" s="8">
        <v>22.125429936935273</v>
      </c>
      <c r="G25" s="8">
        <v>21.184913786202223</v>
      </c>
      <c r="H25" s="8">
        <v>15.227938799374645</v>
      </c>
      <c r="I25" s="8">
        <v>3.2564523389161373</v>
      </c>
      <c r="J25" s="8">
        <v>24.871481308987601</v>
      </c>
      <c r="K25" s="8">
        <v>39.467379467735611</v>
      </c>
      <c r="L25" s="8">
        <v>3.0654632069274328</v>
      </c>
      <c r="M25" s="8">
        <v>21.496756820991195</v>
      </c>
      <c r="N25" s="8"/>
      <c r="O25" s="8"/>
      <c r="P25" s="8"/>
      <c r="Q25" s="8"/>
      <c r="R25" s="8"/>
      <c r="S25" s="24"/>
      <c r="T25" s="9" t="s">
        <v>31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x14ac:dyDescent="0.3">
      <c r="A26" s="12"/>
      <c r="B26" s="16" t="s">
        <v>991</v>
      </c>
      <c r="C26" s="5" t="s">
        <v>1037</v>
      </c>
      <c r="D26" s="6">
        <v>1.4484375</v>
      </c>
      <c r="E26" s="6">
        <v>0.074479166666666666</v>
      </c>
      <c r="F26" s="6">
        <v>0.25677083333333334</v>
      </c>
      <c r="G26" s="6">
        <v>0.20572916666666666</v>
      </c>
      <c r="H26" s="6">
        <v>0.23645833333333333</v>
      </c>
      <c r="I26" s="6">
        <v>0.17083333333333334</v>
      </c>
      <c r="J26" s="6">
        <v>0.67343750000000002</v>
      </c>
      <c r="K26" s="6">
        <v>0.14427083333333332</v>
      </c>
      <c r="L26" s="6">
        <v>0.17604166666666668</v>
      </c>
      <c r="M26" s="6">
        <v>0.20052083333333334</v>
      </c>
      <c r="N26" s="6"/>
      <c r="O26" s="6"/>
      <c r="P26" s="6"/>
      <c r="Q26" s="6"/>
      <c r="R26" s="6"/>
      <c r="S26" s="4"/>
      <c r="T26" s="5" t="s">
        <v>32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x14ac:dyDescent="0.3">
      <c r="A27" s="12"/>
      <c r="B27" s="18" t="s">
        <v>992</v>
      </c>
      <c r="C27" s="2" t="s">
        <v>1038</v>
      </c>
      <c r="D27" s="3">
        <v>1073.8163456905138</v>
      </c>
      <c r="E27" s="3">
        <v>1196.0055770831812</v>
      </c>
      <c r="F27" s="3">
        <v>1101.771886349035</v>
      </c>
      <c r="G27" s="3">
        <v>1028.7946526337585</v>
      </c>
      <c r="H27" s="3">
        <v>1025.4709296961346</v>
      </c>
      <c r="I27" s="3">
        <v>1039.2185898239886</v>
      </c>
      <c r="J27" s="3">
        <v>1068.5615515568065</v>
      </c>
      <c r="K27" s="3">
        <v>1107.3705400036231</v>
      </c>
      <c r="L27" s="3">
        <v>1029.1061498953188</v>
      </c>
      <c r="M27" s="3">
        <v>1046.3083213149146</v>
      </c>
      <c r="N27" s="3"/>
      <c r="O27" s="3"/>
      <c r="P27" s="3"/>
      <c r="Q27" s="3"/>
      <c r="R27" s="3"/>
      <c r="S27" s="1" t="s">
        <v>8</v>
      </c>
      <c r="T27" s="2" t="s">
        <v>30</v>
      </c>
      <c r="W27" s="7">
        <f t="shared" ref="W27:W58" si="106">_xlfn.RANK.EQ(D27,$D27:$R27,1)</f>
        <v>5</v>
      </c>
      <c r="X27" s="7">
        <f t="shared" ref="X27:X90" si="107">_xlfn.RANK.EQ(E27,$D27:$R27,1)</f>
        <v>2</v>
      </c>
      <c r="Y27" s="7">
        <f t="shared" ref="Y27:Y90" si="108">_xlfn.RANK.EQ(F27,$D27:$R27,1)</f>
        <v>4</v>
      </c>
      <c r="Z27" s="7">
        <f t="shared" ref="Z27:Z90" si="109">_xlfn.RANK.EQ(G27,$D27:$R27,1)</f>
        <v>8</v>
      </c>
      <c r="AA27" s="7">
        <f t="shared" ref="AA27:AA90" si="110">_xlfn.RANK.EQ(H27,$D27:$R27,1)</f>
        <v>9</v>
      </c>
      <c r="AB27" s="7">
        <f t="shared" ref="AB27:AB90" si="111">_xlfn.RANK.EQ(I27,$D27:$R27,1)</f>
        <v>6</v>
      </c>
      <c r="AC27" s="7">
        <f t="shared" ref="AC27:AC90" si="112">_xlfn.RANK.EQ(J27,$D27:$R27,1)</f>
        <v>7</v>
      </c>
      <c r="AD27" s="7">
        <f t="shared" ref="AD27:AD90" si="113">_xlfn.RANK.EQ(K27,$D27:$R27,1)</f>
        <v>1</v>
      </c>
      <c r="AE27" s="7">
        <f t="shared" ref="AE27:AE90" si="114">_xlfn.RANK.EQ(L27,$D27:$R27,1)</f>
        <v>3</v>
      </c>
      <c r="AF27" s="7" t="e">
        <f t="shared" ref="AF27:AF90" si="115">_xlfn.RANK.EQ(M27,$D27:$R27,1)</f>
        <v>#N/A</v>
      </c>
      <c r="AG27" s="7" t="e">
        <f t="shared" ref="AG27:AG90" si="116">_xlfn.RANK.EQ(N27,$D27:$R27,1)</f>
        <v>#N/A</v>
      </c>
      <c r="AH27" s="7" t="e">
        <f t="shared" ref="AH27:AH90" si="117">_xlfn.RANK.EQ(O27,$D27:$R27,1)</f>
        <v>#N/A</v>
      </c>
      <c r="AI27" s="7" t="e">
        <f t="shared" ref="AI27:AI90" si="118">_xlfn.RANK.EQ(P27,$D27:$R27,1)</f>
        <v>#N/A</v>
      </c>
      <c r="AJ27" s="7" t="e">
        <f t="shared" ref="AJ27:AJ90" si="119">_xlfn.RANK.EQ(Q27,$D27:$R27,1)</f>
        <v>#N/A</v>
      </c>
      <c r="AK27" s="7" t="e">
        <f t="shared" ref="AK27:AK90" si="120">_xlfn.RANK.EQ(R27,$D27:$R27,1)</f>
        <v>#N/A</v>
      </c>
    </row>
    <row r="28" x14ac:dyDescent="0.3">
      <c r="A28" s="12"/>
      <c r="B28" s="13" t="s">
        <v>992</v>
      </c>
      <c r="C28" s="9" t="s">
        <v>1039</v>
      </c>
      <c r="D28" s="8">
        <v>23.449915271526152</v>
      </c>
      <c r="E28" s="8">
        <v>27.900120925234184</v>
      </c>
      <c r="F28" s="8">
        <v>22.011965848189803</v>
      </c>
      <c r="G28" s="8">
        <v>41.61569043073942</v>
      </c>
      <c r="H28" s="8">
        <v>50.339376259900654</v>
      </c>
      <c r="I28" s="8">
        <v>27.030021928507718</v>
      </c>
      <c r="J28" s="8">
        <v>37.635980999943008</v>
      </c>
      <c r="K28" s="8">
        <v>14.42213831759579</v>
      </c>
      <c r="L28" s="8">
        <v>21.118004916364406</v>
      </c>
      <c r="M28" s="8">
        <v>49.564189955821988</v>
      </c>
      <c r="N28" s="8"/>
      <c r="O28" s="8"/>
      <c r="P28" s="8"/>
      <c r="Q28" s="8"/>
      <c r="R28" s="8"/>
      <c r="S28" s="24"/>
      <c r="T28" s="9" t="s">
        <v>31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x14ac:dyDescent="0.3">
      <c r="A29" s="12"/>
      <c r="B29" s="16" t="s">
        <v>992</v>
      </c>
      <c r="C29" s="5" t="s">
        <v>1040</v>
      </c>
      <c r="D29" s="6">
        <v>1.6031249999999999</v>
      </c>
      <c r="E29" s="6">
        <v>0.10312499999999999</v>
      </c>
      <c r="F29" s="6">
        <v>0.25208333333333333</v>
      </c>
      <c r="G29" s="6">
        <v>0.22291666666666668</v>
      </c>
      <c r="H29" s="6">
        <v>0.24062500000000001</v>
      </c>
      <c r="I29" s="6">
        <v>0.19635416666666666</v>
      </c>
      <c r="J29" s="6">
        <v>0.69635416666666672</v>
      </c>
      <c r="K29" s="6">
        <v>0.15572916666666667</v>
      </c>
      <c r="L29" s="6">
        <v>0.18020833333333333</v>
      </c>
      <c r="M29" s="6">
        <v>0.20104166666666667</v>
      </c>
      <c r="N29" s="6"/>
      <c r="O29" s="6"/>
      <c r="P29" s="6"/>
      <c r="Q29" s="6"/>
      <c r="R29" s="6"/>
      <c r="S29" s="4"/>
      <c r="T29" s="5" t="s">
        <v>32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x14ac:dyDescent="0.3">
      <c r="A30" s="12"/>
      <c r="B30" s="18" t="s">
        <v>993</v>
      </c>
      <c r="C30" s="2" t="s">
        <v>1041</v>
      </c>
      <c r="D30" s="3">
        <v>3540.5938467539668</v>
      </c>
      <c r="E30" s="3">
        <v>7490.6226466423732</v>
      </c>
      <c r="F30" s="3">
        <v>4085.7864176078988</v>
      </c>
      <c r="G30" s="3">
        <v>3897.7269111200103</v>
      </c>
      <c r="H30" s="3">
        <v>3141.0404998791173</v>
      </c>
      <c r="I30" s="3">
        <v>1156.2453303510642</v>
      </c>
      <c r="J30" s="3">
        <v>3822.6330375590146</v>
      </c>
      <c r="K30" s="3">
        <v>6047.6465265601109</v>
      </c>
      <c r="L30" s="3">
        <v>1154.359312498985</v>
      </c>
      <c r="M30" s="3">
        <v>4233.9218169658716</v>
      </c>
      <c r="N30" s="3"/>
      <c r="O30" s="3"/>
      <c r="P30" s="3"/>
      <c r="Q30" s="3"/>
      <c r="R30" s="3"/>
      <c r="S30" s="1" t="s">
        <v>9</v>
      </c>
      <c r="T30" s="2" t="s">
        <v>30</v>
      </c>
      <c r="W30" s="7">
        <f t="shared" ref="W30:W61" si="121">_xlfn.RANK.EQ(D30,$D30:$R30,1)</f>
        <v>3</v>
      </c>
      <c r="X30" s="7">
        <f t="shared" ref="X30:X92" si="122">_xlfn.RANK.EQ(E30,$D30:$R30,1)</f>
        <v>4</v>
      </c>
      <c r="Y30" s="7">
        <f t="shared" ref="Y30:Y92" si="123">_xlfn.RANK.EQ(F30,$D30:$R30,1)</f>
        <v>5</v>
      </c>
      <c r="Z30" s="7">
        <f t="shared" ref="Z30:Z92" si="124">_xlfn.RANK.EQ(G30,$D30:$R30,1)</f>
        <v>8</v>
      </c>
      <c r="AA30" s="7">
        <f t="shared" ref="AA30:AA92" si="125">_xlfn.RANK.EQ(H30,$D30:$R30,1)</f>
        <v>9</v>
      </c>
      <c r="AB30" s="7">
        <f t="shared" ref="AB30:AB92" si="126">_xlfn.RANK.EQ(I30,$D30:$R30,1)</f>
        <v>7</v>
      </c>
      <c r="AC30" s="7">
        <f t="shared" ref="AC30:AC92" si="127">_xlfn.RANK.EQ(J30,$D30:$R30,1)</f>
        <v>6</v>
      </c>
      <c r="AD30" s="7">
        <f t="shared" ref="AD30:AD92" si="128">_xlfn.RANK.EQ(K30,$D30:$R30,1)</f>
        <v>2</v>
      </c>
      <c r="AE30" s="7">
        <f t="shared" ref="AE30:AE92" si="129">_xlfn.RANK.EQ(L30,$D30:$R30,1)</f>
        <v>1</v>
      </c>
      <c r="AF30" s="7" t="e">
        <f t="shared" ref="AF30:AF92" si="130">_xlfn.RANK.EQ(M30,$D30:$R30,1)</f>
        <v>#N/A</v>
      </c>
      <c r="AG30" s="7" t="e">
        <f t="shared" ref="AG30:AG92" si="131">_xlfn.RANK.EQ(N30,$D30:$R30,1)</f>
        <v>#N/A</v>
      </c>
      <c r="AH30" s="7" t="e">
        <f t="shared" ref="AH30:AH92" si="132">_xlfn.RANK.EQ(O30,$D30:$R30,1)</f>
        <v>#N/A</v>
      </c>
      <c r="AI30" s="7" t="e">
        <f t="shared" ref="AI30:AI92" si="133">_xlfn.RANK.EQ(P30,$D30:$R30,1)</f>
        <v>#N/A</v>
      </c>
      <c r="AJ30" s="7" t="e">
        <f t="shared" ref="AJ30:AJ92" si="134">_xlfn.RANK.EQ(Q30,$D30:$R30,1)</f>
        <v>#N/A</v>
      </c>
      <c r="AK30" s="7" t="e">
        <f t="shared" ref="AK30:AK92" si="135">_xlfn.RANK.EQ(R30,$D30:$R30,1)</f>
        <v>#N/A</v>
      </c>
    </row>
    <row r="31" x14ac:dyDescent="0.3">
      <c r="A31" s="12"/>
      <c r="B31" s="13" t="s">
        <v>993</v>
      </c>
      <c r="C31" s="9" t="s">
        <v>1042</v>
      </c>
      <c r="D31" s="8">
        <v>583.49148082600061</v>
      </c>
      <c r="E31" s="8">
        <v>718.10044989460039</v>
      </c>
      <c r="F31" s="8">
        <v>682.72527443840727</v>
      </c>
      <c r="G31" s="8">
        <v>771.08330967127188</v>
      </c>
      <c r="H31" s="8">
        <v>564.51640204024011</v>
      </c>
      <c r="I31" s="8">
        <v>54.561295656100405</v>
      </c>
      <c r="J31" s="8">
        <v>615.58524871061456</v>
      </c>
      <c r="K31" s="8">
        <v>1149.7314522468751</v>
      </c>
      <c r="L31" s="8">
        <v>53.408232414700407</v>
      </c>
      <c r="M31" s="8">
        <v>1188.8309188259684</v>
      </c>
      <c r="N31" s="8"/>
      <c r="O31" s="8"/>
      <c r="P31" s="8"/>
      <c r="Q31" s="8"/>
      <c r="R31" s="8"/>
      <c r="S31" s="24"/>
      <c r="T31" s="9" t="s">
        <v>31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x14ac:dyDescent="0.3">
      <c r="A32" s="12"/>
      <c r="B32" s="16" t="s">
        <v>993</v>
      </c>
      <c r="C32" s="5" t="s">
        <v>1043</v>
      </c>
      <c r="D32" s="6">
        <v>1.9729166666666667</v>
      </c>
      <c r="E32" s="6">
        <v>0.20000000000000001</v>
      </c>
      <c r="F32" s="6">
        <v>0.29739583333333336</v>
      </c>
      <c r="G32" s="6">
        <v>0.234375</v>
      </c>
      <c r="H32" s="6">
        <v>0.25520833333333331</v>
      </c>
      <c r="I32" s="6">
        <v>0.20520833333333333</v>
      </c>
      <c r="J32" s="6">
        <v>0.69322916666666667</v>
      </c>
      <c r="K32" s="6">
        <v>0.18385416666666668</v>
      </c>
      <c r="L32" s="6">
        <v>0.19843749999999999</v>
      </c>
      <c r="M32" s="6">
        <v>0.25260416666666669</v>
      </c>
      <c r="N32" s="6"/>
      <c r="O32" s="6"/>
      <c r="P32" s="6"/>
      <c r="Q32" s="6"/>
      <c r="R32" s="6"/>
      <c r="S32" s="4"/>
      <c r="T32" s="5" t="s">
        <v>32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x14ac:dyDescent="0.3">
      <c r="A33" s="12"/>
      <c r="B33" s="18" t="s">
        <v>994</v>
      </c>
      <c r="C33" s="2" t="s">
        <v>1044</v>
      </c>
      <c r="D33" s="3">
        <v>5268.5053991611576</v>
      </c>
      <c r="E33" s="3">
        <v>8158.716551579525</v>
      </c>
      <c r="F33" s="3">
        <v>5637.0167929752697</v>
      </c>
      <c r="G33" s="3">
        <v>5698.219682160523</v>
      </c>
      <c r="H33" s="3">
        <v>7081.9298199022051</v>
      </c>
      <c r="I33" s="3">
        <v>4451.0573140185788</v>
      </c>
      <c r="J33" s="3">
        <v>4712.8458653078969</v>
      </c>
      <c r="K33" s="3">
        <v>8585.143087489052</v>
      </c>
      <c r="L33" s="3">
        <v>4694.5173687763108</v>
      </c>
      <c r="M33" s="3">
        <v>5770.1216310614855</v>
      </c>
      <c r="N33" s="3"/>
      <c r="O33" s="3"/>
      <c r="P33" s="3"/>
      <c r="Q33" s="3"/>
      <c r="R33" s="3"/>
      <c r="S33" s="1" t="s">
        <v>10</v>
      </c>
      <c r="T33" s="2" t="s">
        <v>30</v>
      </c>
      <c r="W33" s="7">
        <f t="shared" ref="W33:W64" si="136">_xlfn.RANK.EQ(D33,$D33:$R33,1)</f>
        <v>1</v>
      </c>
      <c r="X33" s="7">
        <f t="shared" ref="X33:X92" si="137">_xlfn.RANK.EQ(E33,$D33:$R33,1)</f>
        <v>4</v>
      </c>
      <c r="Y33" s="7">
        <f t="shared" ref="Y33:Y92" si="138">_xlfn.RANK.EQ(F33,$D33:$R33,1)</f>
        <v>3</v>
      </c>
      <c r="Z33" s="7">
        <f t="shared" ref="Z33:Z92" si="139">_xlfn.RANK.EQ(G33,$D33:$R33,1)</f>
        <v>9</v>
      </c>
      <c r="AA33" s="7">
        <f t="shared" ref="AA33:AA92" si="140">_xlfn.RANK.EQ(H33,$D33:$R33,1)</f>
        <v>8</v>
      </c>
      <c r="AB33" s="7">
        <f t="shared" ref="AB33:AB92" si="141">_xlfn.RANK.EQ(I33,$D33:$R33,1)</f>
        <v>5</v>
      </c>
      <c r="AC33" s="7">
        <f t="shared" ref="AC33:AC92" si="142">_xlfn.RANK.EQ(J33,$D33:$R33,1)</f>
        <v>6</v>
      </c>
      <c r="AD33" s="7">
        <f t="shared" ref="AD33:AD92" si="143">_xlfn.RANK.EQ(K33,$D33:$R33,1)</f>
        <v>7</v>
      </c>
      <c r="AE33" s="7">
        <f t="shared" ref="AE33:AE92" si="144">_xlfn.RANK.EQ(L33,$D33:$R33,1)</f>
        <v>2</v>
      </c>
      <c r="AF33" s="7" t="e">
        <f t="shared" ref="AF33:AF92" si="145">_xlfn.RANK.EQ(M33,$D33:$R33,1)</f>
        <v>#N/A</v>
      </c>
      <c r="AG33" s="7" t="e">
        <f t="shared" ref="AG33:AG92" si="146">_xlfn.RANK.EQ(N33,$D33:$R33,1)</f>
        <v>#N/A</v>
      </c>
      <c r="AH33" s="7" t="e">
        <f t="shared" ref="AH33:AH92" si="147">_xlfn.RANK.EQ(O33,$D33:$R33,1)</f>
        <v>#N/A</v>
      </c>
      <c r="AI33" s="7" t="e">
        <f t="shared" ref="AI33:AI92" si="148">_xlfn.RANK.EQ(P33,$D33:$R33,1)</f>
        <v>#N/A</v>
      </c>
      <c r="AJ33" s="7" t="e">
        <f t="shared" ref="AJ33:AJ92" si="149">_xlfn.RANK.EQ(Q33,$D33:$R33,1)</f>
        <v>#N/A</v>
      </c>
      <c r="AK33" s="7" t="e">
        <f t="shared" ref="AK33:AK92" si="150">_xlfn.RANK.EQ(R33,$D33:$R33,1)</f>
        <v>#N/A</v>
      </c>
    </row>
    <row r="34" x14ac:dyDescent="0.3">
      <c r="A34" s="12"/>
      <c r="B34" s="13" t="s">
        <v>994</v>
      </c>
      <c r="C34" s="9" t="s">
        <v>1045</v>
      </c>
      <c r="D34" s="8">
        <v>600.92024443807793</v>
      </c>
      <c r="E34" s="8">
        <v>601.04353542276704</v>
      </c>
      <c r="F34" s="8">
        <v>691.33204533609444</v>
      </c>
      <c r="G34" s="8">
        <v>1804.7728828533243</v>
      </c>
      <c r="H34" s="8">
        <v>1242.5969693066538</v>
      </c>
      <c r="I34" s="8">
        <v>523.80849807185905</v>
      </c>
      <c r="J34" s="8">
        <v>661.66896318891668</v>
      </c>
      <c r="K34" s="8">
        <v>405.18144680040393</v>
      </c>
      <c r="L34" s="8">
        <v>437.73819957567974</v>
      </c>
      <c r="M34" s="8">
        <v>1804.8232597564372</v>
      </c>
      <c r="N34" s="8"/>
      <c r="O34" s="8"/>
      <c r="P34" s="8"/>
      <c r="Q34" s="8"/>
      <c r="R34" s="8"/>
      <c r="S34" s="24"/>
      <c r="T34" s="9" t="s">
        <v>31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x14ac:dyDescent="0.3">
      <c r="A35" s="12"/>
      <c r="B35" s="16" t="s">
        <v>994</v>
      </c>
      <c r="C35" s="5" t="s">
        <v>1046</v>
      </c>
      <c r="D35" s="6">
        <v>2.0973958333333331</v>
      </c>
      <c r="E35" s="6">
        <v>0.23645833333333333</v>
      </c>
      <c r="F35" s="6">
        <v>0.31614583333333335</v>
      </c>
      <c r="G35" s="6">
        <v>0.234375</v>
      </c>
      <c r="H35" s="6">
        <v>0.27604166666666669</v>
      </c>
      <c r="I35" s="6">
        <v>0.21302083333333333</v>
      </c>
      <c r="J35" s="6">
        <v>0.76822916666666663</v>
      </c>
      <c r="K35" s="6">
        <v>0.21614583333333334</v>
      </c>
      <c r="L35" s="6">
        <v>0.24270833333333333</v>
      </c>
      <c r="M35" s="6">
        <v>0.25885416666666666</v>
      </c>
      <c r="N35" s="6"/>
      <c r="O35" s="6"/>
      <c r="P35" s="6"/>
      <c r="Q35" s="6"/>
      <c r="R35" s="6"/>
      <c r="S35" s="4"/>
      <c r="T35" s="5" t="s">
        <v>32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x14ac:dyDescent="0.3">
      <c r="A36" s="12"/>
      <c r="B36" s="18" t="s">
        <v>995</v>
      </c>
      <c r="C36" s="2" t="s">
        <v>1047</v>
      </c>
      <c r="D36" s="3">
        <v>1201.3714382858939</v>
      </c>
      <c r="E36" s="3">
        <v>1202.8665656048079</v>
      </c>
      <c r="F36" s="3">
        <v>1202.0227361548737</v>
      </c>
      <c r="G36" s="3">
        <v>1203.0763015628652</v>
      </c>
      <c r="H36" s="3">
        <v>1202.517352404549</v>
      </c>
      <c r="I36" s="3">
        <v>1200.6395735347605</v>
      </c>
      <c r="J36" s="3">
        <v>1200.3362767229103</v>
      </c>
      <c r="K36" s="3">
        <v>1203.2304754518648</v>
      </c>
      <c r="L36" s="3">
        <v>1200.615217344551</v>
      </c>
      <c r="M36" s="3">
        <v>1203.1892505204059</v>
      </c>
      <c r="N36" s="3"/>
      <c r="O36" s="3"/>
      <c r="P36" s="3"/>
      <c r="Q36" s="3"/>
      <c r="R36" s="3"/>
      <c r="S36" s="1" t="s">
        <v>11</v>
      </c>
      <c r="T36" s="2" t="s">
        <v>30</v>
      </c>
      <c r="W36" s="7">
        <f t="shared" ref="W36:W67" si="151">_xlfn.RANK.EQ(D36,$D36:$R36,1)</f>
        <v>2</v>
      </c>
      <c r="X36" s="7">
        <f t="shared" ref="X36:X92" si="152">_xlfn.RANK.EQ(E36,$D36:$R36,1)</f>
        <v>5</v>
      </c>
      <c r="Y36" s="7">
        <f t="shared" ref="Y36:Y92" si="153">_xlfn.RANK.EQ(F36,$D36:$R36,1)</f>
        <v>3</v>
      </c>
      <c r="Z36" s="7">
        <f t="shared" ref="Z36:Z92" si="154">_xlfn.RANK.EQ(G36,$D36:$R36,1)</f>
        <v>9</v>
      </c>
      <c r="AA36" s="7">
        <f t="shared" ref="AA36:AA92" si="155">_xlfn.RANK.EQ(H36,$D36:$R36,1)</f>
        <v>8</v>
      </c>
      <c r="AB36" s="7">
        <f t="shared" ref="AB36:AB92" si="156">_xlfn.RANK.EQ(I36,$D36:$R36,1)</f>
        <v>6</v>
      </c>
      <c r="AC36" s="7">
        <f t="shared" ref="AC36:AC92" si="157">_xlfn.RANK.EQ(J36,$D36:$R36,1)</f>
        <v>1</v>
      </c>
      <c r="AD36" s="7">
        <f t="shared" ref="AD36:AD92" si="158">_xlfn.RANK.EQ(K36,$D36:$R36,1)</f>
        <v>7</v>
      </c>
      <c r="AE36" s="7">
        <f t="shared" ref="AE36:AE92" si="159">_xlfn.RANK.EQ(L36,$D36:$R36,1)</f>
        <v>4</v>
      </c>
      <c r="AF36" s="7" t="e">
        <f t="shared" ref="AF36:AF92" si="160">_xlfn.RANK.EQ(M36,$D36:$R36,1)</f>
        <v>#N/A</v>
      </c>
      <c r="AG36" s="7" t="e">
        <f t="shared" ref="AG36:AG92" si="161">_xlfn.RANK.EQ(N36,$D36:$R36,1)</f>
        <v>#N/A</v>
      </c>
      <c r="AH36" s="7" t="e">
        <f t="shared" ref="AH36:AH92" si="162">_xlfn.RANK.EQ(O36,$D36:$R36,1)</f>
        <v>#N/A</v>
      </c>
      <c r="AI36" s="7" t="e">
        <f t="shared" ref="AI36:AI92" si="163">_xlfn.RANK.EQ(P36,$D36:$R36,1)</f>
        <v>#N/A</v>
      </c>
      <c r="AJ36" s="7" t="e">
        <f t="shared" ref="AJ36:AJ92" si="164">_xlfn.RANK.EQ(Q36,$D36:$R36,1)</f>
        <v>#N/A</v>
      </c>
      <c r="AK36" s="7" t="e">
        <f t="shared" ref="AK36:AK92" si="165">_xlfn.RANK.EQ(R36,$D36:$R36,1)</f>
        <v>#N/A</v>
      </c>
    </row>
    <row r="37" x14ac:dyDescent="0.3">
      <c r="A37" s="12"/>
      <c r="B37" s="13" t="s">
        <v>995</v>
      </c>
      <c r="C37" s="9" t="s">
        <v>1048</v>
      </c>
      <c r="D37" s="8">
        <v>0.32015961963044942</v>
      </c>
      <c r="E37" s="8">
        <v>0.50138615322719793</v>
      </c>
      <c r="F37" s="8">
        <v>0.484097914111706</v>
      </c>
      <c r="G37" s="8">
        <v>0.71752567650932741</v>
      </c>
      <c r="H37" s="8">
        <v>0.58011479615182526</v>
      </c>
      <c r="I37" s="8">
        <v>0.12016180212334128</v>
      </c>
      <c r="J37" s="8">
        <v>0.13108431277839458</v>
      </c>
      <c r="K37" s="8">
        <v>0.38684580729494839</v>
      </c>
      <c r="L37" s="8">
        <v>0.11234569683013751</v>
      </c>
      <c r="M37" s="8">
        <v>0.8223252634491206</v>
      </c>
      <c r="N37" s="8"/>
      <c r="O37" s="8"/>
      <c r="P37" s="8"/>
      <c r="Q37" s="8"/>
      <c r="R37" s="8"/>
      <c r="S37" s="24"/>
      <c r="T37" s="9" t="s">
        <v>31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x14ac:dyDescent="0.3">
      <c r="A38" s="12"/>
      <c r="B38" s="16" t="s">
        <v>995</v>
      </c>
      <c r="C38" s="5" t="s">
        <v>1049</v>
      </c>
      <c r="D38" s="6">
        <v>4.2723958333333334</v>
      </c>
      <c r="E38" s="6">
        <v>0.78020833333333328</v>
      </c>
      <c r="F38" s="6">
        <v>0.83281249999999996</v>
      </c>
      <c r="G38" s="6">
        <v>0.37187500000000001</v>
      </c>
      <c r="H38" s="6">
        <v>0.40729166666666666</v>
      </c>
      <c r="I38" s="6">
        <v>0.35416666666666669</v>
      </c>
      <c r="J38" s="6">
        <v>0.85364583333333333</v>
      </c>
      <c r="K38" s="6">
        <v>0.34583333333333333</v>
      </c>
      <c r="L38" s="6">
        <v>0.36614583333333334</v>
      </c>
      <c r="M38" s="6">
        <v>0.41354166666666664</v>
      </c>
      <c r="N38" s="6"/>
      <c r="O38" s="6"/>
      <c r="P38" s="6"/>
      <c r="Q38" s="6"/>
      <c r="R38" s="6"/>
      <c r="S38" s="4"/>
      <c r="T38" s="5" t="s">
        <v>32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x14ac:dyDescent="0.3">
      <c r="A39" s="12"/>
      <c r="B39" s="18" t="s">
        <v>996</v>
      </c>
      <c r="C39" s="2" t="s">
        <v>1050</v>
      </c>
      <c r="D39" s="3">
        <v>1300.5043822186842</v>
      </c>
      <c r="E39" s="3">
        <v>1305.3400466996472</v>
      </c>
      <c r="F39" s="3">
        <v>1300.5301258477236</v>
      </c>
      <c r="G39" s="3">
        <v>1300.7619173139217</v>
      </c>
      <c r="H39" s="3">
        <v>1300.5350622587891</v>
      </c>
      <c r="I39" s="3">
        <v>1300.7496870044904</v>
      </c>
      <c r="J39" s="3">
        <v>1300.407402365078</v>
      </c>
      <c r="K39" s="3">
        <v>1300.4972991226189</v>
      </c>
      <c r="L39" s="3">
        <v>1300.7262449457437</v>
      </c>
      <c r="M39" s="3">
        <v>1300.6146327286276</v>
      </c>
      <c r="N39" s="3"/>
      <c r="O39" s="3"/>
      <c r="P39" s="3"/>
      <c r="Q39" s="3"/>
      <c r="R39" s="3"/>
      <c r="S39" s="1" t="s">
        <v>12</v>
      </c>
      <c r="T39" s="2" t="s">
        <v>30</v>
      </c>
      <c r="W39" s="7">
        <f t="shared" ref="W39:W70" si="166">_xlfn.RANK.EQ(D39,$D39:$R39,1)</f>
        <v>3</v>
      </c>
      <c r="X39" s="7">
        <f t="shared" ref="X39:X92" si="167">_xlfn.RANK.EQ(E39,$D39:$R39,1)</f>
        <v>2</v>
      </c>
      <c r="Y39" s="7">
        <f t="shared" ref="Y39:Y92" si="168">_xlfn.RANK.EQ(F39,$D39:$R39,1)</f>
        <v>1</v>
      </c>
      <c r="Z39" s="7">
        <f t="shared" ref="Z39:Z92" si="169">_xlfn.RANK.EQ(G39,$D39:$R39,1)</f>
        <v>7</v>
      </c>
      <c r="AA39" s="7">
        <f t="shared" ref="AA39:AA92" si="170">_xlfn.RANK.EQ(H39,$D39:$R39,1)</f>
        <v>8</v>
      </c>
      <c r="AB39" s="7">
        <f t="shared" ref="AB39:AB92" si="171">_xlfn.RANK.EQ(I39,$D39:$R39,1)</f>
        <v>5</v>
      </c>
      <c r="AC39" s="7">
        <f t="shared" ref="AC39:AC92" si="172">_xlfn.RANK.EQ(J39,$D39:$R39,1)</f>
        <v>9</v>
      </c>
      <c r="AD39" s="7">
        <f t="shared" ref="AD39:AD92" si="173">_xlfn.RANK.EQ(K39,$D39:$R39,1)</f>
        <v>4</v>
      </c>
      <c r="AE39" s="7">
        <f t="shared" ref="AE39:AE92" si="174">_xlfn.RANK.EQ(L39,$D39:$R39,1)</f>
        <v>6</v>
      </c>
      <c r="AF39" s="7" t="e">
        <f t="shared" ref="AF39:AF92" si="175">_xlfn.RANK.EQ(M39,$D39:$R39,1)</f>
        <v>#N/A</v>
      </c>
      <c r="AG39" s="7" t="e">
        <f t="shared" ref="AG39:AG92" si="176">_xlfn.RANK.EQ(N39,$D39:$R39,1)</f>
        <v>#N/A</v>
      </c>
      <c r="AH39" s="7" t="e">
        <f t="shared" ref="AH39:AH92" si="177">_xlfn.RANK.EQ(O39,$D39:$R39,1)</f>
        <v>#N/A</v>
      </c>
      <c r="AI39" s="7" t="e">
        <f t="shared" ref="AI39:AI92" si="178">_xlfn.RANK.EQ(P39,$D39:$R39,1)</f>
        <v>#N/A</v>
      </c>
      <c r="AJ39" s="7" t="e">
        <f t="shared" ref="AJ39:AJ92" si="179">_xlfn.RANK.EQ(Q39,$D39:$R39,1)</f>
        <v>#N/A</v>
      </c>
      <c r="AK39" s="7" t="e">
        <f t="shared" ref="AK39:AK92" si="180">_xlfn.RANK.EQ(R39,$D39:$R39,1)</f>
        <v>#N/A</v>
      </c>
    </row>
    <row r="40" x14ac:dyDescent="0.3">
      <c r="A40" s="12"/>
      <c r="B40" s="13" t="s">
        <v>996</v>
      </c>
      <c r="C40" s="9" t="s">
        <v>1051</v>
      </c>
      <c r="D40" s="8">
        <v>0.10095594207462742</v>
      </c>
      <c r="E40" s="8">
        <v>0.82513975173143728</v>
      </c>
      <c r="F40" s="8">
        <v>0.11333317855607343</v>
      </c>
      <c r="G40" s="8">
        <v>0.59862695338060856</v>
      </c>
      <c r="H40" s="8">
        <v>0.14725006557797177</v>
      </c>
      <c r="I40" s="8">
        <v>0.13100955426949684</v>
      </c>
      <c r="J40" s="8">
        <v>0.080532729814972226</v>
      </c>
      <c r="K40" s="8">
        <v>0.087058964256526747</v>
      </c>
      <c r="L40" s="8">
        <v>0.1749705665192324</v>
      </c>
      <c r="M40" s="8">
        <v>0.30540422950053814</v>
      </c>
      <c r="N40" s="8"/>
      <c r="O40" s="8"/>
      <c r="P40" s="8"/>
      <c r="Q40" s="8"/>
      <c r="R40" s="8"/>
      <c r="S40" s="24"/>
      <c r="T40" s="9" t="s">
        <v>31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x14ac:dyDescent="0.3">
      <c r="A41" s="12"/>
      <c r="B41" s="16" t="s">
        <v>996</v>
      </c>
      <c r="C41" s="5" t="s">
        <v>1052</v>
      </c>
      <c r="D41" s="6">
        <v>1.4203125000000001</v>
      </c>
      <c r="E41" s="6">
        <v>0.073958333333333334</v>
      </c>
      <c r="F41" s="6">
        <v>0.25989583333333333</v>
      </c>
      <c r="G41" s="6">
        <v>0.19895833333333332</v>
      </c>
      <c r="H41" s="6">
        <v>0.21770833333333334</v>
      </c>
      <c r="I41" s="6">
        <v>0.18489583333333334</v>
      </c>
      <c r="J41" s="6">
        <v>0.65156250000000004</v>
      </c>
      <c r="K41" s="6">
        <v>0.26250000000000001</v>
      </c>
      <c r="L41" s="6">
        <v>0.15833333333333333</v>
      </c>
      <c r="M41" s="6">
        <v>0.203125</v>
      </c>
      <c r="N41" s="6"/>
      <c r="O41" s="6"/>
      <c r="P41" s="6"/>
      <c r="Q41" s="6"/>
      <c r="R41" s="6"/>
      <c r="S41" s="4"/>
      <c r="T41" s="5" t="s">
        <v>32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x14ac:dyDescent="0.3">
      <c r="A42" s="12"/>
      <c r="B42" s="18" t="s">
        <v>997</v>
      </c>
      <c r="C42" s="2" t="s">
        <v>1053</v>
      </c>
      <c r="D42" s="3">
        <v>1400.2641354087609</v>
      </c>
      <c r="E42" s="3">
        <v>1529.3196204353289</v>
      </c>
      <c r="F42" s="3">
        <v>1400.2860578274342</v>
      </c>
      <c r="G42" s="3">
        <v>1408.9541434071868</v>
      </c>
      <c r="H42" s="3">
        <v>1400.376235823873</v>
      </c>
      <c r="I42" s="3">
        <v>1400.5371502482806</v>
      </c>
      <c r="J42" s="3">
        <v>1400.2390580579818</v>
      </c>
      <c r="K42" s="3">
        <v>1400.4180255963006</v>
      </c>
      <c r="L42" s="3">
        <v>1400.5353061678472</v>
      </c>
      <c r="M42" s="3">
        <v>1405.9567133652947</v>
      </c>
      <c r="N42" s="3"/>
      <c r="O42" s="3"/>
      <c r="P42" s="3"/>
      <c r="Q42" s="3"/>
      <c r="R42" s="3"/>
      <c r="S42" s="1" t="s">
        <v>13</v>
      </c>
      <c r="T42" s="2" t="s">
        <v>30</v>
      </c>
      <c r="W42" s="7">
        <f t="shared" ref="W42:W73" si="181">_xlfn.RANK.EQ(D42,$D42:$R42,1)</f>
        <v>5</v>
      </c>
      <c r="X42" s="7">
        <f t="shared" ref="X42:X92" si="182">_xlfn.RANK.EQ(E42,$D42:$R42,1)</f>
        <v>3</v>
      </c>
      <c r="Y42" s="7">
        <f t="shared" ref="Y42:Y92" si="183">_xlfn.RANK.EQ(F42,$D42:$R42,1)</f>
        <v>1</v>
      </c>
      <c r="Z42" s="7">
        <f t="shared" ref="Z42:Z92" si="184">_xlfn.RANK.EQ(G42,$D42:$R42,1)</f>
        <v>7</v>
      </c>
      <c r="AA42" s="7">
        <f t="shared" ref="AA42:AA92" si="185">_xlfn.RANK.EQ(H42,$D42:$R42,1)</f>
        <v>8</v>
      </c>
      <c r="AB42" s="7">
        <f t="shared" ref="AB42:AB92" si="186">_xlfn.RANK.EQ(I42,$D42:$R42,1)</f>
        <v>4</v>
      </c>
      <c r="AC42" s="7">
        <f t="shared" ref="AC42:AC92" si="187">_xlfn.RANK.EQ(J42,$D42:$R42,1)</f>
        <v>9</v>
      </c>
      <c r="AD42" s="7">
        <f t="shared" ref="AD42:AD92" si="188">_xlfn.RANK.EQ(K42,$D42:$R42,1)</f>
        <v>2</v>
      </c>
      <c r="AE42" s="7">
        <f t="shared" ref="AE42:AE92" si="189">_xlfn.RANK.EQ(L42,$D42:$R42,1)</f>
        <v>6</v>
      </c>
      <c r="AF42" s="7" t="e">
        <f t="shared" ref="AF42:AF92" si="190">_xlfn.RANK.EQ(M42,$D42:$R42,1)</f>
        <v>#N/A</v>
      </c>
      <c r="AG42" s="7" t="e">
        <f t="shared" ref="AG42:AG92" si="191">_xlfn.RANK.EQ(N42,$D42:$R42,1)</f>
        <v>#N/A</v>
      </c>
      <c r="AH42" s="7" t="e">
        <f t="shared" ref="AH42:AH92" si="192">_xlfn.RANK.EQ(O42,$D42:$R42,1)</f>
        <v>#N/A</v>
      </c>
      <c r="AI42" s="7" t="e">
        <f t="shared" ref="AI42:AI92" si="193">_xlfn.RANK.EQ(P42,$D42:$R42,1)</f>
        <v>#N/A</v>
      </c>
      <c r="AJ42" s="7" t="e">
        <f t="shared" ref="AJ42:AJ92" si="194">_xlfn.RANK.EQ(Q42,$D42:$R42,1)</f>
        <v>#N/A</v>
      </c>
      <c r="AK42" s="7" t="e">
        <f t="shared" ref="AK42:AK92" si="195">_xlfn.RANK.EQ(R42,$D42:$R42,1)</f>
        <v>#N/A</v>
      </c>
    </row>
    <row r="43" x14ac:dyDescent="0.3">
      <c r="A43" s="12"/>
      <c r="B43" s="13" t="s">
        <v>997</v>
      </c>
      <c r="C43" s="9" t="s">
        <v>1054</v>
      </c>
      <c r="D43" s="8">
        <v>0.055839124369695417</v>
      </c>
      <c r="E43" s="8">
        <v>16.276562094529371</v>
      </c>
      <c r="F43" s="8">
        <v>0.061460940046194505</v>
      </c>
      <c r="G43" s="8">
        <v>9.8518488550642029</v>
      </c>
      <c r="H43" s="8">
        <v>0.20840828885353868</v>
      </c>
      <c r="I43" s="8">
        <v>0.24082044489429161</v>
      </c>
      <c r="J43" s="8">
        <v>0.044041889840306776</v>
      </c>
      <c r="K43" s="8">
        <v>0.15200227167531571</v>
      </c>
      <c r="L43" s="8">
        <v>0.21513824282405</v>
      </c>
      <c r="M43" s="8">
        <v>8.8968306891195361</v>
      </c>
      <c r="N43" s="8"/>
      <c r="O43" s="8"/>
      <c r="P43" s="8"/>
      <c r="Q43" s="8"/>
      <c r="R43" s="8"/>
      <c r="S43" s="24"/>
      <c r="T43" s="9" t="s">
        <v>31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x14ac:dyDescent="0.3">
      <c r="A44" s="12"/>
      <c r="B44" s="16" t="s">
        <v>997</v>
      </c>
      <c r="C44" s="5" t="s">
        <v>1055</v>
      </c>
      <c r="D44" s="6">
        <v>1.4546874999999999</v>
      </c>
      <c r="E44" s="6">
        <v>0.077604166666666669</v>
      </c>
      <c r="F44" s="6">
        <v>0.25364583333333335</v>
      </c>
      <c r="G44" s="6">
        <v>0.21927083333333333</v>
      </c>
      <c r="H44" s="6">
        <v>0.27083333333333331</v>
      </c>
      <c r="I44" s="6">
        <v>0.20520833333333333</v>
      </c>
      <c r="J44" s="6">
        <v>0.63854166666666667</v>
      </c>
      <c r="K44" s="6">
        <v>0.14270833333333333</v>
      </c>
      <c r="L44" s="6">
        <v>0.35729166666666667</v>
      </c>
      <c r="M44" s="6">
        <v>0.19010416666666666</v>
      </c>
      <c r="N44" s="6"/>
      <c r="O44" s="6"/>
      <c r="P44" s="6"/>
      <c r="Q44" s="6"/>
      <c r="R44" s="6"/>
      <c r="S44" s="4"/>
      <c r="T44" s="5" t="s">
        <v>32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x14ac:dyDescent="0.3">
      <c r="A45" s="12"/>
      <c r="B45" s="18" t="s">
        <v>998</v>
      </c>
      <c r="C45" s="2" t="s">
        <v>1056</v>
      </c>
      <c r="D45" s="3">
        <v>1534.2012770023894</v>
      </c>
      <c r="E45" s="3">
        <v>40097.593141773359</v>
      </c>
      <c r="F45" s="3">
        <v>1548.9038244614796</v>
      </c>
      <c r="G45" s="3">
        <v>1869.5162385097233</v>
      </c>
      <c r="H45" s="3">
        <v>1520.940939793812</v>
      </c>
      <c r="I45" s="3">
        <v>1563.8958194598797</v>
      </c>
      <c r="J45" s="3">
        <v>1531.7357607886286</v>
      </c>
      <c r="K45" s="3">
        <v>1521.2871685890991</v>
      </c>
      <c r="L45" s="3">
        <v>1543.4313061327584</v>
      </c>
      <c r="M45" s="3">
        <v>2367.164355368101</v>
      </c>
      <c r="N45" s="3"/>
      <c r="O45" s="3"/>
      <c r="P45" s="3"/>
      <c r="Q45" s="3"/>
      <c r="R45" s="3"/>
      <c r="S45" s="1" t="s">
        <v>14</v>
      </c>
      <c r="T45" s="2" t="s">
        <v>30</v>
      </c>
      <c r="W45" s="7">
        <f t="shared" ref="W45:W92" si="196">_xlfn.RANK.EQ(D45,$D45:$R45,1)</f>
        <v>4</v>
      </c>
      <c r="X45" s="7">
        <f t="shared" ref="X45:X92" si="197">_xlfn.RANK.EQ(E45,$D45:$R45,1)</f>
        <v>5</v>
      </c>
      <c r="Y45" s="7">
        <f t="shared" ref="Y45:Y92" si="198">_xlfn.RANK.EQ(F45,$D45:$R45,1)</f>
        <v>3</v>
      </c>
      <c r="Z45" s="7">
        <f t="shared" ref="Z45:Z92" si="199">_xlfn.RANK.EQ(G45,$D45:$R45,1)</f>
        <v>7</v>
      </c>
      <c r="AA45" s="7">
        <f t="shared" ref="AA45:AA92" si="200">_xlfn.RANK.EQ(H45,$D45:$R45,1)</f>
        <v>9</v>
      </c>
      <c r="AB45" s="7">
        <f t="shared" ref="AB45:AB92" si="201">_xlfn.RANK.EQ(I45,$D45:$R45,1)</f>
        <v>1</v>
      </c>
      <c r="AC45" s="7">
        <f t="shared" ref="AC45:AC92" si="202">_xlfn.RANK.EQ(J45,$D45:$R45,1)</f>
        <v>8</v>
      </c>
      <c r="AD45" s="7">
        <f t="shared" ref="AD45:AD92" si="203">_xlfn.RANK.EQ(K45,$D45:$R45,1)</f>
        <v>2</v>
      </c>
      <c r="AE45" s="7">
        <f t="shared" ref="AE45:AE92" si="204">_xlfn.RANK.EQ(L45,$D45:$R45,1)</f>
        <v>6</v>
      </c>
      <c r="AF45" s="7" t="e">
        <f t="shared" ref="AF45:AF92" si="205">_xlfn.RANK.EQ(M45,$D45:$R45,1)</f>
        <v>#N/A</v>
      </c>
      <c r="AG45" s="7" t="e">
        <f t="shared" ref="AG45:AG92" si="206">_xlfn.RANK.EQ(N45,$D45:$R45,1)</f>
        <v>#N/A</v>
      </c>
      <c r="AH45" s="7" t="e">
        <f t="shared" ref="AH45:AH92" si="207">_xlfn.RANK.EQ(O45,$D45:$R45,1)</f>
        <v>#N/A</v>
      </c>
      <c r="AI45" s="7" t="e">
        <f t="shared" ref="AI45:AI92" si="208">_xlfn.RANK.EQ(P45,$D45:$R45,1)</f>
        <v>#N/A</v>
      </c>
      <c r="AJ45" s="7" t="e">
        <f t="shared" ref="AJ45:AJ92" si="209">_xlfn.RANK.EQ(Q45,$D45:$R45,1)</f>
        <v>#N/A</v>
      </c>
      <c r="AK45" s="7" t="e">
        <f t="shared" ref="AK45:AK92" si="210">_xlfn.RANK.EQ(R45,$D45:$R45,1)</f>
        <v>#N/A</v>
      </c>
    </row>
    <row r="46" x14ac:dyDescent="0.3">
      <c r="A46" s="12"/>
      <c r="B46" s="13" t="s">
        <v>998</v>
      </c>
      <c r="C46" s="9" t="s">
        <v>1057</v>
      </c>
      <c r="D46" s="8">
        <v>8.7239731500216298</v>
      </c>
      <c r="E46" s="8">
        <v>23206.764349673365</v>
      </c>
      <c r="F46" s="8">
        <v>11.176166812364242</v>
      </c>
      <c r="G46" s="8">
        <v>642.9068582614259</v>
      </c>
      <c r="H46" s="8">
        <v>4.2354212380654808</v>
      </c>
      <c r="I46" s="8">
        <v>104.99813555490977</v>
      </c>
      <c r="J46" s="8">
        <v>9.9247886135956822</v>
      </c>
      <c r="K46" s="8">
        <v>3.4824767521010314</v>
      </c>
      <c r="L46" s="8">
        <v>28.500027198798815</v>
      </c>
      <c r="M46" s="8">
        <v>2471.1800314302409</v>
      </c>
      <c r="N46" s="8"/>
      <c r="O46" s="8"/>
      <c r="P46" s="8"/>
      <c r="Q46" s="8"/>
      <c r="R46" s="8"/>
      <c r="S46" s="24"/>
      <c r="T46" s="9" t="s">
        <v>31</v>
      </c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x14ac:dyDescent="0.3">
      <c r="A47" s="12"/>
      <c r="B47" s="16" t="s">
        <v>998</v>
      </c>
      <c r="C47" s="5" t="s">
        <v>1058</v>
      </c>
      <c r="D47" s="6">
        <v>1.8140624999999999</v>
      </c>
      <c r="E47" s="6">
        <v>0.10989583333333333</v>
      </c>
      <c r="F47" s="6">
        <v>0.25624999999999998</v>
      </c>
      <c r="G47" s="6">
        <v>0.22708333333333333</v>
      </c>
      <c r="H47" s="6">
        <v>0.26510416666666664</v>
      </c>
      <c r="I47" s="6">
        <v>0.19322916666666667</v>
      </c>
      <c r="J47" s="6">
        <v>0.72239583333333335</v>
      </c>
      <c r="K47" s="6">
        <v>0.18697916666666667</v>
      </c>
      <c r="L47" s="6">
        <v>0.18958333333333333</v>
      </c>
      <c r="M47" s="6">
        <v>0.19479166666666667</v>
      </c>
      <c r="N47" s="6"/>
      <c r="O47" s="6"/>
      <c r="P47" s="6"/>
      <c r="Q47" s="6"/>
      <c r="R47" s="6"/>
      <c r="S47" s="4"/>
      <c r="T47" s="5" t="s">
        <v>32</v>
      </c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x14ac:dyDescent="0.3">
      <c r="A48" s="12"/>
      <c r="B48" s="18" t="s">
        <v>999</v>
      </c>
      <c r="C48" s="2" t="s">
        <v>1059</v>
      </c>
      <c r="D48" s="3">
        <v>1612.4431859786457</v>
      </c>
      <c r="E48" s="3">
        <v>1613.4603586381431</v>
      </c>
      <c r="F48" s="3">
        <v>1612.5435387270948</v>
      </c>
      <c r="G48" s="3">
        <v>1612.203221356312</v>
      </c>
      <c r="H48" s="3">
        <v>1612.6494629377191</v>
      </c>
      <c r="I48" s="3">
        <v>1611.2069721879643</v>
      </c>
      <c r="J48" s="3">
        <v>1612.4433319486911</v>
      </c>
      <c r="K48" s="3">
        <v>1613.277389648289</v>
      </c>
      <c r="L48" s="3">
        <v>1611.4232042802073</v>
      </c>
      <c r="M48" s="3">
        <v>1612.4058195146508</v>
      </c>
      <c r="N48" s="3"/>
      <c r="O48" s="3"/>
      <c r="P48" s="3"/>
      <c r="Q48" s="3"/>
      <c r="R48" s="3"/>
      <c r="S48" s="1" t="s">
        <v>15</v>
      </c>
      <c r="T48" s="2" t="s">
        <v>30</v>
      </c>
      <c r="W48" s="7">
        <f t="shared" ref="W48:W92" si="211">_xlfn.RANK.EQ(D48,$D48:$R48,1)</f>
        <v>1</v>
      </c>
      <c r="X48" s="7">
        <f t="shared" ref="X48:X92" si="212">_xlfn.RANK.EQ(E48,$D48:$R48,1)</f>
        <v>3</v>
      </c>
      <c r="Y48" s="7">
        <f t="shared" ref="Y48:Y92" si="213">_xlfn.RANK.EQ(F48,$D48:$R48,1)</f>
        <v>4</v>
      </c>
      <c r="Z48" s="7">
        <f t="shared" ref="Z48:Z92" si="214">_xlfn.RANK.EQ(G48,$D48:$R48,1)</f>
        <v>7</v>
      </c>
      <c r="AA48" s="7">
        <f t="shared" ref="AA48:AA92" si="215">_xlfn.RANK.EQ(H48,$D48:$R48,1)</f>
        <v>8</v>
      </c>
      <c r="AB48" s="7">
        <f t="shared" ref="AB48:AB92" si="216">_xlfn.RANK.EQ(I48,$D48:$R48,1)</f>
        <v>6</v>
      </c>
      <c r="AC48" s="7">
        <f t="shared" ref="AC48:AC92" si="217">_xlfn.RANK.EQ(J48,$D48:$R48,1)</f>
        <v>9</v>
      </c>
      <c r="AD48" s="7">
        <f t="shared" ref="AD48:AD92" si="218">_xlfn.RANK.EQ(K48,$D48:$R48,1)</f>
        <v>5</v>
      </c>
      <c r="AE48" s="7">
        <f t="shared" ref="AE48:AE92" si="219">_xlfn.RANK.EQ(L48,$D48:$R48,1)</f>
        <v>2</v>
      </c>
      <c r="AF48" s="7" t="e">
        <f t="shared" ref="AF48:AF92" si="220">_xlfn.RANK.EQ(M48,$D48:$R48,1)</f>
        <v>#N/A</v>
      </c>
      <c r="AG48" s="7" t="e">
        <f t="shared" ref="AG48:AG92" si="221">_xlfn.RANK.EQ(N48,$D48:$R48,1)</f>
        <v>#N/A</v>
      </c>
      <c r="AH48" s="7" t="e">
        <f t="shared" ref="AH48:AH92" si="222">_xlfn.RANK.EQ(O48,$D48:$R48,1)</f>
        <v>#N/A</v>
      </c>
      <c r="AI48" s="7" t="e">
        <f t="shared" ref="AI48:AI92" si="223">_xlfn.RANK.EQ(P48,$D48:$R48,1)</f>
        <v>#N/A</v>
      </c>
      <c r="AJ48" s="7" t="e">
        <f t="shared" ref="AJ48:AJ92" si="224">_xlfn.RANK.EQ(Q48,$D48:$R48,1)</f>
        <v>#N/A</v>
      </c>
      <c r="AK48" s="7" t="e">
        <f t="shared" ref="AK48:AK92" si="225">_xlfn.RANK.EQ(R48,$D48:$R48,1)</f>
        <v>#N/A</v>
      </c>
    </row>
    <row r="49" x14ac:dyDescent="0.3">
      <c r="A49" s="12"/>
      <c r="B49" s="13" t="s">
        <v>999</v>
      </c>
      <c r="C49" s="9" t="s">
        <v>1060</v>
      </c>
      <c r="D49" s="8">
        <v>0.29851544922399159</v>
      </c>
      <c r="E49" s="8">
        <v>0.27848050388771817</v>
      </c>
      <c r="F49" s="8">
        <v>0.39960586980373908</v>
      </c>
      <c r="G49" s="8">
        <v>0.51388819056853063</v>
      </c>
      <c r="H49" s="8">
        <v>0.31607337066887459</v>
      </c>
      <c r="I49" s="8">
        <v>0.67106643030509094</v>
      </c>
      <c r="J49" s="8">
        <v>0.50918588834045775</v>
      </c>
      <c r="K49" s="8">
        <v>0.18968631799570329</v>
      </c>
      <c r="L49" s="8">
        <v>0.50810495597161642</v>
      </c>
      <c r="M49" s="8">
        <v>0.3570856737089334</v>
      </c>
      <c r="N49" s="8"/>
      <c r="O49" s="8"/>
      <c r="P49" s="8"/>
      <c r="Q49" s="8"/>
      <c r="R49" s="8"/>
      <c r="S49" s="24"/>
      <c r="T49" s="9" t="s">
        <v>31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x14ac:dyDescent="0.3">
      <c r="A50" s="15"/>
      <c r="B50" s="16" t="s">
        <v>999</v>
      </c>
      <c r="C50" s="5" t="s">
        <v>1061</v>
      </c>
      <c r="D50" s="6">
        <v>1.7994791666666667</v>
      </c>
      <c r="E50" s="6">
        <v>0.13958333333333334</v>
      </c>
      <c r="F50" s="6">
        <v>0.26197916666666665</v>
      </c>
      <c r="G50" s="6">
        <v>0.21822916666666667</v>
      </c>
      <c r="H50" s="6">
        <v>0.24843750000000001</v>
      </c>
      <c r="I50" s="6">
        <v>0.20416666666666666</v>
      </c>
      <c r="J50" s="6">
        <v>0.66927083333333337</v>
      </c>
      <c r="K50" s="6">
        <v>0.16041666666666668</v>
      </c>
      <c r="L50" s="6">
        <v>0.1796875</v>
      </c>
      <c r="M50" s="6">
        <v>0.20624999999999999</v>
      </c>
      <c r="N50" s="6"/>
      <c r="O50" s="6"/>
      <c r="P50" s="6"/>
      <c r="Q50" s="6"/>
      <c r="R50" s="6"/>
      <c r="S50" s="4"/>
      <c r="T50" s="5" t="s">
        <v>32</v>
      </c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ht="14.4" customHeight="true" x14ac:dyDescent="0.3">
      <c r="A51" s="17" t="s">
        <v>35</v>
      </c>
      <c r="B51" s="18" t="s">
        <v>1000</v>
      </c>
      <c r="C51" s="2" t="s">
        <v>1062</v>
      </c>
      <c r="D51" s="3">
        <v>628921.1458656732</v>
      </c>
      <c r="E51" s="3">
        <v>26046494.633464802</v>
      </c>
      <c r="F51" s="3">
        <v>4592738.9228808424</v>
      </c>
      <c r="G51" s="3">
        <v>2391969.9874945325</v>
      </c>
      <c r="H51" s="3">
        <v>1980286.8273330904</v>
      </c>
      <c r="I51" s="3">
        <v>27274276.39386519</v>
      </c>
      <c r="J51" s="3">
        <v>2214211.643473648</v>
      </c>
      <c r="K51" s="3">
        <v>436653.66643770091</v>
      </c>
      <c r="L51" s="3">
        <v>26521026.759635199</v>
      </c>
      <c r="M51" s="3">
        <v>3871073.8896458126</v>
      </c>
      <c r="N51" s="3"/>
      <c r="O51" s="3"/>
      <c r="P51" s="3"/>
      <c r="Q51" s="3"/>
      <c r="R51" s="3"/>
      <c r="S51" s="1" t="s">
        <v>16</v>
      </c>
      <c r="T51" s="2" t="s">
        <v>30</v>
      </c>
      <c r="W51" s="7">
        <f t="shared" ref="W51:W92" si="226">_xlfn.RANK.EQ(D51,$D51:$R51,1)</f>
        <v>1</v>
      </c>
      <c r="X51" s="7">
        <f t="shared" ref="X51:X92" si="227">_xlfn.RANK.EQ(E51,$D51:$R51,1)</f>
        <v>2</v>
      </c>
      <c r="Y51" s="7">
        <f t="shared" ref="Y51:Y92" si="228">_xlfn.RANK.EQ(F51,$D51:$R51,1)</f>
        <v>5</v>
      </c>
      <c r="Z51" s="7">
        <f t="shared" ref="Z51:Z92" si="229">_xlfn.RANK.EQ(G51,$D51:$R51,1)</f>
        <v>6</v>
      </c>
      <c r="AA51" s="7">
        <f t="shared" ref="AA51:AA92" si="230">_xlfn.RANK.EQ(H51,$D51:$R51,1)</f>
        <v>9</v>
      </c>
      <c r="AB51" s="7">
        <f t="shared" ref="AB51:AB92" si="231">_xlfn.RANK.EQ(I51,$D51:$R51,1)</f>
        <v>4</v>
      </c>
      <c r="AC51" s="7">
        <f t="shared" ref="AC51:AC92" si="232">_xlfn.RANK.EQ(J51,$D51:$R51,1)</f>
        <v>8</v>
      </c>
      <c r="AD51" s="7">
        <f t="shared" ref="AD51:AD92" si="233">_xlfn.RANK.EQ(K51,$D51:$R51,1)</f>
        <v>3</v>
      </c>
      <c r="AE51" s="7">
        <f t="shared" ref="AE51:AE92" si="234">_xlfn.RANK.EQ(L51,$D51:$R51,1)</f>
        <v>7</v>
      </c>
      <c r="AF51" s="7" t="e">
        <f t="shared" ref="AF51:AF92" si="235">_xlfn.RANK.EQ(M51,$D51:$R51,1)</f>
        <v>#N/A</v>
      </c>
      <c r="AG51" s="7" t="e">
        <f t="shared" ref="AG51:AG92" si="236">_xlfn.RANK.EQ(N51,$D51:$R51,1)</f>
        <v>#N/A</v>
      </c>
      <c r="AH51" s="7" t="e">
        <f t="shared" ref="AH51:AH92" si="237">_xlfn.RANK.EQ(O51,$D51:$R51,1)</f>
        <v>#N/A</v>
      </c>
      <c r="AI51" s="7" t="e">
        <f t="shared" ref="AI51:AI92" si="238">_xlfn.RANK.EQ(P51,$D51:$R51,1)</f>
        <v>#N/A</v>
      </c>
      <c r="AJ51" s="7" t="e">
        <f t="shared" ref="AJ51:AJ92" si="239">_xlfn.RANK.EQ(Q51,$D51:$R51,1)</f>
        <v>#N/A</v>
      </c>
      <c r="AK51" s="7" t="e">
        <f t="shared" ref="AK51:AK92" si="240">_xlfn.RANK.EQ(R51,$D51:$R51,1)</f>
        <v>#N/A</v>
      </c>
    </row>
    <row r="52" x14ac:dyDescent="0.3">
      <c r="A52" s="12"/>
      <c r="B52" s="13" t="s">
        <v>1000</v>
      </c>
      <c r="C52" s="9" t="s">
        <v>1063</v>
      </c>
      <c r="D52" s="8">
        <v>370131.10299237014</v>
      </c>
      <c r="E52" s="8">
        <v>18449895.569895189</v>
      </c>
      <c r="F52" s="8">
        <v>3013224.9864268177</v>
      </c>
      <c r="G52" s="8">
        <v>2001534.7524718128</v>
      </c>
      <c r="H52" s="8">
        <v>1612410.9537666717</v>
      </c>
      <c r="I52" s="8">
        <v>24318541.813008305</v>
      </c>
      <c r="J52" s="8">
        <v>1113536.6809042061</v>
      </c>
      <c r="K52" s="8">
        <v>491913.85702817957</v>
      </c>
      <c r="L52" s="8">
        <v>17565800.859001946</v>
      </c>
      <c r="M52" s="8">
        <v>2451812.939423027</v>
      </c>
      <c r="N52" s="8"/>
      <c r="O52" s="8"/>
      <c r="P52" s="8"/>
      <c r="Q52" s="8"/>
      <c r="R52" s="8"/>
      <c r="S52" s="24"/>
      <c r="T52" s="9" t="s">
        <v>31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x14ac:dyDescent="0.3">
      <c r="A53" s="12"/>
      <c r="B53" s="16" t="s">
        <v>1000</v>
      </c>
      <c r="C53" s="5" t="s">
        <v>1064</v>
      </c>
      <c r="D53" s="6">
        <v>2.046875</v>
      </c>
      <c r="E53" s="6">
        <v>0.15052083333333333</v>
      </c>
      <c r="F53" s="6">
        <v>0.34999999999999998</v>
      </c>
      <c r="G53" s="6">
        <v>0.22812499999999999</v>
      </c>
      <c r="H53" s="6">
        <v>0.25624999999999998</v>
      </c>
      <c r="I53" s="6">
        <v>0.20156250000000001</v>
      </c>
      <c r="J53" s="6">
        <v>0.70104166666666667</v>
      </c>
      <c r="K53" s="6">
        <v>0.17343749999999999</v>
      </c>
      <c r="L53" s="6">
        <v>0.18177083333333333</v>
      </c>
      <c r="M53" s="6">
        <v>0.23645833333333333</v>
      </c>
      <c r="N53" s="6"/>
      <c r="O53" s="6"/>
      <c r="P53" s="6"/>
      <c r="Q53" s="6"/>
      <c r="R53" s="6"/>
      <c r="S53" s="4"/>
      <c r="T53" s="5" t="s">
        <v>32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x14ac:dyDescent="0.3">
      <c r="A54" s="12"/>
      <c r="B54" s="18" t="s">
        <v>1001</v>
      </c>
      <c r="C54" s="2" t="s">
        <v>1065</v>
      </c>
      <c r="D54" s="3">
        <v>44505.854742758092</v>
      </c>
      <c r="E54" s="3">
        <v>319548145.50468129</v>
      </c>
      <c r="F54" s="3">
        <v>196279.84102761879</v>
      </c>
      <c r="G54" s="3">
        <v>21377719.718519602</v>
      </c>
      <c r="H54" s="3">
        <v>23588.022325188063</v>
      </c>
      <c r="I54" s="3">
        <v>9201199.2326452415</v>
      </c>
      <c r="J54" s="3">
        <v>3867.4031770252654</v>
      </c>
      <c r="K54" s="3">
        <v>7738.0791372180984</v>
      </c>
      <c r="L54" s="3">
        <v>9485978.5349837709</v>
      </c>
      <c r="M54" s="3">
        <v>13492976.896958828</v>
      </c>
      <c r="N54" s="3"/>
      <c r="O54" s="3"/>
      <c r="P54" s="3"/>
      <c r="Q54" s="3"/>
      <c r="R54" s="3"/>
      <c r="S54" s="1" t="s">
        <v>17</v>
      </c>
      <c r="T54" s="2" t="s">
        <v>30</v>
      </c>
      <c r="W54" s="7">
        <f t="shared" ref="W54:W92" si="241">_xlfn.RANK.EQ(D54,$D54:$R54,1)</f>
        <v>1</v>
      </c>
      <c r="X54" s="7">
        <f t="shared" ref="X54:X92" si="242">_xlfn.RANK.EQ(E54,$D54:$R54,1)</f>
        <v>6</v>
      </c>
      <c r="Y54" s="7">
        <f t="shared" ref="Y54:Y92" si="243">_xlfn.RANK.EQ(F54,$D54:$R54,1)</f>
        <v>2</v>
      </c>
      <c r="Z54" s="7">
        <f t="shared" ref="Z54:Z92" si="244">_xlfn.RANK.EQ(G54,$D54:$R54,1)</f>
        <v>4</v>
      </c>
      <c r="AA54" s="7">
        <f t="shared" ref="AA54:AA92" si="245">_xlfn.RANK.EQ(H54,$D54:$R54,1)</f>
        <v>9</v>
      </c>
      <c r="AB54" s="7">
        <f t="shared" ref="AB54:AB92" si="246">_xlfn.RANK.EQ(I54,$D54:$R54,1)</f>
        <v>3</v>
      </c>
      <c r="AC54" s="7">
        <f t="shared" ref="AC54:AC92" si="247">_xlfn.RANK.EQ(J54,$D54:$R54,1)</f>
        <v>7</v>
      </c>
      <c r="AD54" s="7">
        <f t="shared" ref="AD54:AD92" si="248">_xlfn.RANK.EQ(K54,$D54:$R54,1)</f>
        <v>5</v>
      </c>
      <c r="AE54" s="7">
        <f t="shared" ref="AE54:AE92" si="249">_xlfn.RANK.EQ(L54,$D54:$R54,1)</f>
        <v>8</v>
      </c>
      <c r="AF54" s="7" t="e">
        <f t="shared" ref="AF54:AF92" si="250">_xlfn.RANK.EQ(M54,$D54:$R54,1)</f>
        <v>#N/A</v>
      </c>
      <c r="AG54" s="7" t="e">
        <f t="shared" ref="AG54:AG92" si="251">_xlfn.RANK.EQ(N54,$D54:$R54,1)</f>
        <v>#N/A</v>
      </c>
      <c r="AH54" s="7" t="e">
        <f t="shared" ref="AH54:AH92" si="252">_xlfn.RANK.EQ(O54,$D54:$R54,1)</f>
        <v>#N/A</v>
      </c>
      <c r="AI54" s="7" t="e">
        <f t="shared" ref="AI54:AI92" si="253">_xlfn.RANK.EQ(P54,$D54:$R54,1)</f>
        <v>#N/A</v>
      </c>
      <c r="AJ54" s="7" t="e">
        <f t="shared" ref="AJ54:AJ92" si="254">_xlfn.RANK.EQ(Q54,$D54:$R54,1)</f>
        <v>#N/A</v>
      </c>
      <c r="AK54" s="7" t="e">
        <f t="shared" ref="AK54:AK92" si="255">_xlfn.RANK.EQ(R54,$D54:$R54,1)</f>
        <v>#N/A</v>
      </c>
    </row>
    <row r="55" x14ac:dyDescent="0.3">
      <c r="A55" s="12"/>
      <c r="B55" s="13" t="s">
        <v>1001</v>
      </c>
      <c r="C55" s="9" t="s">
        <v>1066</v>
      </c>
      <c r="D55" s="8">
        <v>26758.482496177636</v>
      </c>
      <c r="E55" s="8">
        <v>219940835.73564398</v>
      </c>
      <c r="F55" s="8">
        <v>117997.74478092448</v>
      </c>
      <c r="G55" s="8">
        <v>34918743.074703276</v>
      </c>
      <c r="H55" s="8">
        <v>69802.048864235127</v>
      </c>
      <c r="I55" s="8">
        <v>6738113.6434154063</v>
      </c>
      <c r="J55" s="8">
        <v>1748.7113155045181</v>
      </c>
      <c r="K55" s="8">
        <v>7801.900587087136</v>
      </c>
      <c r="L55" s="8">
        <v>6855252.0939211706</v>
      </c>
      <c r="M55" s="8">
        <v>25814600.62056135</v>
      </c>
      <c r="N55" s="8"/>
      <c r="O55" s="8"/>
      <c r="P55" s="8"/>
      <c r="Q55" s="8"/>
      <c r="R55" s="8"/>
      <c r="S55" s="24"/>
      <c r="T55" s="9" t="s">
        <v>31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x14ac:dyDescent="0.3">
      <c r="A56" s="12"/>
      <c r="B56" s="16" t="s">
        <v>1001</v>
      </c>
      <c r="C56" s="5" t="s">
        <v>1067</v>
      </c>
      <c r="D56" s="6">
        <v>1.5687500000000001</v>
      </c>
      <c r="E56" s="6">
        <v>0.10312499999999999</v>
      </c>
      <c r="F56" s="6">
        <v>0.265625</v>
      </c>
      <c r="G56" s="6">
        <v>0.20624999999999999</v>
      </c>
      <c r="H56" s="6">
        <v>0.23229166666666667</v>
      </c>
      <c r="I56" s="6">
        <v>0.19166666666666668</v>
      </c>
      <c r="J56" s="6">
        <v>0.64270833333333333</v>
      </c>
      <c r="K56" s="6">
        <v>0.14687500000000001</v>
      </c>
      <c r="L56" s="6">
        <v>0.17343749999999999</v>
      </c>
      <c r="M56" s="6">
        <v>0.203125</v>
      </c>
      <c r="N56" s="6"/>
      <c r="O56" s="6"/>
      <c r="P56" s="6"/>
      <c r="Q56" s="6"/>
      <c r="R56" s="6"/>
      <c r="S56" s="4"/>
      <c r="T56" s="5" t="s">
        <v>32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x14ac:dyDescent="0.3">
      <c r="A57" s="12"/>
      <c r="B57" s="18" t="s">
        <v>1002</v>
      </c>
      <c r="C57" s="2" t="s">
        <v>1068</v>
      </c>
      <c r="D57" s="3">
        <v>1926.8002921413677</v>
      </c>
      <c r="E57" s="3">
        <v>2116.7224443144923</v>
      </c>
      <c r="F57" s="3">
        <v>1930.3132485370768</v>
      </c>
      <c r="G57" s="3">
        <v>1958.4756715154301</v>
      </c>
      <c r="H57" s="3">
        <v>1917.1895570474624</v>
      </c>
      <c r="I57" s="3">
        <v>1965.0995393155913</v>
      </c>
      <c r="J57" s="3">
        <v>1931.840880874694</v>
      </c>
      <c r="K57" s="3">
        <v>1912.7231105041899</v>
      </c>
      <c r="L57" s="3">
        <v>1971.2727847386225</v>
      </c>
      <c r="M57" s="3">
        <v>1968.7953754672549</v>
      </c>
      <c r="N57" s="3"/>
      <c r="O57" s="3"/>
      <c r="P57" s="3"/>
      <c r="Q57" s="3"/>
      <c r="R57" s="3"/>
      <c r="S57" s="1" t="s">
        <v>18</v>
      </c>
      <c r="T57" s="2" t="s">
        <v>30</v>
      </c>
      <c r="W57" s="7">
        <f t="shared" ref="W57:W92" si="256">_xlfn.RANK.EQ(D57,$D57:$R57,1)</f>
        <v>1</v>
      </c>
      <c r="X57" s="7">
        <f t="shared" ref="X57:X92" si="257">_xlfn.RANK.EQ(E57,$D57:$R57,1)</f>
        <v>6</v>
      </c>
      <c r="Y57" s="7">
        <f t="shared" ref="Y57:Y92" si="258">_xlfn.RANK.EQ(F57,$D57:$R57,1)</f>
        <v>5</v>
      </c>
      <c r="Z57" s="7">
        <f t="shared" ref="Z57:Z92" si="259">_xlfn.RANK.EQ(G57,$D57:$R57,1)</f>
        <v>2</v>
      </c>
      <c r="AA57" s="7">
        <f t="shared" ref="AA57:AA92" si="260">_xlfn.RANK.EQ(H57,$D57:$R57,1)</f>
        <v>9</v>
      </c>
      <c r="AB57" s="7">
        <f t="shared" ref="AB57:AB92" si="261">_xlfn.RANK.EQ(I57,$D57:$R57,1)</f>
        <v>4</v>
      </c>
      <c r="AC57" s="7">
        <f t="shared" ref="AC57:AC92" si="262">_xlfn.RANK.EQ(J57,$D57:$R57,1)</f>
        <v>8</v>
      </c>
      <c r="AD57" s="7">
        <f t="shared" ref="AD57:AD92" si="263">_xlfn.RANK.EQ(K57,$D57:$R57,1)</f>
        <v>3</v>
      </c>
      <c r="AE57" s="7">
        <f t="shared" ref="AE57:AE92" si="264">_xlfn.RANK.EQ(L57,$D57:$R57,1)</f>
        <v>7</v>
      </c>
      <c r="AF57" s="7" t="e">
        <f t="shared" ref="AF57:AF92" si="265">_xlfn.RANK.EQ(M57,$D57:$R57,1)</f>
        <v>#N/A</v>
      </c>
      <c r="AG57" s="7" t="e">
        <f t="shared" ref="AG57:AG92" si="266">_xlfn.RANK.EQ(N57,$D57:$R57,1)</f>
        <v>#N/A</v>
      </c>
      <c r="AH57" s="7" t="e">
        <f t="shared" ref="AH57:AH92" si="267">_xlfn.RANK.EQ(O57,$D57:$R57,1)</f>
        <v>#N/A</v>
      </c>
      <c r="AI57" s="7" t="e">
        <f t="shared" ref="AI57:AI92" si="268">_xlfn.RANK.EQ(P57,$D57:$R57,1)</f>
        <v>#N/A</v>
      </c>
      <c r="AJ57" s="7" t="e">
        <f t="shared" ref="AJ57:AJ92" si="269">_xlfn.RANK.EQ(Q57,$D57:$R57,1)</f>
        <v>#N/A</v>
      </c>
      <c r="AK57" s="7" t="e">
        <f t="shared" ref="AK57:AK92" si="270">_xlfn.RANK.EQ(R57,$D57:$R57,1)</f>
        <v>#N/A</v>
      </c>
    </row>
    <row r="58" x14ac:dyDescent="0.3">
      <c r="A58" s="12"/>
      <c r="B58" s="13" t="s">
        <v>1002</v>
      </c>
      <c r="C58" s="9" t="s">
        <v>1069</v>
      </c>
      <c r="D58" s="8">
        <v>24.558818485420591</v>
      </c>
      <c r="E58" s="8">
        <v>66.688320709586975</v>
      </c>
      <c r="F58" s="8">
        <v>28.41559130347887</v>
      </c>
      <c r="G58" s="8">
        <v>31.772912721638356</v>
      </c>
      <c r="H58" s="8">
        <v>20.144668096921833</v>
      </c>
      <c r="I58" s="8">
        <v>31.362876822420887</v>
      </c>
      <c r="J58" s="8">
        <v>35.743568696162264</v>
      </c>
      <c r="K58" s="8">
        <v>14.843502427889856</v>
      </c>
      <c r="L58" s="8">
        <v>45.723143800346655</v>
      </c>
      <c r="M58" s="8">
        <v>26.115170760414376</v>
      </c>
      <c r="N58" s="8"/>
      <c r="O58" s="8"/>
      <c r="P58" s="8"/>
      <c r="Q58" s="8"/>
      <c r="R58" s="8"/>
      <c r="S58" s="24"/>
      <c r="T58" s="9" t="s">
        <v>31</v>
      </c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x14ac:dyDescent="0.3">
      <c r="A59" s="12"/>
      <c r="B59" s="16" t="s">
        <v>1002</v>
      </c>
      <c r="C59" s="5" t="s">
        <v>1070</v>
      </c>
      <c r="D59" s="6">
        <v>4.565104166666667</v>
      </c>
      <c r="E59" s="6">
        <v>0.85677083333333337</v>
      </c>
      <c r="F59" s="6">
        <v>0.65468749999999998</v>
      </c>
      <c r="G59" s="6">
        <v>0.38750000000000001</v>
      </c>
      <c r="H59" s="6">
        <v>0.41979166666666667</v>
      </c>
      <c r="I59" s="6">
        <v>0.34375</v>
      </c>
      <c r="J59" s="6">
        <v>0.95937499999999998</v>
      </c>
      <c r="K59" s="6">
        <v>0.36093750000000002</v>
      </c>
      <c r="L59" s="6">
        <v>0.3515625</v>
      </c>
      <c r="M59" s="6">
        <v>0.39479166666666665</v>
      </c>
      <c r="N59" s="6"/>
      <c r="O59" s="6"/>
      <c r="P59" s="6"/>
      <c r="Q59" s="6"/>
      <c r="R59" s="6"/>
      <c r="S59" s="4"/>
      <c r="T59" s="5" t="s">
        <v>32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x14ac:dyDescent="0.3">
      <c r="A60" s="12"/>
      <c r="B60" s="18" t="s">
        <v>1003</v>
      </c>
      <c r="C60" s="2" t="s">
        <v>1071</v>
      </c>
      <c r="D60" s="3">
        <v>5222.6222045448767</v>
      </c>
      <c r="E60" s="3">
        <v>182390.29894332681</v>
      </c>
      <c r="F60" s="3">
        <v>48659.293289636</v>
      </c>
      <c r="G60" s="3">
        <v>45134.106741330826</v>
      </c>
      <c r="H60" s="3">
        <v>30485.050563497523</v>
      </c>
      <c r="I60" s="3">
        <v>52189.704765840703</v>
      </c>
      <c r="J60" s="3">
        <v>41138.894032987308</v>
      </c>
      <c r="K60" s="3">
        <v>9029.4549745246568</v>
      </c>
      <c r="L60" s="3">
        <v>55622.870199113262</v>
      </c>
      <c r="M60" s="3">
        <v>42027.801002914784</v>
      </c>
      <c r="N60" s="3"/>
      <c r="O60" s="3"/>
      <c r="P60" s="3"/>
      <c r="Q60" s="3"/>
      <c r="R60" s="3"/>
      <c r="S60" s="1" t="s">
        <v>19</v>
      </c>
      <c r="T60" s="2" t="s">
        <v>30</v>
      </c>
      <c r="W60" s="7">
        <f t="shared" ref="W60:W92" si="271">_xlfn.RANK.EQ(D60,$D60:$R60,1)</f>
        <v>1</v>
      </c>
      <c r="X60" s="7">
        <f t="shared" ref="X60:X92" si="272">_xlfn.RANK.EQ(E60,$D60:$R60,1)</f>
        <v>2</v>
      </c>
      <c r="Y60" s="7">
        <f t="shared" ref="Y60:Y92" si="273">_xlfn.RANK.EQ(F60,$D60:$R60,1)</f>
        <v>4</v>
      </c>
      <c r="Z60" s="7">
        <f t="shared" ref="Z60:Z92" si="274">_xlfn.RANK.EQ(G60,$D60:$R60,1)</f>
        <v>7</v>
      </c>
      <c r="AA60" s="7">
        <f t="shared" ref="AA60:AA92" si="275">_xlfn.RANK.EQ(H60,$D60:$R60,1)</f>
        <v>9</v>
      </c>
      <c r="AB60" s="7">
        <f t="shared" ref="AB60:AB92" si="276">_xlfn.RANK.EQ(I60,$D60:$R60,1)</f>
        <v>5</v>
      </c>
      <c r="AC60" s="7">
        <f t="shared" ref="AC60:AC92" si="277">_xlfn.RANK.EQ(J60,$D60:$R60,1)</f>
        <v>8</v>
      </c>
      <c r="AD60" s="7">
        <f t="shared" ref="AD60:AD92" si="278">_xlfn.RANK.EQ(K60,$D60:$R60,1)</f>
        <v>3</v>
      </c>
      <c r="AE60" s="7">
        <f t="shared" ref="AE60:AE92" si="279">_xlfn.RANK.EQ(L60,$D60:$R60,1)</f>
        <v>6</v>
      </c>
      <c r="AF60" s="7" t="e">
        <f t="shared" ref="AF60:AF92" si="280">_xlfn.RANK.EQ(M60,$D60:$R60,1)</f>
        <v>#N/A</v>
      </c>
      <c r="AG60" s="7" t="e">
        <f t="shared" ref="AG60:AG92" si="281">_xlfn.RANK.EQ(N60,$D60:$R60,1)</f>
        <v>#N/A</v>
      </c>
      <c r="AH60" s="7" t="e">
        <f t="shared" ref="AH60:AH92" si="282">_xlfn.RANK.EQ(O60,$D60:$R60,1)</f>
        <v>#N/A</v>
      </c>
      <c r="AI60" s="7" t="e">
        <f t="shared" ref="AI60:AI92" si="283">_xlfn.RANK.EQ(P60,$D60:$R60,1)</f>
        <v>#N/A</v>
      </c>
      <c r="AJ60" s="7" t="e">
        <f t="shared" ref="AJ60:AJ92" si="284">_xlfn.RANK.EQ(Q60,$D60:$R60,1)</f>
        <v>#N/A</v>
      </c>
      <c r="AK60" s="7" t="e">
        <f t="shared" ref="AK60:AK92" si="285">_xlfn.RANK.EQ(R60,$D60:$R60,1)</f>
        <v>#N/A</v>
      </c>
    </row>
    <row r="61" x14ac:dyDescent="0.3">
      <c r="A61" s="12"/>
      <c r="B61" s="13" t="s">
        <v>1003</v>
      </c>
      <c r="C61" s="9" t="s">
        <v>1072</v>
      </c>
      <c r="D61" s="8">
        <v>2536.0377209537237</v>
      </c>
      <c r="E61" s="8">
        <v>143077.98039805211</v>
      </c>
      <c r="F61" s="8">
        <v>20343.371065219359</v>
      </c>
      <c r="G61" s="8">
        <v>26629.590314450681</v>
      </c>
      <c r="H61" s="8">
        <v>19035.172579976501</v>
      </c>
      <c r="I61" s="8">
        <v>26334.429669584184</v>
      </c>
      <c r="J61" s="8">
        <v>21591.038491280731</v>
      </c>
      <c r="K61" s="8">
        <v>7222.7886565932276</v>
      </c>
      <c r="L61" s="8">
        <v>26385.710882499548</v>
      </c>
      <c r="M61" s="8">
        <v>20896.921205404342</v>
      </c>
      <c r="N61" s="8"/>
      <c r="O61" s="8"/>
      <c r="P61" s="8"/>
      <c r="Q61" s="8"/>
      <c r="R61" s="8"/>
      <c r="S61" s="24"/>
      <c r="T61" s="9" t="s">
        <v>31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x14ac:dyDescent="0.3">
      <c r="A62" s="12"/>
      <c r="B62" s="16" t="s">
        <v>1003</v>
      </c>
      <c r="C62" s="5" t="s">
        <v>1073</v>
      </c>
      <c r="D62" s="6">
        <v>1.6145833333333333</v>
      </c>
      <c r="E62" s="6">
        <v>0.098437499999999997</v>
      </c>
      <c r="F62" s="6">
        <v>0.24895833333333334</v>
      </c>
      <c r="G62" s="6">
        <v>0.20260416666666667</v>
      </c>
      <c r="H62" s="6">
        <v>0.22916666666666666</v>
      </c>
      <c r="I62" s="6">
        <v>0.18281249999999999</v>
      </c>
      <c r="J62" s="6">
        <v>0.69895833333333335</v>
      </c>
      <c r="K62" s="6">
        <v>0.15625</v>
      </c>
      <c r="L62" s="6">
        <v>0.18229166666666666</v>
      </c>
      <c r="M62" s="6">
        <v>0.203125</v>
      </c>
      <c r="N62" s="6"/>
      <c r="O62" s="6"/>
      <c r="P62" s="6"/>
      <c r="Q62" s="6"/>
      <c r="R62" s="6"/>
      <c r="S62" s="4"/>
      <c r="T62" s="5" t="s">
        <v>32</v>
      </c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x14ac:dyDescent="0.3">
      <c r="A63" s="12"/>
      <c r="B63" s="18" t="s">
        <v>1004</v>
      </c>
      <c r="C63" s="2" t="s">
        <v>1074</v>
      </c>
      <c r="D63" s="3">
        <v>218522.24804983867</v>
      </c>
      <c r="E63" s="3">
        <v>12933001.379918898</v>
      </c>
      <c r="F63" s="3">
        <v>988096.90861193452</v>
      </c>
      <c r="G63" s="3">
        <v>1785075.1154443661</v>
      </c>
      <c r="H63" s="3">
        <v>636866.7456526187</v>
      </c>
      <c r="I63" s="3">
        <v>6147898.4648190085</v>
      </c>
      <c r="J63" s="3">
        <v>529164.4069105027</v>
      </c>
      <c r="K63" s="3">
        <v>56231.706557990205</v>
      </c>
      <c r="L63" s="3">
        <v>6815591.9292664649</v>
      </c>
      <c r="M63" s="3">
        <v>1939518.0079293633</v>
      </c>
      <c r="N63" s="3"/>
      <c r="O63" s="3"/>
      <c r="P63" s="3"/>
      <c r="Q63" s="3"/>
      <c r="R63" s="3"/>
      <c r="S63" s="1" t="s">
        <v>20</v>
      </c>
      <c r="T63" s="2" t="s">
        <v>30</v>
      </c>
      <c r="W63" s="7">
        <f t="shared" ref="W63:W92" si="286">_xlfn.RANK.EQ(D63,$D63:$R63,1)</f>
        <v>1</v>
      </c>
      <c r="X63" s="7">
        <f t="shared" ref="X63:X92" si="287">_xlfn.RANK.EQ(E63,$D63:$R63,1)</f>
        <v>2</v>
      </c>
      <c r="Y63" s="7">
        <f t="shared" ref="Y63:Y92" si="288">_xlfn.RANK.EQ(F63,$D63:$R63,1)</f>
        <v>3</v>
      </c>
      <c r="Z63" s="7">
        <f t="shared" ref="Z63:Z92" si="289">_xlfn.RANK.EQ(G63,$D63:$R63,1)</f>
        <v>6</v>
      </c>
      <c r="AA63" s="7">
        <f t="shared" ref="AA63:AA92" si="290">_xlfn.RANK.EQ(H63,$D63:$R63,1)</f>
        <v>9</v>
      </c>
      <c r="AB63" s="7">
        <f t="shared" ref="AB63:AB92" si="291">_xlfn.RANK.EQ(I63,$D63:$R63,1)</f>
        <v>5</v>
      </c>
      <c r="AC63" s="7">
        <f t="shared" ref="AC63:AC92" si="292">_xlfn.RANK.EQ(J63,$D63:$R63,1)</f>
        <v>8</v>
      </c>
      <c r="AD63" s="7">
        <f t="shared" ref="AD63:AD92" si="293">_xlfn.RANK.EQ(K63,$D63:$R63,1)</f>
        <v>4</v>
      </c>
      <c r="AE63" s="7">
        <f t="shared" ref="AE63:AE92" si="294">_xlfn.RANK.EQ(L63,$D63:$R63,1)</f>
        <v>7</v>
      </c>
      <c r="AF63" s="7" t="e">
        <f t="shared" ref="AF63:AF92" si="295">_xlfn.RANK.EQ(M63,$D63:$R63,1)</f>
        <v>#N/A</v>
      </c>
      <c r="AG63" s="7" t="e">
        <f t="shared" ref="AG63:AG92" si="296">_xlfn.RANK.EQ(N63,$D63:$R63,1)</f>
        <v>#N/A</v>
      </c>
      <c r="AH63" s="7" t="e">
        <f t="shared" ref="AH63:AH92" si="297">_xlfn.RANK.EQ(O63,$D63:$R63,1)</f>
        <v>#N/A</v>
      </c>
      <c r="AI63" s="7" t="e">
        <f t="shared" ref="AI63:AI92" si="298">_xlfn.RANK.EQ(P63,$D63:$R63,1)</f>
        <v>#N/A</v>
      </c>
      <c r="AJ63" s="7" t="e">
        <f t="shared" ref="AJ63:AJ92" si="299">_xlfn.RANK.EQ(Q63,$D63:$R63,1)</f>
        <v>#N/A</v>
      </c>
      <c r="AK63" s="7" t="e">
        <f t="shared" ref="AK63:AK92" si="300">_xlfn.RANK.EQ(R63,$D63:$R63,1)</f>
        <v>#N/A</v>
      </c>
    </row>
    <row r="64" x14ac:dyDescent="0.3">
      <c r="A64" s="12"/>
      <c r="B64" s="13" t="s">
        <v>1004</v>
      </c>
      <c r="C64" s="9" t="s">
        <v>1075</v>
      </c>
      <c r="D64" s="8">
        <v>132159.476819189</v>
      </c>
      <c r="E64" s="8">
        <v>8777800.1058210824</v>
      </c>
      <c r="F64" s="8">
        <v>1053613.9657378942</v>
      </c>
      <c r="G64" s="8">
        <v>2785898.9763751966</v>
      </c>
      <c r="H64" s="8">
        <v>530785.49159768329</v>
      </c>
      <c r="I64" s="8">
        <v>4707564.4181093443</v>
      </c>
      <c r="J64" s="8">
        <v>424970.07175420289</v>
      </c>
      <c r="K64" s="8">
        <v>46533.521819792644</v>
      </c>
      <c r="L64" s="8">
        <v>7468474.7976055248</v>
      </c>
      <c r="M64" s="8">
        <v>3148441.6618975759</v>
      </c>
      <c r="N64" s="8"/>
      <c r="O64" s="8"/>
      <c r="P64" s="8"/>
      <c r="Q64" s="8"/>
      <c r="R64" s="8"/>
      <c r="S64" s="24"/>
      <c r="T64" s="9" t="s">
        <v>31</v>
      </c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x14ac:dyDescent="0.3">
      <c r="A65" s="12"/>
      <c r="B65" s="16" t="s">
        <v>1004</v>
      </c>
      <c r="C65" s="5" t="s">
        <v>1076</v>
      </c>
      <c r="D65" s="6">
        <v>1.7489583333333334</v>
      </c>
      <c r="E65" s="6">
        <v>0.13385416666666666</v>
      </c>
      <c r="F65" s="6">
        <v>0.26510416666666664</v>
      </c>
      <c r="G65" s="6">
        <v>0.21249999999999999</v>
      </c>
      <c r="H65" s="6">
        <v>0.23593749999999999</v>
      </c>
      <c r="I65" s="6">
        <v>0.17656250000000001</v>
      </c>
      <c r="J65" s="6">
        <v>0.71562499999999996</v>
      </c>
      <c r="K65" s="6">
        <v>0.16197916666666667</v>
      </c>
      <c r="L65" s="6">
        <v>0.18645833333333334</v>
      </c>
      <c r="M65" s="6">
        <v>0.24531249999999999</v>
      </c>
      <c r="N65" s="6"/>
      <c r="O65" s="6"/>
      <c r="P65" s="6"/>
      <c r="Q65" s="6"/>
      <c r="R65" s="6"/>
      <c r="S65" s="4"/>
      <c r="T65" s="5" t="s">
        <v>32</v>
      </c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x14ac:dyDescent="0.3">
      <c r="A66" s="12"/>
      <c r="B66" s="18" t="s">
        <v>1005</v>
      </c>
      <c r="C66" s="2" t="s">
        <v>1077</v>
      </c>
      <c r="D66" s="3">
        <v>2870.0003348925611</v>
      </c>
      <c r="E66" s="3">
        <v>3429.3902873207039</v>
      </c>
      <c r="F66" s="3">
        <v>3152.7574468533612</v>
      </c>
      <c r="G66" s="3">
        <v>2698.2581098653604</v>
      </c>
      <c r="H66" s="3">
        <v>2645.0918562898464</v>
      </c>
      <c r="I66" s="3">
        <v>3036.3514488215537</v>
      </c>
      <c r="J66" s="3">
        <v>3260.1091328529242</v>
      </c>
      <c r="K66" s="3">
        <v>2610.9193691034702</v>
      </c>
      <c r="L66" s="3">
        <v>3063.561341085403</v>
      </c>
      <c r="M66" s="3">
        <v>2682.9017296864904</v>
      </c>
      <c r="N66" s="3"/>
      <c r="O66" s="3"/>
      <c r="P66" s="3"/>
      <c r="Q66" s="3"/>
      <c r="R66" s="3"/>
      <c r="S66" s="1" t="s">
        <v>21</v>
      </c>
      <c r="T66" s="2" t="s">
        <v>30</v>
      </c>
      <c r="W66" s="7">
        <f t="shared" ref="W66:W92" si="301">_xlfn.RANK.EQ(D66,$D66:$R66,1)</f>
        <v>5</v>
      </c>
      <c r="X66" s="7">
        <f t="shared" ref="X66:X92" si="302">_xlfn.RANK.EQ(E66,$D66:$R66,1)</f>
        <v>2</v>
      </c>
      <c r="Y66" s="7">
        <f t="shared" ref="Y66:Y92" si="303">_xlfn.RANK.EQ(F66,$D66:$R66,1)</f>
        <v>7</v>
      </c>
      <c r="Z66" s="7">
        <f t="shared" ref="Z66:Z92" si="304">_xlfn.RANK.EQ(G66,$D66:$R66,1)</f>
        <v>3</v>
      </c>
      <c r="AA66" s="7">
        <f t="shared" ref="AA66:AA92" si="305">_xlfn.RANK.EQ(H66,$D66:$R66,1)</f>
        <v>8</v>
      </c>
      <c r="AB66" s="7">
        <f t="shared" ref="AB66:AB92" si="306">_xlfn.RANK.EQ(I66,$D66:$R66,1)</f>
        <v>4</v>
      </c>
      <c r="AC66" s="7">
        <f t="shared" ref="AC66:AC92" si="307">_xlfn.RANK.EQ(J66,$D66:$R66,1)</f>
        <v>9</v>
      </c>
      <c r="AD66" s="7">
        <f t="shared" ref="AD66:AD92" si="308">_xlfn.RANK.EQ(K66,$D66:$R66,1)</f>
        <v>1</v>
      </c>
      <c r="AE66" s="7">
        <f t="shared" ref="AE66:AE92" si="309">_xlfn.RANK.EQ(L66,$D66:$R66,1)</f>
        <v>6</v>
      </c>
      <c r="AF66" s="7" t="e">
        <f t="shared" ref="AF66:AF92" si="310">_xlfn.RANK.EQ(M66,$D66:$R66,1)</f>
        <v>#N/A</v>
      </c>
      <c r="AG66" s="7" t="e">
        <f t="shared" ref="AG66:AG92" si="311">_xlfn.RANK.EQ(N66,$D66:$R66,1)</f>
        <v>#N/A</v>
      </c>
      <c r="AH66" s="7" t="e">
        <f t="shared" ref="AH66:AH92" si="312">_xlfn.RANK.EQ(O66,$D66:$R66,1)</f>
        <v>#N/A</v>
      </c>
      <c r="AI66" s="7" t="e">
        <f t="shared" ref="AI66:AI92" si="313">_xlfn.RANK.EQ(P66,$D66:$R66,1)</f>
        <v>#N/A</v>
      </c>
      <c r="AJ66" s="7" t="e">
        <f t="shared" ref="AJ66:AJ92" si="314">_xlfn.RANK.EQ(Q66,$D66:$R66,1)</f>
        <v>#N/A</v>
      </c>
      <c r="AK66" s="7" t="e">
        <f t="shared" ref="AK66:AK92" si="315">_xlfn.RANK.EQ(R66,$D66:$R66,1)</f>
        <v>#N/A</v>
      </c>
    </row>
    <row r="67" x14ac:dyDescent="0.3">
      <c r="A67" s="12"/>
      <c r="B67" s="13" t="s">
        <v>1005</v>
      </c>
      <c r="C67" s="9" t="s">
        <v>1078</v>
      </c>
      <c r="D67" s="8">
        <v>270.23713719824337</v>
      </c>
      <c r="E67" s="8">
        <v>372.95167274327707</v>
      </c>
      <c r="F67" s="8">
        <v>269.51599649232583</v>
      </c>
      <c r="G67" s="8">
        <v>225.70944216932949</v>
      </c>
      <c r="H67" s="8">
        <v>186.33899381261944</v>
      </c>
      <c r="I67" s="8">
        <v>243.17329243786739</v>
      </c>
      <c r="J67" s="8">
        <v>302.68781094021693</v>
      </c>
      <c r="K67" s="8">
        <v>236.87360453098006</v>
      </c>
      <c r="L67" s="8">
        <v>228.72830586684182</v>
      </c>
      <c r="M67" s="8">
        <v>180.81939597875345</v>
      </c>
      <c r="N67" s="8"/>
      <c r="O67" s="8"/>
      <c r="P67" s="8"/>
      <c r="Q67" s="8"/>
      <c r="R67" s="8"/>
      <c r="S67" s="24"/>
      <c r="T67" s="9" t="s">
        <v>31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x14ac:dyDescent="0.3">
      <c r="A68" s="15"/>
      <c r="B68" s="16" t="s">
        <v>1005</v>
      </c>
      <c r="C68" s="5" t="s">
        <v>1079</v>
      </c>
      <c r="D68" s="6">
        <v>1.9937499999999999</v>
      </c>
      <c r="E68" s="6">
        <v>0.22708333333333333</v>
      </c>
      <c r="F68" s="6">
        <v>0.32864583333333336</v>
      </c>
      <c r="G68" s="6">
        <v>0.23958333333333334</v>
      </c>
      <c r="H68" s="6">
        <v>0.26927083333333335</v>
      </c>
      <c r="I68" s="6">
        <v>0.22135416666666666</v>
      </c>
      <c r="J68" s="6">
        <v>0.70937499999999998</v>
      </c>
      <c r="K68" s="6">
        <v>0.19791666666666666</v>
      </c>
      <c r="L68" s="6">
        <v>0.20781250000000001</v>
      </c>
      <c r="M68" s="6">
        <v>0.22604166666666667</v>
      </c>
      <c r="N68" s="6"/>
      <c r="O68" s="6"/>
      <c r="P68" s="6"/>
      <c r="Q68" s="6"/>
      <c r="R68" s="6"/>
      <c r="S68" s="4"/>
      <c r="T68" s="5" t="s">
        <v>32</v>
      </c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ht="14.4" customHeight="true" x14ac:dyDescent="0.3">
      <c r="A69" s="17" t="s">
        <v>36</v>
      </c>
      <c r="B69" s="18" t="s">
        <v>1006</v>
      </c>
      <c r="C69" s="2" t="s">
        <v>1080</v>
      </c>
      <c r="D69" s="3">
        <v>2500</v>
      </c>
      <c r="E69" s="3">
        <v>2500.000007284294</v>
      </c>
      <c r="F69" s="3">
        <v>2500</v>
      </c>
      <c r="G69" s="3">
        <v>2647.0537614392542</v>
      </c>
      <c r="H69" s="3">
        <v>2617.9146166177238</v>
      </c>
      <c r="I69" s="3">
        <v>2643.6715343998139</v>
      </c>
      <c r="J69" s="3">
        <v>2616.3723998192863</v>
      </c>
      <c r="K69" s="3">
        <v>2616.7254384366306</v>
      </c>
      <c r="L69" s="3">
        <v>2643.4079690493363</v>
      </c>
      <c r="M69" s="3">
        <v>2646.922790518192</v>
      </c>
      <c r="N69" s="3"/>
      <c r="O69" s="3"/>
      <c r="P69" s="3"/>
      <c r="Q69" s="3"/>
      <c r="R69" s="3"/>
      <c r="S69" s="1" t="s">
        <v>22</v>
      </c>
      <c r="T69" s="2" t="s">
        <v>30</v>
      </c>
      <c r="W69" s="7">
        <f t="shared" ref="W69:W92" si="316">_xlfn.RANK.EQ(D69,$D69:$R69,1)</f>
        <v>1</v>
      </c>
      <c r="X69" s="7">
        <f t="shared" ref="X69:X92" si="317">_xlfn.RANK.EQ(E69,$D69:$R69,1)</f>
        <v>4</v>
      </c>
      <c r="Y69" s="7">
        <f t="shared" ref="Y69:Y92" si="318">_xlfn.RANK.EQ(F69,$D69:$R69,1)</f>
        <v>2</v>
      </c>
      <c r="Z69" s="7">
        <f t="shared" ref="Z69:Z92" si="319">_xlfn.RANK.EQ(G69,$D69:$R69,1)</f>
        <v>5</v>
      </c>
      <c r="AA69" s="7">
        <f t="shared" ref="AA69:AA92" si="320">_xlfn.RANK.EQ(H69,$D69:$R69,1)</f>
        <v>9</v>
      </c>
      <c r="AB69" s="7">
        <f t="shared" ref="AB69:AB92" si="321">_xlfn.RANK.EQ(I69,$D69:$R69,1)</f>
        <v>7</v>
      </c>
      <c r="AC69" s="7">
        <f t="shared" ref="AC69:AC92" si="322">_xlfn.RANK.EQ(J69,$D69:$R69,1)</f>
        <v>8</v>
      </c>
      <c r="AD69" s="7">
        <f t="shared" ref="AD69:AD92" si="323">_xlfn.RANK.EQ(K69,$D69:$R69,1)</f>
        <v>3</v>
      </c>
      <c r="AE69" s="7">
        <f t="shared" ref="AE69:AE92" si="324">_xlfn.RANK.EQ(L69,$D69:$R69,1)</f>
        <v>6</v>
      </c>
      <c r="AF69" s="7" t="e">
        <f t="shared" ref="AF69:AF92" si="325">_xlfn.RANK.EQ(M69,$D69:$R69,1)</f>
        <v>#N/A</v>
      </c>
      <c r="AG69" s="7" t="e">
        <f t="shared" ref="AG69:AG92" si="326">_xlfn.RANK.EQ(N69,$D69:$R69,1)</f>
        <v>#N/A</v>
      </c>
      <c r="AH69" s="7" t="e">
        <f t="shared" ref="AH69:AH92" si="327">_xlfn.RANK.EQ(O69,$D69:$R69,1)</f>
        <v>#N/A</v>
      </c>
      <c r="AI69" s="7" t="e">
        <f t="shared" ref="AI69:AI92" si="328">_xlfn.RANK.EQ(P69,$D69:$R69,1)</f>
        <v>#N/A</v>
      </c>
      <c r="AJ69" s="7" t="e">
        <f t="shared" ref="AJ69:AJ92" si="329">_xlfn.RANK.EQ(Q69,$D69:$R69,1)</f>
        <v>#N/A</v>
      </c>
      <c r="AK69" s="7" t="e">
        <f t="shared" ref="AK69:AK92" si="330">_xlfn.RANK.EQ(R69,$D69:$R69,1)</f>
        <v>#N/A</v>
      </c>
    </row>
    <row r="70" x14ac:dyDescent="0.3">
      <c r="A70" s="12"/>
      <c r="B70" s="13" t="s">
        <v>1006</v>
      </c>
      <c r="C70" s="9" t="s">
        <v>1081</v>
      </c>
      <c r="D70" s="8">
        <v>0</v>
      </c>
      <c r="E70" s="8">
        <v>9.9297259204536946e-06</v>
      </c>
      <c r="F70" s="8">
        <v>0</v>
      </c>
      <c r="G70" s="8">
        <v>16.354145495534496</v>
      </c>
      <c r="H70" s="8">
        <v>1.1113196578104583</v>
      </c>
      <c r="I70" s="8">
        <v>30.635754854207608</v>
      </c>
      <c r="J70" s="8">
        <v>1.5641751801623263</v>
      </c>
      <c r="K70" s="8">
        <v>2.4588024240297828</v>
      </c>
      <c r="L70" s="8">
        <v>29.981475569965035</v>
      </c>
      <c r="M70" s="8">
        <v>19.075514089683427</v>
      </c>
      <c r="N70" s="8"/>
      <c r="O70" s="8"/>
      <c r="P70" s="8"/>
      <c r="Q70" s="8"/>
      <c r="R70" s="8"/>
      <c r="S70" s="24"/>
      <c r="T70" s="9" t="s">
        <v>31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x14ac:dyDescent="0.3">
      <c r="A71" s="12"/>
      <c r="B71" s="16" t="s">
        <v>1006</v>
      </c>
      <c r="C71" s="5" t="s">
        <v>1082</v>
      </c>
      <c r="D71" s="6">
        <v>2.9354166666666668</v>
      </c>
      <c r="E71" s="6">
        <v>0.69114583333333335</v>
      </c>
      <c r="F71" s="6">
        <v>0.5864583333333333</v>
      </c>
      <c r="G71" s="6">
        <v>0.33697916666666666</v>
      </c>
      <c r="H71" s="6">
        <v>0.39635416666666667</v>
      </c>
      <c r="I71" s="6">
        <v>0.33437499999999998</v>
      </c>
      <c r="J71" s="6">
        <v>0.82708333333333328</v>
      </c>
      <c r="K71" s="6">
        <v>0.31354166666666666</v>
      </c>
      <c r="L71" s="6">
        <v>0.33802083333333333</v>
      </c>
      <c r="M71" s="6">
        <v>0.34375</v>
      </c>
      <c r="N71" s="6"/>
      <c r="O71" s="6"/>
      <c r="P71" s="6"/>
      <c r="Q71" s="6"/>
      <c r="R71" s="6"/>
      <c r="S71" s="4"/>
      <c r="T71" s="5" t="s">
        <v>32</v>
      </c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x14ac:dyDescent="0.3">
      <c r="A72" s="12"/>
      <c r="B72" s="18" t="s">
        <v>1007</v>
      </c>
      <c r="C72" s="2" t="s">
        <v>1083</v>
      </c>
      <c r="D72" s="3">
        <v>2600</v>
      </c>
      <c r="E72" s="3">
        <v>2600.0009518020638</v>
      </c>
      <c r="F72" s="3">
        <v>2600.0003326886385</v>
      </c>
      <c r="G72" s="3">
        <v>2600.1623470124346</v>
      </c>
      <c r="H72" s="3">
        <v>2642.7991558577096</v>
      </c>
      <c r="I72" s="3">
        <v>2644.5254843257771</v>
      </c>
      <c r="J72" s="3">
        <v>2646.3217776873557</v>
      </c>
      <c r="K72" s="3">
        <v>2639.7547979155906</v>
      </c>
      <c r="L72" s="3">
        <v>2643.6810087630665</v>
      </c>
      <c r="M72" s="3">
        <v>2600.1521760246419</v>
      </c>
      <c r="N72" s="3"/>
      <c r="O72" s="3"/>
      <c r="P72" s="3"/>
      <c r="Q72" s="3"/>
      <c r="R72" s="3"/>
      <c r="S72" s="1" t="s">
        <v>23</v>
      </c>
      <c r="T72" s="2" t="s">
        <v>30</v>
      </c>
      <c r="W72" s="7">
        <f t="shared" ref="W72:W92" si="331">_xlfn.RANK.EQ(D72,$D72:$R72,1)</f>
        <v>1</v>
      </c>
      <c r="X72" s="7">
        <f t="shared" ref="X72:X92" si="332">_xlfn.RANK.EQ(E72,$D72:$R72,1)</f>
        <v>4</v>
      </c>
      <c r="Y72" s="7">
        <f t="shared" ref="Y72:Y92" si="333">_xlfn.RANK.EQ(F72,$D72:$R72,1)</f>
        <v>7</v>
      </c>
      <c r="Z72" s="7">
        <f t="shared" ref="Z72:Z92" si="334">_xlfn.RANK.EQ(G72,$D72:$R72,1)</f>
        <v>8</v>
      </c>
      <c r="AA72" s="7">
        <f t="shared" ref="AA72:AA92" si="335">_xlfn.RANK.EQ(H72,$D72:$R72,1)</f>
        <v>9</v>
      </c>
      <c r="AB72" s="7">
        <f t="shared" ref="AB72:AB92" si="336">_xlfn.RANK.EQ(I72,$D72:$R72,1)</f>
        <v>5</v>
      </c>
      <c r="AC72" s="7">
        <f t="shared" ref="AC72:AC92" si="337">_xlfn.RANK.EQ(J72,$D72:$R72,1)</f>
        <v>2</v>
      </c>
      <c r="AD72" s="7">
        <f t="shared" ref="AD72:AD92" si="338">_xlfn.RANK.EQ(K72,$D72:$R72,1)</f>
        <v>3</v>
      </c>
      <c r="AE72" s="7">
        <f t="shared" ref="AE72:AE92" si="339">_xlfn.RANK.EQ(L72,$D72:$R72,1)</f>
        <v>6</v>
      </c>
      <c r="AF72" s="7" t="e">
        <f t="shared" ref="AF72:AF92" si="340">_xlfn.RANK.EQ(M72,$D72:$R72,1)</f>
        <v>#N/A</v>
      </c>
      <c r="AG72" s="7" t="e">
        <f t="shared" ref="AG72:AG92" si="341">_xlfn.RANK.EQ(N72,$D72:$R72,1)</f>
        <v>#N/A</v>
      </c>
      <c r="AH72" s="7" t="e">
        <f t="shared" ref="AH72:AH92" si="342">_xlfn.RANK.EQ(O72,$D72:$R72,1)</f>
        <v>#N/A</v>
      </c>
      <c r="AI72" s="7" t="e">
        <f t="shared" ref="AI72:AI92" si="343">_xlfn.RANK.EQ(P72,$D72:$R72,1)</f>
        <v>#N/A</v>
      </c>
      <c r="AJ72" s="7" t="e">
        <f t="shared" ref="AJ72:AJ92" si="344">_xlfn.RANK.EQ(Q72,$D72:$R72,1)</f>
        <v>#N/A</v>
      </c>
      <c r="AK72" s="7" t="e">
        <f t="shared" ref="AK72:AK92" si="345">_xlfn.RANK.EQ(R72,$D72:$R72,1)</f>
        <v>#N/A</v>
      </c>
    </row>
    <row r="73" x14ac:dyDescent="0.3">
      <c r="A73" s="12"/>
      <c r="B73" s="13" t="s">
        <v>1007</v>
      </c>
      <c r="C73" s="9" t="s">
        <v>1084</v>
      </c>
      <c r="D73" s="8">
        <v>0</v>
      </c>
      <c r="E73" s="8">
        <v>0.0005636365020743057</v>
      </c>
      <c r="F73" s="8">
        <v>0.00080468594010277012</v>
      </c>
      <c r="G73" s="8">
        <v>0.06850107444579985</v>
      </c>
      <c r="H73" s="8">
        <v>6.0534618983657467</v>
      </c>
      <c r="I73" s="8">
        <v>6.0177954873590034</v>
      </c>
      <c r="J73" s="8">
        <v>13.427223663737406</v>
      </c>
      <c r="K73" s="8">
        <v>6.8986947943703063</v>
      </c>
      <c r="L73" s="8">
        <v>6.2479761657852757</v>
      </c>
      <c r="M73" s="8">
        <v>0.069119128216522704</v>
      </c>
      <c r="N73" s="8"/>
      <c r="O73" s="8"/>
      <c r="P73" s="8"/>
      <c r="Q73" s="8"/>
      <c r="R73" s="8"/>
      <c r="S73" s="24"/>
      <c r="T73" s="9" t="s">
        <v>31</v>
      </c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x14ac:dyDescent="0.3">
      <c r="A74" s="12"/>
      <c r="B74" s="16" t="s">
        <v>1007</v>
      </c>
      <c r="C74" s="5" t="s">
        <v>1085</v>
      </c>
      <c r="D74" s="6">
        <v>2.9380208333333333</v>
      </c>
      <c r="E74" s="6">
        <v>0.484375</v>
      </c>
      <c r="F74" s="6">
        <v>0.46250000000000002</v>
      </c>
      <c r="G74" s="6">
        <v>0.30781249999999999</v>
      </c>
      <c r="H74" s="6">
        <v>0.38593749999999999</v>
      </c>
      <c r="I74" s="6">
        <v>0.30833333333333335</v>
      </c>
      <c r="J74" s="6">
        <v>0.81927083333333328</v>
      </c>
      <c r="K74" s="6">
        <v>0.27500000000000002</v>
      </c>
      <c r="L74" s="6">
        <v>0.30833333333333335</v>
      </c>
      <c r="M74" s="6">
        <v>0.30052083333333335</v>
      </c>
      <c r="N74" s="6"/>
      <c r="O74" s="6"/>
      <c r="P74" s="6"/>
      <c r="Q74" s="6"/>
      <c r="R74" s="6"/>
      <c r="S74" s="4"/>
      <c r="T74" s="5" t="s">
        <v>32</v>
      </c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x14ac:dyDescent="0.3">
      <c r="A75" s="12"/>
      <c r="B75" s="18" t="s">
        <v>1008</v>
      </c>
      <c r="C75" s="2" t="s">
        <v>1086</v>
      </c>
      <c r="D75" s="3">
        <v>2700</v>
      </c>
      <c r="E75" s="3">
        <v>2700.0000000842897</v>
      </c>
      <c r="F75" s="3">
        <v>2700</v>
      </c>
      <c r="G75" s="3">
        <v>2711.1278341063198</v>
      </c>
      <c r="H75" s="3">
        <v>2716.6063645289892</v>
      </c>
      <c r="I75" s="3">
        <v>2717.9009342980562</v>
      </c>
      <c r="J75" s="3">
        <v>2724.5439825288854</v>
      </c>
      <c r="K75" s="3">
        <v>2706.3630979159611</v>
      </c>
      <c r="L75" s="3">
        <v>2719.4384203532659</v>
      </c>
      <c r="M75" s="3">
        <v>2713.0796452420082</v>
      </c>
      <c r="N75" s="3"/>
      <c r="O75" s="3"/>
      <c r="P75" s="3"/>
      <c r="Q75" s="3"/>
      <c r="R75" s="3"/>
      <c r="S75" s="1" t="s">
        <v>24</v>
      </c>
      <c r="T75" s="2" t="s">
        <v>30</v>
      </c>
      <c r="W75" s="7">
        <f t="shared" ref="W75:W92" si="346">_xlfn.RANK.EQ(D75,$D75:$R75,1)</f>
        <v>1</v>
      </c>
      <c r="X75" s="7">
        <f t="shared" ref="X75:X92" si="347">_xlfn.RANK.EQ(E75,$D75:$R75,1)</f>
        <v>3</v>
      </c>
      <c r="Y75" s="7">
        <f t="shared" ref="Y75:Y92" si="348">_xlfn.RANK.EQ(F75,$D75:$R75,1)</f>
        <v>8</v>
      </c>
      <c r="Z75" s="7">
        <f t="shared" ref="Z75:Z92" si="349">_xlfn.RANK.EQ(G75,$D75:$R75,1)</f>
        <v>5</v>
      </c>
      <c r="AA75" s="7">
        <f t="shared" ref="AA75:AA92" si="350">_xlfn.RANK.EQ(H75,$D75:$R75,1)</f>
        <v>9</v>
      </c>
      <c r="AB75" s="7">
        <f t="shared" ref="AB75:AB92" si="351">_xlfn.RANK.EQ(I75,$D75:$R75,1)</f>
        <v>7</v>
      </c>
      <c r="AC75" s="7">
        <f t="shared" ref="AC75:AC92" si="352">_xlfn.RANK.EQ(J75,$D75:$R75,1)</f>
        <v>2</v>
      </c>
      <c r="AD75" s="7">
        <f t="shared" ref="AD75:AD92" si="353">_xlfn.RANK.EQ(K75,$D75:$R75,1)</f>
        <v>4</v>
      </c>
      <c r="AE75" s="7">
        <f t="shared" ref="AE75:AE92" si="354">_xlfn.RANK.EQ(L75,$D75:$R75,1)</f>
        <v>6</v>
      </c>
      <c r="AF75" s="7" t="e">
        <f t="shared" ref="AF75:AF92" si="355">_xlfn.RANK.EQ(M75,$D75:$R75,1)</f>
        <v>#N/A</v>
      </c>
      <c r="AG75" s="7" t="e">
        <f t="shared" ref="AG75:AG92" si="356">_xlfn.RANK.EQ(N75,$D75:$R75,1)</f>
        <v>#N/A</v>
      </c>
      <c r="AH75" s="7" t="e">
        <f t="shared" ref="AH75:AH92" si="357">_xlfn.RANK.EQ(O75,$D75:$R75,1)</f>
        <v>#N/A</v>
      </c>
      <c r="AI75" s="7" t="e">
        <f t="shared" ref="AI75:AI92" si="358">_xlfn.RANK.EQ(P75,$D75:$R75,1)</f>
        <v>#N/A</v>
      </c>
      <c r="AJ75" s="7" t="e">
        <f t="shared" ref="AJ75:AJ92" si="359">_xlfn.RANK.EQ(Q75,$D75:$R75,1)</f>
        <v>#N/A</v>
      </c>
      <c r="AK75" s="7" t="e">
        <f t="shared" ref="AK75:AK92" si="360">_xlfn.RANK.EQ(R75,$D75:$R75,1)</f>
        <v>#N/A</v>
      </c>
    </row>
    <row r="76" x14ac:dyDescent="0.3">
      <c r="A76" s="12"/>
      <c r="B76" s="13" t="s">
        <v>1008</v>
      </c>
      <c r="C76" s="9" t="s">
        <v>1087</v>
      </c>
      <c r="D76" s="8">
        <v>0</v>
      </c>
      <c r="E76" s="8">
        <v>7.7226927525214618e-08</v>
      </c>
      <c r="F76" s="8">
        <v>0</v>
      </c>
      <c r="G76" s="8">
        <v>7.390874376632234</v>
      </c>
      <c r="H76" s="8">
        <v>4.5125483011180023</v>
      </c>
      <c r="I76" s="8">
        <v>6.0110082518974437</v>
      </c>
      <c r="J76" s="8">
        <v>5.6980600149455674</v>
      </c>
      <c r="K76" s="8">
        <v>1.7136331230170589</v>
      </c>
      <c r="L76" s="8">
        <v>5.099499530372877</v>
      </c>
      <c r="M76" s="8">
        <v>7.3457014853903599</v>
      </c>
      <c r="N76" s="8"/>
      <c r="O76" s="8"/>
      <c r="P76" s="8"/>
      <c r="Q76" s="8"/>
      <c r="R76" s="8"/>
      <c r="S76" s="24"/>
      <c r="T76" s="9" t="s">
        <v>31</v>
      </c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x14ac:dyDescent="0.3">
      <c r="A77" s="12"/>
      <c r="B77" s="16" t="s">
        <v>1008</v>
      </c>
      <c r="C77" s="5" t="s">
        <v>1088</v>
      </c>
      <c r="D77" s="6">
        <v>2.9656250000000002</v>
      </c>
      <c r="E77" s="6">
        <v>0.58020833333333333</v>
      </c>
      <c r="F77" s="6">
        <v>0.52604166666666663</v>
      </c>
      <c r="G77" s="6">
        <v>0.33385416666666667</v>
      </c>
      <c r="H77" s="6">
        <v>0.38697916666666665</v>
      </c>
      <c r="I77" s="6">
        <v>0.3203125</v>
      </c>
      <c r="J77" s="6">
        <v>0.8755208333333333</v>
      </c>
      <c r="K77" s="6">
        <v>0.30520833333333336</v>
      </c>
      <c r="L77" s="6">
        <v>0.33489583333333334</v>
      </c>
      <c r="M77" s="6">
        <v>0.34322916666666664</v>
      </c>
      <c r="N77" s="6"/>
      <c r="O77" s="6"/>
      <c r="P77" s="6"/>
      <c r="Q77" s="6"/>
      <c r="R77" s="6"/>
      <c r="S77" s="4"/>
      <c r="T77" s="5" t="s">
        <v>32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x14ac:dyDescent="0.3">
      <c r="A78" s="12"/>
      <c r="B78" s="18" t="s">
        <v>1009</v>
      </c>
      <c r="C78" s="2" t="s">
        <v>1089</v>
      </c>
      <c r="D78" s="3">
        <v>2713.7121965311812</v>
      </c>
      <c r="E78" s="3">
        <v>2740.7182622472492</v>
      </c>
      <c r="F78" s="3">
        <v>2780.0975482834988</v>
      </c>
      <c r="G78" s="3">
        <v>2783.5559861612983</v>
      </c>
      <c r="H78" s="3">
        <v>2735.6704172126515</v>
      </c>
      <c r="I78" s="3">
        <v>2754.3529843578872</v>
      </c>
      <c r="J78" s="3">
        <v>2766.9909272252576</v>
      </c>
      <c r="K78" s="3">
        <v>2714.8104418822122</v>
      </c>
      <c r="L78" s="3">
        <v>2753.5028563742721</v>
      </c>
      <c r="M78" s="3">
        <v>2757.1083755549316</v>
      </c>
      <c r="N78" s="3"/>
      <c r="O78" s="3"/>
      <c r="P78" s="3"/>
      <c r="Q78" s="3"/>
      <c r="R78" s="3"/>
      <c r="S78" s="1" t="s">
        <v>25</v>
      </c>
      <c r="T78" s="2" t="s">
        <v>30</v>
      </c>
      <c r="W78" s="7">
        <f t="shared" ref="W78:W92" si="361">_xlfn.RANK.EQ(D78,$D78:$R78,1)</f>
        <v>7</v>
      </c>
      <c r="X78" s="7">
        <f t="shared" ref="X78:X92" si="362">_xlfn.RANK.EQ(E78,$D78:$R78,1)</f>
        <v>4</v>
      </c>
      <c r="Y78" s="7">
        <f t="shared" ref="Y78:Y92" si="363">_xlfn.RANK.EQ(F78,$D78:$R78,1)</f>
        <v>8</v>
      </c>
      <c r="Z78" s="7">
        <f t="shared" ref="Z78:Z92" si="364">_xlfn.RANK.EQ(G78,$D78:$R78,1)</f>
        <v>2</v>
      </c>
      <c r="AA78" s="7">
        <f t="shared" ref="AA78:AA92" si="365">_xlfn.RANK.EQ(H78,$D78:$R78,1)</f>
        <v>3</v>
      </c>
      <c r="AB78" s="7">
        <f t="shared" ref="AB78:AB92" si="366">_xlfn.RANK.EQ(I78,$D78:$R78,1)</f>
        <v>1</v>
      </c>
      <c r="AC78" s="7">
        <f t="shared" ref="AC78:AC92" si="367">_xlfn.RANK.EQ(J78,$D78:$R78,1)</f>
        <v>9</v>
      </c>
      <c r="AD78" s="7">
        <f t="shared" ref="AD78:AD92" si="368">_xlfn.RANK.EQ(K78,$D78:$R78,1)</f>
        <v>5</v>
      </c>
      <c r="AE78" s="7">
        <f t="shared" ref="AE78:AE92" si="369">_xlfn.RANK.EQ(L78,$D78:$R78,1)</f>
        <v>6</v>
      </c>
      <c r="AF78" s="7" t="e">
        <f t="shared" ref="AF78:AF92" si="370">_xlfn.RANK.EQ(M78,$D78:$R78,1)</f>
        <v>#N/A</v>
      </c>
      <c r="AG78" s="7" t="e">
        <f t="shared" ref="AG78:AG92" si="371">_xlfn.RANK.EQ(N78,$D78:$R78,1)</f>
        <v>#N/A</v>
      </c>
      <c r="AH78" s="7" t="e">
        <f t="shared" ref="AH78:AH92" si="372">_xlfn.RANK.EQ(O78,$D78:$R78,1)</f>
        <v>#N/A</v>
      </c>
      <c r="AI78" s="7" t="e">
        <f t="shared" ref="AI78:AI92" si="373">_xlfn.RANK.EQ(P78,$D78:$R78,1)</f>
        <v>#N/A</v>
      </c>
      <c r="AJ78" s="7" t="e">
        <f t="shared" ref="AJ78:AJ92" si="374">_xlfn.RANK.EQ(Q78,$D78:$R78,1)</f>
        <v>#N/A</v>
      </c>
      <c r="AK78" s="7" t="e">
        <f t="shared" ref="AK78:AK92" si="375">_xlfn.RANK.EQ(R78,$D78:$R78,1)</f>
        <v>#N/A</v>
      </c>
    </row>
    <row r="79" x14ac:dyDescent="0.3">
      <c r="A79" s="12"/>
      <c r="B79" s="13" t="s">
        <v>1009</v>
      </c>
      <c r="C79" s="9" t="s">
        <v>1090</v>
      </c>
      <c r="D79" s="8">
        <v>34.423739523051374</v>
      </c>
      <c r="E79" s="8">
        <v>45.887592789181241</v>
      </c>
      <c r="F79" s="8">
        <v>40.485409357786686</v>
      </c>
      <c r="G79" s="8">
        <v>37.694363840954338</v>
      </c>
      <c r="H79" s="8">
        <v>60.446476566047451</v>
      </c>
      <c r="I79" s="8">
        <v>71.909552112000512</v>
      </c>
      <c r="J79" s="8">
        <v>47.903732761374101</v>
      </c>
      <c r="K79" s="8">
        <v>47.095972183386579</v>
      </c>
      <c r="L79" s="8">
        <v>82.35064113919826</v>
      </c>
      <c r="M79" s="8">
        <v>50.181515928158156</v>
      </c>
      <c r="N79" s="8"/>
      <c r="O79" s="8"/>
      <c r="P79" s="8"/>
      <c r="Q79" s="8"/>
      <c r="R79" s="8"/>
      <c r="S79" s="24"/>
      <c r="T79" s="9" t="s">
        <v>31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x14ac:dyDescent="0.3">
      <c r="A80" s="12"/>
      <c r="B80" s="16" t="s">
        <v>1009</v>
      </c>
      <c r="C80" s="5" t="s">
        <v>1091</v>
      </c>
      <c r="D80" s="6">
        <v>17.999479166666667</v>
      </c>
      <c r="E80" s="6">
        <v>4.6015625</v>
      </c>
      <c r="F80" s="6">
        <v>2.6322916666666667</v>
      </c>
      <c r="G80" s="6">
        <v>1.2833333333333334</v>
      </c>
      <c r="H80" s="6">
        <v>1.3890625000000001</v>
      </c>
      <c r="I80" s="6">
        <v>1.1463541666666666</v>
      </c>
      <c r="J80" s="6">
        <v>1.7333333333333334</v>
      </c>
      <c r="K80" s="6">
        <v>1.2744791666666666</v>
      </c>
      <c r="L80" s="6">
        <v>1.1755208333333333</v>
      </c>
      <c r="M80" s="6">
        <v>1.3151041666666667</v>
      </c>
      <c r="N80" s="6"/>
      <c r="O80" s="6"/>
      <c r="P80" s="6"/>
      <c r="Q80" s="6"/>
      <c r="R80" s="6"/>
      <c r="S80" s="4"/>
      <c r="T80" s="5" t="s">
        <v>32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x14ac:dyDescent="0.3">
      <c r="A81" s="12"/>
      <c r="B81" s="18" t="s">
        <v>1010</v>
      </c>
      <c r="C81" s="2" t="s">
        <v>1092</v>
      </c>
      <c r="D81" s="3">
        <v>2900</v>
      </c>
      <c r="E81" s="3">
        <v>2900.0000011300663</v>
      </c>
      <c r="F81" s="3">
        <v>2900</v>
      </c>
      <c r="G81" s="3">
        <v>3366.8824895988723</v>
      </c>
      <c r="H81" s="3">
        <v>3368.7605904203465</v>
      </c>
      <c r="I81" s="3">
        <v>3490.160175613275</v>
      </c>
      <c r="J81" s="3">
        <v>3875.617744021858</v>
      </c>
      <c r="K81" s="3">
        <v>3257.4775538794661</v>
      </c>
      <c r="L81" s="3">
        <v>3499.87315074363</v>
      </c>
      <c r="M81" s="3">
        <v>3394.9744763068697</v>
      </c>
      <c r="N81" s="3"/>
      <c r="O81" s="3"/>
      <c r="P81" s="3"/>
      <c r="Q81" s="3"/>
      <c r="R81" s="3"/>
      <c r="S81" s="1" t="s">
        <v>26</v>
      </c>
      <c r="T81" s="2" t="s">
        <v>30</v>
      </c>
      <c r="W81" s="7">
        <f t="shared" ref="W81:W92" si="376">_xlfn.RANK.EQ(D81,$D81:$R81,1)</f>
        <v>1</v>
      </c>
      <c r="X81" s="7">
        <f t="shared" ref="X81:X92" si="377">_xlfn.RANK.EQ(E81,$D81:$R81,1)</f>
        <v>3</v>
      </c>
      <c r="Y81" s="7">
        <f t="shared" ref="Y81:Y92" si="378">_xlfn.RANK.EQ(F81,$D81:$R81,1)</f>
        <v>7</v>
      </c>
      <c r="Z81" s="7">
        <f t="shared" ref="Z81:Z92" si="379">_xlfn.RANK.EQ(G81,$D81:$R81,1)</f>
        <v>4</v>
      </c>
      <c r="AA81" s="7">
        <f t="shared" ref="AA81:AA92" si="380">_xlfn.RANK.EQ(H81,$D81:$R81,1)</f>
        <v>8</v>
      </c>
      <c r="AB81" s="7">
        <f t="shared" ref="AB81:AB92" si="381">_xlfn.RANK.EQ(I81,$D81:$R81,1)</f>
        <v>6</v>
      </c>
      <c r="AC81" s="7">
        <f t="shared" ref="AC81:AC92" si="382">_xlfn.RANK.EQ(J81,$D81:$R81,1)</f>
        <v>9</v>
      </c>
      <c r="AD81" s="7">
        <f t="shared" ref="AD81:AD92" si="383">_xlfn.RANK.EQ(K81,$D81:$R81,1)</f>
        <v>2</v>
      </c>
      <c r="AE81" s="7">
        <f t="shared" ref="AE81:AE92" si="384">_xlfn.RANK.EQ(L81,$D81:$R81,1)</f>
        <v>5</v>
      </c>
      <c r="AF81" s="7" t="e">
        <f t="shared" ref="AF81:AF92" si="385">_xlfn.RANK.EQ(M81,$D81:$R81,1)</f>
        <v>#N/A</v>
      </c>
      <c r="AG81" s="7" t="e">
        <f t="shared" ref="AG81:AG92" si="386">_xlfn.RANK.EQ(N81,$D81:$R81,1)</f>
        <v>#N/A</v>
      </c>
      <c r="AH81" s="7" t="e">
        <f t="shared" ref="AH81:AH92" si="387">_xlfn.RANK.EQ(O81,$D81:$R81,1)</f>
        <v>#N/A</v>
      </c>
      <c r="AI81" s="7" t="e">
        <f t="shared" ref="AI81:AI92" si="388">_xlfn.RANK.EQ(P81,$D81:$R81,1)</f>
        <v>#N/A</v>
      </c>
      <c r="AJ81" s="7" t="e">
        <f t="shared" ref="AJ81:AJ92" si="389">_xlfn.RANK.EQ(Q81,$D81:$R81,1)</f>
        <v>#N/A</v>
      </c>
      <c r="AK81" s="7" t="e">
        <f t="shared" ref="AK81:AK92" si="390">_xlfn.RANK.EQ(R81,$D81:$R81,1)</f>
        <v>#N/A</v>
      </c>
    </row>
    <row r="82" x14ac:dyDescent="0.3">
      <c r="A82" s="12"/>
      <c r="B82" s="13" t="s">
        <v>1010</v>
      </c>
      <c r="C82" s="9" t="s">
        <v>1093</v>
      </c>
      <c r="D82" s="8">
        <v>0</v>
      </c>
      <c r="E82" s="8">
        <v>1.579973564790273e-06</v>
      </c>
      <c r="F82" s="8">
        <v>0</v>
      </c>
      <c r="G82" s="8">
        <v>186.33237201142859</v>
      </c>
      <c r="H82" s="8">
        <v>197.45404819993163</v>
      </c>
      <c r="I82" s="8">
        <v>205.65175832588375</v>
      </c>
      <c r="J82" s="8">
        <v>325.82189097559018</v>
      </c>
      <c r="K82" s="8">
        <v>63.076402132712076</v>
      </c>
      <c r="L82" s="8">
        <v>197.18923756072479</v>
      </c>
      <c r="M82" s="8">
        <v>146.53907789767624</v>
      </c>
      <c r="N82" s="8"/>
      <c r="O82" s="8"/>
      <c r="P82" s="8"/>
      <c r="Q82" s="8"/>
      <c r="R82" s="8"/>
      <c r="S82" s="24"/>
      <c r="T82" s="9" t="s">
        <v>31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x14ac:dyDescent="0.3">
      <c r="A83" s="12"/>
      <c r="B83" s="16" t="s">
        <v>1010</v>
      </c>
      <c r="C83" s="5" t="s">
        <v>1094</v>
      </c>
      <c r="D83" s="6">
        <v>14.1953125</v>
      </c>
      <c r="E83" s="6">
        <v>4.5135416666666668</v>
      </c>
      <c r="F83" s="6">
        <v>2.5656249999999998</v>
      </c>
      <c r="G83" s="6">
        <v>1.2880208333333334</v>
      </c>
      <c r="H83" s="6">
        <v>1.3671875</v>
      </c>
      <c r="I83" s="6">
        <v>1.2078125</v>
      </c>
      <c r="J83" s="6">
        <v>1.7630208333333333</v>
      </c>
      <c r="K83" s="6">
        <v>1.2578125</v>
      </c>
      <c r="L83" s="6">
        <v>1.2229166666666667</v>
      </c>
      <c r="M83" s="6">
        <v>1.3125</v>
      </c>
      <c r="N83" s="6"/>
      <c r="O83" s="6"/>
      <c r="P83" s="6"/>
      <c r="Q83" s="6"/>
      <c r="R83" s="6"/>
      <c r="S83" s="4"/>
      <c r="T83" s="5" t="s">
        <v>32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x14ac:dyDescent="0.3">
      <c r="A84" s="12"/>
      <c r="B84" s="18" t="s">
        <v>1011</v>
      </c>
      <c r="C84" s="2" t="s">
        <v>1095</v>
      </c>
      <c r="D84" s="3">
        <v>3000</v>
      </c>
      <c r="E84" s="3">
        <v>3000.0000023348189</v>
      </c>
      <c r="F84" s="3">
        <v>3000</v>
      </c>
      <c r="G84" s="3">
        <v>4329.1317643853217</v>
      </c>
      <c r="H84" s="3">
        <v>4630.2124407529136</v>
      </c>
      <c r="I84" s="3">
        <v>4181.6523664345177</v>
      </c>
      <c r="J84" s="3">
        <v>7283.8240059191621</v>
      </c>
      <c r="K84" s="3">
        <v>3905.8226682303352</v>
      </c>
      <c r="L84" s="3">
        <v>4141.6487439301063</v>
      </c>
      <c r="M84" s="3">
        <v>4274.4696674664383</v>
      </c>
      <c r="N84" s="3"/>
      <c r="O84" s="3"/>
      <c r="P84" s="3"/>
      <c r="Q84" s="3"/>
      <c r="R84" s="3"/>
      <c r="S84" s="1" t="s">
        <v>27</v>
      </c>
      <c r="T84" s="2" t="s">
        <v>30</v>
      </c>
      <c r="W84" s="7">
        <f t="shared" ref="W84:W92" si="391">_xlfn.RANK.EQ(D84,$D84:$R84,1)</f>
        <v>1</v>
      </c>
      <c r="X84" s="7">
        <f t="shared" ref="X84:X92" si="392">_xlfn.RANK.EQ(E84,$D84:$R84,1)</f>
        <v>3</v>
      </c>
      <c r="Y84" s="7">
        <f t="shared" ref="Y84:Y92" si="393">_xlfn.RANK.EQ(F84,$D84:$R84,1)</f>
        <v>9</v>
      </c>
      <c r="Z84" s="7">
        <f t="shared" ref="Z84:Z92" si="394">_xlfn.RANK.EQ(G84,$D84:$R84,1)</f>
        <v>2</v>
      </c>
      <c r="AA84" s="7">
        <f t="shared" ref="AA84:AA92" si="395">_xlfn.RANK.EQ(H84,$D84:$R84,1)</f>
        <v>7</v>
      </c>
      <c r="AB84" s="7">
        <f t="shared" ref="AB84:AB92" si="396">_xlfn.RANK.EQ(I84,$D84:$R84,1)</f>
        <v>5</v>
      </c>
      <c r="AC84" s="7">
        <f t="shared" ref="AC84:AC92" si="397">_xlfn.RANK.EQ(J84,$D84:$R84,1)</f>
        <v>8</v>
      </c>
      <c r="AD84" s="7">
        <f t="shared" ref="AD84:AD92" si="398">_xlfn.RANK.EQ(K84,$D84:$R84,1)</f>
        <v>6</v>
      </c>
      <c r="AE84" s="7">
        <f t="shared" ref="AE84:AE92" si="399">_xlfn.RANK.EQ(L84,$D84:$R84,1)</f>
        <v>4</v>
      </c>
      <c r="AF84" s="7" t="e">
        <f t="shared" ref="AF84:AF92" si="400">_xlfn.RANK.EQ(M84,$D84:$R84,1)</f>
        <v>#N/A</v>
      </c>
      <c r="AG84" s="7" t="e">
        <f t="shared" ref="AG84:AG92" si="401">_xlfn.RANK.EQ(N84,$D84:$R84,1)</f>
        <v>#N/A</v>
      </c>
      <c r="AH84" s="7" t="e">
        <f t="shared" ref="AH84:AH92" si="402">_xlfn.RANK.EQ(O84,$D84:$R84,1)</f>
        <v>#N/A</v>
      </c>
      <c r="AI84" s="7" t="e">
        <f t="shared" ref="AI84:AI92" si="403">_xlfn.RANK.EQ(P84,$D84:$R84,1)</f>
        <v>#N/A</v>
      </c>
      <c r="AJ84" s="7" t="e">
        <f t="shared" ref="AJ84:AJ92" si="404">_xlfn.RANK.EQ(Q84,$D84:$R84,1)</f>
        <v>#N/A</v>
      </c>
      <c r="AK84" s="7" t="e">
        <f t="shared" ref="AK84:AK92" si="405">_xlfn.RANK.EQ(R84,$D84:$R84,1)</f>
        <v>#N/A</v>
      </c>
    </row>
    <row r="85" x14ac:dyDescent="0.3">
      <c r="A85" s="12"/>
      <c r="B85" s="13" t="s">
        <v>1011</v>
      </c>
      <c r="C85" s="9" t="s">
        <v>1096</v>
      </c>
      <c r="D85" s="8">
        <v>0</v>
      </c>
      <c r="E85" s="8">
        <v>2.8051075194768172e-06</v>
      </c>
      <c r="F85" s="8">
        <v>0</v>
      </c>
      <c r="G85" s="8">
        <v>441.75396787673282</v>
      </c>
      <c r="H85" s="8">
        <v>773.65157909562151</v>
      </c>
      <c r="I85" s="8">
        <v>472.31416658328885</v>
      </c>
      <c r="J85" s="8">
        <v>883.93034850265383</v>
      </c>
      <c r="K85" s="8">
        <v>203.24061505879638</v>
      </c>
      <c r="L85" s="8">
        <v>370.53732272542857</v>
      </c>
      <c r="M85" s="8">
        <v>501.43650518263559</v>
      </c>
      <c r="N85" s="8"/>
      <c r="O85" s="8"/>
      <c r="P85" s="8"/>
      <c r="Q85" s="8"/>
      <c r="R85" s="8"/>
      <c r="S85" s="24"/>
      <c r="T85" s="9" t="s">
        <v>31</v>
      </c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x14ac:dyDescent="0.3">
      <c r="A86" s="12"/>
      <c r="B86" s="16" t="s">
        <v>1011</v>
      </c>
      <c r="C86" s="5" t="s">
        <v>1097</v>
      </c>
      <c r="D86" s="6">
        <v>3.3760416666666666</v>
      </c>
      <c r="E86" s="6">
        <v>0.81718749999999996</v>
      </c>
      <c r="F86" s="6">
        <v>0.63697916666666665</v>
      </c>
      <c r="G86" s="6">
        <v>0.40468749999999998</v>
      </c>
      <c r="H86" s="6">
        <v>0.453125</v>
      </c>
      <c r="I86" s="6">
        <v>0.36875000000000002</v>
      </c>
      <c r="J86" s="6">
        <v>0.95885416666666667</v>
      </c>
      <c r="K86" s="6">
        <v>0.36979166666666669</v>
      </c>
      <c r="L86" s="6">
        <v>0.41093750000000001</v>
      </c>
      <c r="M86" s="6">
        <v>0.39895833333333336</v>
      </c>
      <c r="N86" s="6"/>
      <c r="O86" s="6"/>
      <c r="P86" s="6"/>
      <c r="Q86" s="6"/>
      <c r="R86" s="6"/>
      <c r="S86" s="4"/>
      <c r="T86" s="5" t="s">
        <v>32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x14ac:dyDescent="0.3">
      <c r="A87" s="12"/>
      <c r="B87" s="18" t="s">
        <v>1012</v>
      </c>
      <c r="C87" s="2" t="s">
        <v>1098</v>
      </c>
      <c r="D87" s="3">
        <v>3100</v>
      </c>
      <c r="E87" s="3">
        <v>3107.1516533930057</v>
      </c>
      <c r="F87" s="3">
        <v>2133148.3875714433</v>
      </c>
      <c r="G87" s="3">
        <v>1255542.3922303047</v>
      </c>
      <c r="H87" s="3">
        <v>2870865.8174471166</v>
      </c>
      <c r="I87" s="3">
        <v>28886.80553687783</v>
      </c>
      <c r="J87" s="3">
        <v>733996.55936163408</v>
      </c>
      <c r="K87" s="3">
        <v>3929881.3195552989</v>
      </c>
      <c r="L87" s="3">
        <v>768488.05375215295</v>
      </c>
      <c r="M87" s="3">
        <v>1101507.9122705492</v>
      </c>
      <c r="N87" s="3"/>
      <c r="O87" s="3"/>
      <c r="P87" s="3"/>
      <c r="Q87" s="3"/>
      <c r="R87" s="3"/>
      <c r="S87" s="1" t="s">
        <v>28</v>
      </c>
      <c r="T87" s="2" t="s">
        <v>30</v>
      </c>
      <c r="W87" s="7">
        <f t="shared" ref="W87:W92" si="406">_xlfn.RANK.EQ(D87,$D87:$R87,1)</f>
        <v>1</v>
      </c>
      <c r="X87" s="7">
        <f t="shared" ref="X87:X92" si="407">_xlfn.RANK.EQ(E87,$D87:$R87,1)</f>
        <v>5</v>
      </c>
      <c r="Y87" s="7">
        <f t="shared" ref="Y87:Y92" si="408">_xlfn.RANK.EQ(F87,$D87:$R87,1)</f>
        <v>2</v>
      </c>
      <c r="Z87" s="7">
        <f t="shared" ref="Z87:Z92" si="409">_xlfn.RANK.EQ(G87,$D87:$R87,1)</f>
        <v>4</v>
      </c>
      <c r="AA87" s="7">
        <f t="shared" ref="AA87:AA92" si="410">_xlfn.RANK.EQ(H87,$D87:$R87,1)</f>
        <v>8</v>
      </c>
      <c r="AB87" s="7">
        <f t="shared" ref="AB87:AB92" si="411">_xlfn.RANK.EQ(I87,$D87:$R87,1)</f>
        <v>7</v>
      </c>
      <c r="AC87" s="7">
        <f t="shared" ref="AC87:AC92" si="412">_xlfn.RANK.EQ(J87,$D87:$R87,1)</f>
        <v>9</v>
      </c>
      <c r="AD87" s="7">
        <f t="shared" ref="AD87:AD92" si="413">_xlfn.RANK.EQ(K87,$D87:$R87,1)</f>
        <v>6</v>
      </c>
      <c r="AE87" s="7">
        <f t="shared" ref="AE87:AE92" si="414">_xlfn.RANK.EQ(L87,$D87:$R87,1)</f>
        <v>3</v>
      </c>
      <c r="AF87" s="7" t="e">
        <f t="shared" ref="AF87:AF92" si="415">_xlfn.RANK.EQ(M87,$D87:$R87,1)</f>
        <v>#N/A</v>
      </c>
      <c r="AG87" s="7" t="e">
        <f t="shared" ref="AG87:AG92" si="416">_xlfn.RANK.EQ(N87,$D87:$R87,1)</f>
        <v>#N/A</v>
      </c>
      <c r="AH87" s="7" t="e">
        <f t="shared" ref="AH87:AH92" si="417">_xlfn.RANK.EQ(O87,$D87:$R87,1)</f>
        <v>#N/A</v>
      </c>
      <c r="AI87" s="7" t="e">
        <f t="shared" ref="AI87:AI92" si="418">_xlfn.RANK.EQ(P87,$D87:$R87,1)</f>
        <v>#N/A</v>
      </c>
      <c r="AJ87" s="7" t="e">
        <f t="shared" ref="AJ87:AJ92" si="419">_xlfn.RANK.EQ(Q87,$D87:$R87,1)</f>
        <v>#N/A</v>
      </c>
      <c r="AK87" s="7" t="e">
        <f t="shared" ref="AK87:AK92" si="420">_xlfn.RANK.EQ(R87,$D87:$R87,1)</f>
        <v>#N/A</v>
      </c>
    </row>
    <row r="88" x14ac:dyDescent="0.3">
      <c r="A88" s="12"/>
      <c r="B88" s="13" t="s">
        <v>1012</v>
      </c>
      <c r="C88" s="9" t="s">
        <v>1099</v>
      </c>
      <c r="D88" s="8">
        <v>0</v>
      </c>
      <c r="E88" s="8">
        <v>7.7225955341679411</v>
      </c>
      <c r="F88" s="8">
        <v>8587754.1226722244</v>
      </c>
      <c r="G88" s="8">
        <v>2227995.9712085151</v>
      </c>
      <c r="H88" s="8">
        <v>8880696.543319907</v>
      </c>
      <c r="I88" s="8">
        <v>13538.644304996837</v>
      </c>
      <c r="J88" s="8">
        <v>3993065.1482429486</v>
      </c>
      <c r="K88" s="8">
        <v>5953132.1959045557</v>
      </c>
      <c r="L88" s="8">
        <v>2719689.1520357449</v>
      </c>
      <c r="M88" s="8">
        <v>1745487.2020577034</v>
      </c>
      <c r="N88" s="8"/>
      <c r="O88" s="8"/>
      <c r="P88" s="8"/>
      <c r="Q88" s="8"/>
      <c r="R88" s="8"/>
      <c r="S88" s="24"/>
      <c r="T88" s="9" t="s">
        <v>31</v>
      </c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x14ac:dyDescent="0.3">
      <c r="A89" s="12"/>
      <c r="B89" s="16" t="s">
        <v>1012</v>
      </c>
      <c r="C89" s="5" t="s">
        <v>1100</v>
      </c>
      <c r="D89" s="6">
        <v>3.8656250000000001</v>
      </c>
      <c r="E89" s="6">
        <v>1.2171875000000001</v>
      </c>
      <c r="F89" s="6">
        <v>0.87343749999999998</v>
      </c>
      <c r="G89" s="6">
        <v>0.52239583333333328</v>
      </c>
      <c r="H89" s="6">
        <v>0.55208333333333337</v>
      </c>
      <c r="I89" s="6">
        <v>0.47239583333333335</v>
      </c>
      <c r="J89" s="6">
        <v>1.0776041666666667</v>
      </c>
      <c r="K89" s="6">
        <v>0.45937499999999998</v>
      </c>
      <c r="L89" s="6">
        <v>0.45208333333333334</v>
      </c>
      <c r="M89" s="6">
        <v>0.50260416666666663</v>
      </c>
      <c r="N89" s="6"/>
      <c r="O89" s="6"/>
      <c r="P89" s="6"/>
      <c r="Q89" s="6"/>
      <c r="R89" s="6"/>
      <c r="S89" s="4"/>
      <c r="T89" s="5" t="s">
        <v>32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x14ac:dyDescent="0.3">
      <c r="A90" s="12"/>
      <c r="B90" s="18" t="s">
        <v>1013</v>
      </c>
      <c r="C90" s="2" t="s">
        <v>1101</v>
      </c>
      <c r="D90" s="3">
        <v>3200</v>
      </c>
      <c r="E90" s="3">
        <v>3200.5255742306131</v>
      </c>
      <c r="F90" s="3">
        <v>87951.716674527794</v>
      </c>
      <c r="G90" s="3">
        <v>96581.568908289715</v>
      </c>
      <c r="H90" s="3">
        <v>16014.632573422923</v>
      </c>
      <c r="I90" s="3">
        <v>44202.795326327432</v>
      </c>
      <c r="J90" s="3">
        <v>10737.563959473167</v>
      </c>
      <c r="K90" s="3">
        <v>20260.267349655194</v>
      </c>
      <c r="L90" s="3">
        <v>43735.834776369127</v>
      </c>
      <c r="M90" s="3">
        <v>99853.084283049116</v>
      </c>
      <c r="N90" s="3"/>
      <c r="O90" s="3"/>
      <c r="P90" s="3"/>
      <c r="Q90" s="3"/>
      <c r="R90" s="3"/>
      <c r="S90" s="1" t="s">
        <v>29</v>
      </c>
      <c r="T90" s="2" t="s">
        <v>30</v>
      </c>
      <c r="W90" s="7">
        <f t="shared" ref="W90:W92" si="421">_xlfn.RANK.EQ(D90,$D90:$R90,1)</f>
        <v>1</v>
      </c>
      <c r="X90" s="7">
        <f t="shared" ref="X90:X92" si="422">_xlfn.RANK.EQ(E90,$D90:$R90,1)</f>
        <v>5</v>
      </c>
      <c r="Y90" s="7">
        <f t="shared" ref="Y90:Y92" si="423">_xlfn.RANK.EQ(F90,$D90:$R90,1)</f>
        <v>2</v>
      </c>
      <c r="Z90" s="7">
        <f t="shared" ref="Z90:Z92" si="424">_xlfn.RANK.EQ(G90,$D90:$R90,1)</f>
        <v>3</v>
      </c>
      <c r="AA90" s="7">
        <f t="shared" ref="AA90:AA92" si="425">_xlfn.RANK.EQ(H90,$D90:$R90,1)</f>
        <v>8</v>
      </c>
      <c r="AB90" s="7">
        <f t="shared" ref="AB90:AB92" si="426">_xlfn.RANK.EQ(I90,$D90:$R90,1)</f>
        <v>7</v>
      </c>
      <c r="AC90" s="7">
        <f t="shared" ref="AC90:AC92" si="427">_xlfn.RANK.EQ(J90,$D90:$R90,1)</f>
        <v>9</v>
      </c>
      <c r="AD90" s="7">
        <f t="shared" ref="AD90:AD92" si="428">_xlfn.RANK.EQ(K90,$D90:$R90,1)</f>
        <v>4</v>
      </c>
      <c r="AE90" s="7">
        <f t="shared" ref="AE90:AE92" si="429">_xlfn.RANK.EQ(L90,$D90:$R90,1)</f>
        <v>6</v>
      </c>
      <c r="AF90" s="7" t="e">
        <f t="shared" ref="AF90:AF92" si="430">_xlfn.RANK.EQ(M90,$D90:$R90,1)</f>
        <v>#N/A</v>
      </c>
      <c r="AG90" s="7" t="e">
        <f t="shared" ref="AG90:AG92" si="431">_xlfn.RANK.EQ(N90,$D90:$R90,1)</f>
        <v>#N/A</v>
      </c>
      <c r="AH90" s="7" t="e">
        <f t="shared" ref="AH90:AH92" si="432">_xlfn.RANK.EQ(O90,$D90:$R90,1)</f>
        <v>#N/A</v>
      </c>
      <c r="AI90" s="7" t="e">
        <f t="shared" ref="AI90:AI92" si="433">_xlfn.RANK.EQ(P90,$D90:$R90,1)</f>
        <v>#N/A</v>
      </c>
      <c r="AJ90" s="7" t="e">
        <f t="shared" ref="AJ90:AJ92" si="434">_xlfn.RANK.EQ(Q90,$D90:$R90,1)</f>
        <v>#N/A</v>
      </c>
      <c r="AK90" s="7" t="e">
        <f t="shared" ref="AK90:AK92" si="435">_xlfn.RANK.EQ(R90,$D90:$R90,1)</f>
        <v>#N/A</v>
      </c>
    </row>
    <row r="91" x14ac:dyDescent="0.3">
      <c r="A91" s="12"/>
      <c r="B91" s="13" t="s">
        <v>1013</v>
      </c>
      <c r="C91" s="9" t="s">
        <v>1102</v>
      </c>
      <c r="D91" s="8">
        <v>0</v>
      </c>
      <c r="E91" s="8">
        <v>0.4914921602645273</v>
      </c>
      <c r="F91" s="8">
        <v>113898.22746829363</v>
      </c>
      <c r="G91" s="8">
        <v>59134.887775382835</v>
      </c>
      <c r="H91" s="8">
        <v>11169.413440701761</v>
      </c>
      <c r="I91" s="8">
        <v>23847.819182529067</v>
      </c>
      <c r="J91" s="8">
        <v>2319.9702719082197</v>
      </c>
      <c r="K91" s="8">
        <v>29245.853996632108</v>
      </c>
      <c r="L91" s="8">
        <v>20699.908304778932</v>
      </c>
      <c r="M91" s="8">
        <v>108029.80533631453</v>
      </c>
      <c r="N91" s="8"/>
      <c r="O91" s="8"/>
      <c r="P91" s="8"/>
      <c r="Q91" s="8"/>
      <c r="R91" s="8"/>
      <c r="S91" s="24"/>
      <c r="T91" s="9" t="s">
        <v>31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x14ac:dyDescent="0.3">
      <c r="A92" s="15"/>
      <c r="B92" s="16" t="s">
        <v>1013</v>
      </c>
      <c r="C92" s="5" t="s">
        <v>1103</v>
      </c>
      <c r="D92" s="6">
        <v>2.6000000000000001</v>
      </c>
      <c r="E92" s="6">
        <v>0.5697916666666667</v>
      </c>
      <c r="F92" s="6">
        <v>0.5395833333333333</v>
      </c>
      <c r="G92" s="6">
        <v>0.34895833333333331</v>
      </c>
      <c r="H92" s="6">
        <v>0.37552083333333336</v>
      </c>
      <c r="I92" s="6">
        <v>0.29635416666666664</v>
      </c>
      <c r="J92" s="6">
        <v>0.77812499999999996</v>
      </c>
      <c r="K92" s="6">
        <v>0.27604166666666669</v>
      </c>
      <c r="L92" s="6">
        <v>0.296875</v>
      </c>
      <c r="M92" s="6">
        <v>0.33177083333333335</v>
      </c>
      <c r="N92" s="6"/>
      <c r="O92" s="6"/>
      <c r="P92" s="6"/>
      <c r="Q92" s="6"/>
      <c r="R92" s="6"/>
      <c r="S92" s="24"/>
      <c r="T92" s="9" t="s">
        <v>32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="7" customFormat="true" ht="32.4" customHeight="true" x14ac:dyDescent="0.3">
      <c r="A93" s="17" t="s">
        <v>41</v>
      </c>
      <c r="B93" s="18"/>
      <c r="C93" s="18"/>
      <c r="D93" s="2">
        <f>COUNTIF(W3:W92,1)</f>
        <v>18</v>
      </c>
      <c r="E93" s="2">
        <f t="shared" ref="E93:R93" si="436">COUNTIF(X3:X92,1)</f>
        <v>0</v>
      </c>
      <c r="F93" s="2">
        <f t="shared" si="436"/>
        <v>2</v>
      </c>
      <c r="G93" s="2">
        <f t="shared" si="436"/>
        <v>0</v>
      </c>
      <c r="H93" s="2">
        <f t="shared" si="436"/>
        <v>0</v>
      </c>
      <c r="I93" s="2">
        <f t="shared" si="436"/>
        <v>3</v>
      </c>
      <c r="J93" s="2">
        <f t="shared" si="436"/>
        <v>2</v>
      </c>
      <c r="K93" s="2">
        <f t="shared" si="436"/>
        <v>3</v>
      </c>
      <c r="L93" s="2">
        <f t="shared" si="436"/>
        <v>2</v>
      </c>
      <c r="M93" s="2">
        <f t="shared" si="436"/>
        <v>0</v>
      </c>
      <c r="N93" s="2">
        <f t="shared" si="436"/>
        <v>0</v>
      </c>
      <c r="O93" s="2">
        <f t="shared" si="436"/>
        <v>0</v>
      </c>
      <c r="P93" s="2">
        <f t="shared" si="436"/>
        <v>0</v>
      </c>
      <c r="Q93" s="2">
        <f t="shared" si="436"/>
        <v>0</v>
      </c>
      <c r="R93" s="2">
        <f t="shared" si="436"/>
        <v>0</v>
      </c>
    </row>
    <row r="94" s="7" customFormat="true" ht="32.4" customHeight="true" x14ac:dyDescent="0.3">
      <c r="A94" s="12" t="s">
        <v>42</v>
      </c>
      <c r="B94" s="13"/>
      <c r="C94" s="13"/>
      <c r="D94" s="9">
        <f>_xlfn.RANK.EQ(D93,$D93:$R93,0)</f>
        <v>1</v>
      </c>
      <c r="E94" s="9">
        <f t="shared" ref="E94:R94" si="437">_xlfn.RANK.EQ(E93,$D93:$R93,0)</f>
        <v>7</v>
      </c>
      <c r="F94" s="9">
        <f t="shared" si="437"/>
        <v>4</v>
      </c>
      <c r="G94" s="9">
        <f t="shared" si="437"/>
        <v>7</v>
      </c>
      <c r="H94" s="9">
        <f t="shared" si="437"/>
        <v>7</v>
      </c>
      <c r="I94" s="9">
        <f t="shared" si="437"/>
        <v>2</v>
      </c>
      <c r="J94" s="9">
        <f t="shared" si="437"/>
        <v>4</v>
      </c>
      <c r="K94" s="9">
        <f t="shared" si="437"/>
        <v>2</v>
      </c>
      <c r="L94" s="9">
        <f t="shared" si="437"/>
        <v>4</v>
      </c>
      <c r="M94" s="9">
        <f t="shared" si="437"/>
        <v>7</v>
      </c>
      <c r="N94" s="9">
        <f t="shared" si="437"/>
        <v>7</v>
      </c>
      <c r="O94" s="9">
        <f t="shared" si="437"/>
        <v>7</v>
      </c>
      <c r="P94" s="9">
        <f t="shared" si="437"/>
        <v>7</v>
      </c>
      <c r="Q94" s="9">
        <f t="shared" si="437"/>
        <v>7</v>
      </c>
      <c r="R94" s="9">
        <f t="shared" si="437"/>
        <v>7</v>
      </c>
    </row>
    <row r="95" s="7" customFormat="true" ht="32.4" customHeight="true" x14ac:dyDescent="0.3">
      <c r="A95" s="14" t="s">
        <v>43</v>
      </c>
      <c r="B95" s="13"/>
      <c r="C95" s="13"/>
      <c r="D95" s="25">
        <f>AVERAGE(W3:W92)</f>
        <v>2.1666666666666665</v>
      </c>
      <c r="E95" s="25">
        <f t="shared" ref="E95:R95" si="438">AVERAGE(X3:X92)</f>
        <v>3.5666666666666669</v>
      </c>
      <c r="F95" s="25">
        <f t="shared" si="438"/>
        <v>4.333333333333333</v>
      </c>
      <c r="G95" s="25">
        <f t="shared" si="438"/>
        <v>5.8</v>
      </c>
      <c r="H95" s="25">
        <f t="shared" si="438"/>
        <v>8.3000000000000007</v>
      </c>
      <c r="I95" s="25">
        <f t="shared" si="438"/>
        <v>4.8</v>
      </c>
      <c r="J95" s="25">
        <f t="shared" si="438"/>
        <v>7.1</v>
      </c>
      <c r="K95" s="25">
        <f t="shared" si="438"/>
        <v>3.8666666666666667</v>
      </c>
      <c r="L95" s="25">
        <f t="shared" si="438"/>
        <v>5.0666666666666664</v>
      </c>
      <c r="M95" s="25" t="e">
        <f t="shared" si="438"/>
        <v>#N/A</v>
      </c>
      <c r="N95" s="25" t="e">
        <f t="shared" si="438"/>
        <v>#N/A</v>
      </c>
      <c r="O95" s="25" t="e">
        <f t="shared" si="438"/>
        <v>#N/A</v>
      </c>
      <c r="P95" s="25" t="e">
        <f t="shared" si="438"/>
        <v>#N/A</v>
      </c>
      <c r="Q95" s="25" t="e">
        <f t="shared" si="438"/>
        <v>#N/A</v>
      </c>
      <c r="R95" s="25" t="e">
        <f t="shared" si="438"/>
        <v>#N/A</v>
      </c>
    </row>
    <row r="96" s="7" customFormat="true" ht="32.4" customHeight="true" x14ac:dyDescent="0.3">
      <c r="A96" s="15" t="s">
        <v>44</v>
      </c>
      <c r="B96" s="16"/>
      <c r="C96" s="16"/>
      <c r="D96" s="5" t="e">
        <f>_xlfn.RANK.EQ(D95,$D95:$R95,1)</f>
        <v>#N/A</v>
      </c>
      <c r="E96" s="5" t="e">
        <f t="shared" ref="E96:R96" si="439">_xlfn.RANK.EQ(E95,$D95:$R95,1)</f>
        <v>#N/A</v>
      </c>
      <c r="F96" s="5" t="e">
        <f t="shared" si="439"/>
        <v>#N/A</v>
      </c>
      <c r="G96" s="5" t="e">
        <f t="shared" si="439"/>
        <v>#N/A</v>
      </c>
      <c r="H96" s="5" t="e">
        <f t="shared" si="439"/>
        <v>#N/A</v>
      </c>
      <c r="I96" s="5" t="e">
        <f t="shared" si="439"/>
        <v>#N/A</v>
      </c>
      <c r="J96" s="5" t="e">
        <f t="shared" si="439"/>
        <v>#N/A</v>
      </c>
      <c r="K96" s="5" t="e">
        <f t="shared" si="439"/>
        <v>#N/A</v>
      </c>
      <c r="L96" s="5" t="e">
        <f t="shared" si="439"/>
        <v>#N/A</v>
      </c>
      <c r="M96" s="5" t="e">
        <f t="shared" si="439"/>
        <v>#N/A</v>
      </c>
      <c r="N96" s="5" t="e">
        <f t="shared" si="439"/>
        <v>#N/A</v>
      </c>
      <c r="O96" s="5" t="e">
        <f t="shared" si="439"/>
        <v>#N/A</v>
      </c>
      <c r="P96" s="5" t="e">
        <f t="shared" si="439"/>
        <v>#N/A</v>
      </c>
      <c r="Q96" s="5" t="e">
        <f t="shared" si="439"/>
        <v>#N/A</v>
      </c>
      <c r="R96" s="5" t="e">
        <f t="shared" si="439"/>
        <v>#N/A</v>
      </c>
    </row>
  </sheetData>
  <mergeCells count="9">
    <mergeCell ref="A1:R1"/>
    <mergeCell ref="A94:C94"/>
    <mergeCell ref="A95:C95"/>
    <mergeCell ref="A96:C96"/>
    <mergeCell ref="A93:C93"/>
    <mergeCell ref="A69:A92"/>
    <mergeCell ref="A51:A68"/>
    <mergeCell ref="A12:A50"/>
    <mergeCell ref="A3:A11"/>
  </mergeCells>
  <phoneticPr fontId="3" type="noConversion"/>
  <conditionalFormatting sqref="D3:R3">
    <cfRule type="top10" dxfId="36" priority="30" bottom="true" rank="1"/>
  </conditionalFormatting>
  <conditionalFormatting sqref="D6:R6">
    <cfRule type="top10" dxfId="35" priority="29" bottom="true" rank="1"/>
  </conditionalFormatting>
  <conditionalFormatting sqref="D9:R9">
    <cfRule type="top10" dxfId="34" priority="28" bottom="true" rank="1"/>
  </conditionalFormatting>
  <conditionalFormatting sqref="D12:R12">
    <cfRule type="top10" dxfId="33" priority="27" bottom="true" rank="1"/>
  </conditionalFormatting>
  <conditionalFormatting sqref="D15:R15">
    <cfRule type="top10" dxfId="32" priority="26" bottom="true" rank="1"/>
  </conditionalFormatting>
  <conditionalFormatting sqref="D18:R18">
    <cfRule type="top10" dxfId="31" priority="25" bottom="true" rank="1"/>
  </conditionalFormatting>
  <conditionalFormatting sqref="D21:R21">
    <cfRule type="top10" dxfId="30" priority="24" bottom="true" rank="1"/>
  </conditionalFormatting>
  <conditionalFormatting sqref="D24:R24">
    <cfRule type="top10" dxfId="29" priority="23" bottom="true" rank="1"/>
  </conditionalFormatting>
  <conditionalFormatting sqref="D27:R27">
    <cfRule type="top10" dxfId="28" priority="22" bottom="true" rank="1"/>
  </conditionalFormatting>
  <conditionalFormatting sqref="D30:R30">
    <cfRule type="top10" dxfId="27" priority="21" bottom="true" rank="1"/>
  </conditionalFormatting>
  <conditionalFormatting sqref="D33:R33">
    <cfRule type="top10" dxfId="26" priority="20" bottom="true" rank="1"/>
  </conditionalFormatting>
  <conditionalFormatting sqref="D36:R36">
    <cfRule type="top10" dxfId="25" priority="19" bottom="true" rank="1"/>
  </conditionalFormatting>
  <conditionalFormatting sqref="D39:R39">
    <cfRule type="top10" dxfId="24" priority="18" bottom="true" rank="1"/>
  </conditionalFormatting>
  <conditionalFormatting sqref="D42:R42">
    <cfRule type="top10" dxfId="23" priority="17" bottom="true" rank="1"/>
  </conditionalFormatting>
  <conditionalFormatting sqref="D45:R45">
    <cfRule type="top10" dxfId="22" priority="16" bottom="true" rank="1"/>
  </conditionalFormatting>
  <conditionalFormatting sqref="D48:R48">
    <cfRule type="top10" dxfId="21" priority="15" bottom="true" rank="1"/>
  </conditionalFormatting>
  <conditionalFormatting sqref="D51:R51">
    <cfRule type="top10" dxfId="20" priority="14" bottom="true" rank="1"/>
  </conditionalFormatting>
  <conditionalFormatting sqref="D54:R54">
    <cfRule type="top10" dxfId="19" priority="13" bottom="true" rank="1"/>
  </conditionalFormatting>
  <conditionalFormatting sqref="D57:R57">
    <cfRule type="top10" dxfId="18" priority="12" bottom="true" rank="1"/>
  </conditionalFormatting>
  <conditionalFormatting sqref="D60:R60">
    <cfRule type="top10" dxfId="17" priority="11" bottom="true" rank="1"/>
  </conditionalFormatting>
  <conditionalFormatting sqref="D63:R63">
    <cfRule type="top10" dxfId="16" priority="10" bottom="true" rank="1"/>
  </conditionalFormatting>
  <conditionalFormatting sqref="D66:R66">
    <cfRule type="top10" dxfId="15" priority="9" bottom="true" rank="1"/>
  </conditionalFormatting>
  <conditionalFormatting sqref="D69:R69">
    <cfRule type="top10" dxfId="14" priority="8" bottom="true" rank="1"/>
  </conditionalFormatting>
  <conditionalFormatting sqref="D72:R72">
    <cfRule type="top10" dxfId="13" priority="7" bottom="true" rank="1"/>
  </conditionalFormatting>
  <conditionalFormatting sqref="D75:R75">
    <cfRule type="top10" dxfId="12" priority="6" bottom="true" rank="1"/>
  </conditionalFormatting>
  <conditionalFormatting sqref="D78:R78">
    <cfRule type="top10" dxfId="11" priority="5" bottom="true" rank="1"/>
  </conditionalFormatting>
  <conditionalFormatting sqref="D81:R81">
    <cfRule type="top10" dxfId="10" priority="4" bottom="true" rank="1"/>
  </conditionalFormatting>
  <conditionalFormatting sqref="D84:R84">
    <cfRule type="top10" dxfId="9" priority="3" bottom="true" rank="1"/>
  </conditionalFormatting>
  <conditionalFormatting sqref="D87:R87">
    <cfRule type="top10" dxfId="8" priority="2" bottom="true" rank="1"/>
  </conditionalFormatting>
  <conditionalFormatting sqref="D90:R90">
    <cfRule type="top10" dxfId="7" priority="1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32"/>
  <sheetViews>
    <sheetView workbookViewId="0">
      <selection activeCell="A2" sqref="A2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8" max="8" width="11.48828125" bestFit="true" customWidth="true"/>
    <col min="9" max="9" width="11.6015625" bestFit="true" customWidth="true"/>
    <col min="10" max="10" width="15.37890625" bestFit="true" customWidth="true"/>
    <col min="11" max="11" width="13.33203125" bestFit="true" customWidth="true"/>
  </cols>
  <sheetData>
    <row r="1" ht="15" thickBot="true" x14ac:dyDescent="0.35">
      <c r="A1" s="19" t="s">
        <v>316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x14ac:dyDescent="0.3">
      <c r="A2" s="5" t="s">
        <v>1110</v>
      </c>
      <c r="B2" s="5" t="s">
        <v>1141</v>
      </c>
      <c r="C2" s="5" t="s">
        <v>1142</v>
      </c>
      <c r="D2" s="5" t="s">
        <v>1143</v>
      </c>
      <c r="E2" s="5" t="s">
        <v>1144</v>
      </c>
      <c r="F2" s="5" t="s">
        <v>1145</v>
      </c>
      <c r="G2" s="5" t="s">
        <v>820</v>
      </c>
      <c r="H2" s="5" t="s">
        <v>821</v>
      </c>
      <c r="I2" s="5" t="s">
        <v>822</v>
      </c>
      <c r="J2" s="5" t="s">
        <v>489</v>
      </c>
      <c r="K2" s="5"/>
      <c r="L2" s="5"/>
      <c r="M2" s="5"/>
      <c r="N2" s="5"/>
      <c r="O2" s="5"/>
    </row>
    <row r="3" x14ac:dyDescent="0.3">
      <c r="A3" s="20" t="s">
        <v>1111</v>
      </c>
      <c r="B3" s="3">
        <v>5.0857608930438915e-15</v>
      </c>
      <c r="C3" s="3">
        <v>1.9933789232334363e-11</v>
      </c>
      <c r="D3" s="3">
        <v>7.9380675690819503e-10</v>
      </c>
      <c r="E3" s="3">
        <v>8.0249247362831177e-09</v>
      </c>
      <c r="F3" s="3">
        <v>2.062087509726507e-07</v>
      </c>
      <c r="G3" s="3">
        <v>6.2121292910094122e-30</v>
      </c>
      <c r="H3" s="3">
        <v>4.4785581044956159e-30</v>
      </c>
      <c r="I3" s="3">
        <v>8.5175490911777394e-30</v>
      </c>
      <c r="J3" s="3">
        <v>2.44342255030406e-07</v>
      </c>
      <c r="K3" s="3">
        <v>3.8788897647323626E-15</v>
      </c>
      <c r="L3" s="3">
        <v>4.4531549238517583E-20</v>
      </c>
      <c r="M3" s="3">
        <v>1.7744523562762352E-8</v>
      </c>
      <c r="N3" s="3"/>
      <c r="O3" s="20"/>
    </row>
    <row r="4" x14ac:dyDescent="0.3">
      <c r="A4" s="26" t="s">
        <v>1112</v>
      </c>
      <c r="B4" s="8">
        <v>8.8225227427135365e-23</v>
      </c>
      <c r="C4" s="8">
        <v>1.9593254789611303e-13</v>
      </c>
      <c r="D4" s="8">
        <v>4.8561463796447375e-07</v>
      </c>
      <c r="E4" s="8">
        <v>6.8097167691802863e-05</v>
      </c>
      <c r="F4" s="8">
        <v>1.041966989044936e-12</v>
      </c>
      <c r="G4" s="8">
        <v>1.3729979100278962e-54</v>
      </c>
      <c r="H4" s="8">
        <v>1.481683724337463e-54</v>
      </c>
      <c r="I4" s="8">
        <v>1.3285988477488573e-54</v>
      </c>
      <c r="J4" s="8">
        <v>2.8432427293258082e-07</v>
      </c>
      <c r="K4" s="8">
        <v>1.3445054596856235E-3</v>
      </c>
      <c r="L4" s="8">
        <v>1.2316383268326502E-20</v>
      </c>
      <c r="M4" s="8">
        <v>1.9222603248685456E-17</v>
      </c>
      <c r="N4" s="8"/>
      <c r="O4" s="26"/>
    </row>
    <row r="5" x14ac:dyDescent="0.3">
      <c r="A5" s="26" t="s">
        <v>1113</v>
      </c>
      <c r="B5" s="8">
        <v>3.1342314790245993e-31</v>
      </c>
      <c r="C5" s="8">
        <v>1.305399628533103e-24</v>
      </c>
      <c r="D5" s="8">
        <v>2.1336168840451671e-19</v>
      </c>
      <c r="E5" s="8">
        <v>9.5355895814868343e-09</v>
      </c>
      <c r="F5" s="8">
        <v>0.0053218721102071716</v>
      </c>
      <c r="G5" s="8">
        <v>2.5952174616486076e-08</v>
      </c>
      <c r="H5" s="8">
        <v>6.8815243930099307e-09</v>
      </c>
      <c r="I5" s="8">
        <v>1.9225185647477287e-06</v>
      </c>
      <c r="J5" s="8">
        <v>4.1384304182781055e-18</v>
      </c>
      <c r="K5" s="8">
        <v>4.395770834590731E-19</v>
      </c>
      <c r="L5" s="8">
        <v>1.8182193794959871E-31</v>
      </c>
      <c r="M5" s="8">
        <v>5.0552549025417455E-4</v>
      </c>
      <c r="N5" s="8"/>
      <c r="O5" s="26"/>
    </row>
    <row r="6" x14ac:dyDescent="0.3">
      <c r="A6" s="26" t="s">
        <v>1114</v>
      </c>
      <c r="B6" s="8">
        <v>1.231128553508964e-12</v>
      </c>
      <c r="C6" s="8">
        <v>1.7587669013979219e-07</v>
      </c>
      <c r="D6" s="8">
        <v>1.7014326845417924e-08</v>
      </c>
      <c r="E6" s="8">
        <v>1.5477030319250586e-09</v>
      </c>
      <c r="F6" s="8">
        <v>9.0380909289445307e-09</v>
      </c>
      <c r="G6" s="8">
        <v>3.1204979529419056e-48</v>
      </c>
      <c r="H6" s="8">
        <v>2.9737140334198692e-48</v>
      </c>
      <c r="I6" s="8">
        <v>3.5615834584703261e-48</v>
      </c>
      <c r="J6" s="8">
        <v>1.0825151313666773e-19</v>
      </c>
      <c r="K6" s="8">
        <v>1.7571679090301197E-15</v>
      </c>
      <c r="L6" s="8">
        <v>1.7048349282726479E-15</v>
      </c>
      <c r="M6" s="8">
        <v>2.1680674008899919E-15</v>
      </c>
      <c r="N6" s="8"/>
      <c r="O6" s="26"/>
    </row>
    <row r="7" x14ac:dyDescent="0.3">
      <c r="A7" s="26" t="s">
        <v>1115</v>
      </c>
      <c r="B7" s="8">
        <v>9.8239110068572288e-13</v>
      </c>
      <c r="C7" s="8">
        <v>1.2709743919680325e-08</v>
      </c>
      <c r="D7" s="8">
        <v>9.6979210457498141e-16</v>
      </c>
      <c r="E7" s="8">
        <v>9.2944187268080687e-14</v>
      </c>
      <c r="F7" s="8">
        <v>0.8580807068843761</v>
      </c>
      <c r="G7" s="8">
        <v>2.284866584620938e-19</v>
      </c>
      <c r="H7" s="8">
        <v>9.0891048185759563e-17</v>
      </c>
      <c r="I7" s="8">
        <v>7.4184988688765197e-30</v>
      </c>
      <c r="J7" s="8">
        <v>1.733387681446864e-41</v>
      </c>
      <c r="K7" s="8">
        <v>5.1414121756956325E-4</v>
      </c>
      <c r="L7" s="8">
        <v>3.3173021190142298E-30</v>
      </c>
      <c r="M7" s="8">
        <v>2.4144502774396598E-26</v>
      </c>
      <c r="N7" s="8"/>
      <c r="O7" s="26"/>
    </row>
    <row r="8" x14ac:dyDescent="0.3">
      <c r="A8" s="26" t="s">
        <v>1116</v>
      </c>
      <c r="B8" s="8">
        <v>5.0735403286630684e-13</v>
      </c>
      <c r="C8" s="8">
        <v>1.1771192670570113e-07</v>
      </c>
      <c r="D8" s="8">
        <v>5.2458893483962121e-11</v>
      </c>
      <c r="E8" s="8">
        <v>2.4004135369292742e-13</v>
      </c>
      <c r="F8" s="8">
        <v>3.1381587284060374e-08</v>
      </c>
      <c r="G8" s="8">
        <v>1.4585992256285238e-25</v>
      </c>
      <c r="H8" s="8">
        <v>6.0859531353941195e-33</v>
      </c>
      <c r="I8" s="8">
        <v>6.5536840062592218e-33</v>
      </c>
      <c r="J8" s="8">
        <v>2.7685642704404769e-07</v>
      </c>
      <c r="K8" s="8">
        <v>3.4728357163354887E-2</v>
      </c>
      <c r="L8" s="8">
        <v>4.5822966582634871E-14</v>
      </c>
      <c r="M8" s="8">
        <v>3.4483057378966171E-9</v>
      </c>
      <c r="N8" s="8"/>
      <c r="O8" s="26"/>
    </row>
    <row r="9" x14ac:dyDescent="0.3">
      <c r="A9" s="26" t="s">
        <v>1117</v>
      </c>
      <c r="B9" s="8">
        <v>1.7366115465474872e-21</v>
      </c>
      <c r="C9" s="8">
        <v>2.4207588922018292e-15</v>
      </c>
      <c r="D9" s="8">
        <v>3.0284944905669939e-08</v>
      </c>
      <c r="E9" s="8">
        <v>5.5642673563266688e-09</v>
      </c>
      <c r="F9" s="8">
        <v>2.7024532305095949e-14</v>
      </c>
      <c r="G9" s="8">
        <v>6.073516119833506e-43</v>
      </c>
      <c r="H9" s="8">
        <v>5.6050187325547317e-43</v>
      </c>
      <c r="I9" s="8">
        <v>6.1280123925990823e-43</v>
      </c>
      <c r="J9" s="8">
        <v>3.6748331567016719e-06</v>
      </c>
      <c r="K9" s="8">
        <v>0.10548617542492122</v>
      </c>
      <c r="L9" s="8">
        <v>2.2157764586416221E-18</v>
      </c>
      <c r="M9" s="8">
        <v>3.6616040642526022E-20</v>
      </c>
      <c r="N9" s="8"/>
      <c r="O9" s="26"/>
    </row>
    <row r="10" x14ac:dyDescent="0.3">
      <c r="A10" s="26" t="s">
        <v>1118</v>
      </c>
      <c r="B10" s="8">
        <v>1.5021901491450134e-21</v>
      </c>
      <c r="C10" s="8">
        <v>0.00029245824388725896</v>
      </c>
      <c r="D10" s="8">
        <v>0.00035690909209575749</v>
      </c>
      <c r="E10" s="8">
        <v>4.178068784718883e-15</v>
      </c>
      <c r="F10" s="8">
        <v>2.0483989588512527e-21</v>
      </c>
      <c r="G10" s="8">
        <v>3.5717236909200563e-27</v>
      </c>
      <c r="H10" s="8">
        <v>4.9813194253288085e-25</v>
      </c>
      <c r="I10" s="8">
        <v>3.7721668211223897e-36</v>
      </c>
      <c r="J10" s="8">
        <v>0.0067566454211083534</v>
      </c>
      <c r="K10" s="8">
        <v>7.4086516329112249E-7</v>
      </c>
      <c r="L10" s="8">
        <v>2.2725921773297934E-19</v>
      </c>
      <c r="M10" s="8">
        <v>2.6755685964330572E-16</v>
      </c>
      <c r="N10" s="8"/>
      <c r="O10" s="26"/>
    </row>
    <row r="11" x14ac:dyDescent="0.3">
      <c r="A11" s="26" t="s">
        <v>1119</v>
      </c>
      <c r="B11" s="8">
        <v>9.2718043990864851e-18</v>
      </c>
      <c r="C11" s="8">
        <v>4.8256559062855612e-06</v>
      </c>
      <c r="D11" s="8">
        <v>1.6699876790267359e-06</v>
      </c>
      <c r="E11" s="8">
        <v>5.8674740175968967e-06</v>
      </c>
      <c r="F11" s="8">
        <v>1.7327074632275459e-06</v>
      </c>
      <c r="G11" s="8">
        <v>5.9379365265403824e-24</v>
      </c>
      <c r="H11" s="8">
        <v>1.3068768389738568e-27</v>
      </c>
      <c r="I11" s="8">
        <v>3.7862655241501723e-29</v>
      </c>
      <c r="J11" s="8">
        <v>0.002694057281301131</v>
      </c>
      <c r="K11" s="8">
        <v>0.7924785251120301</v>
      </c>
      <c r="L11" s="8">
        <v>6.0637661409882452E-12</v>
      </c>
      <c r="M11" s="8">
        <v>2.6066563710994564E-3</v>
      </c>
      <c r="N11" s="8"/>
      <c r="O11" s="26"/>
    </row>
    <row r="12" x14ac:dyDescent="0.3">
      <c r="A12" s="26" t="s">
        <v>1120</v>
      </c>
      <c r="B12" s="8">
        <v>6.9072440126954089e-20</v>
      </c>
      <c r="C12" s="8">
        <v>0.0040683536345817129</v>
      </c>
      <c r="D12" s="8">
        <v>0.059809733049553192</v>
      </c>
      <c r="E12" s="8">
        <v>0.011775268167372998</v>
      </c>
      <c r="F12" s="8">
        <v>6.1413145734059836e-20</v>
      </c>
      <c r="G12" s="8">
        <v>2.072809882184272e-28</v>
      </c>
      <c r="H12" s="8">
        <v>2.0750613516320952e-19</v>
      </c>
      <c r="I12" s="8">
        <v>1.6422900295622713e-38</v>
      </c>
      <c r="J12" s="8">
        <v>1.1119526480883121e-07</v>
      </c>
      <c r="K12" s="8">
        <v>5.5211052933878681E-11</v>
      </c>
      <c r="L12" s="8">
        <v>5.0407922484038592E-23</v>
      </c>
      <c r="M12" s="8">
        <v>3.2127856568678705E-20</v>
      </c>
      <c r="N12" s="8"/>
      <c r="O12" s="26"/>
    </row>
    <row r="13" x14ac:dyDescent="0.3">
      <c r="A13" s="26" t="s">
        <v>1121</v>
      </c>
      <c r="B13" s="8">
        <v>2.0876291506191209e-18</v>
      </c>
      <c r="C13" s="8">
        <v>0.044135401857135173</v>
      </c>
      <c r="D13" s="8">
        <v>0.2501527266441852</v>
      </c>
      <c r="E13" s="8">
        <v>1.5127290518533786e-07</v>
      </c>
      <c r="F13" s="8">
        <v>2.3672349434773854e-06</v>
      </c>
      <c r="G13" s="8">
        <v>1.204172112331245e-24</v>
      </c>
      <c r="H13" s="8">
        <v>5.0876370886429204e-18</v>
      </c>
      <c r="I13" s="8">
        <v>3.2537204732795046e-28</v>
      </c>
      <c r="J13" s="8">
        <v>0.0060617535354768794</v>
      </c>
      <c r="K13" s="8">
        <v>0.24423061713957606</v>
      </c>
      <c r="L13" s="8">
        <v>4.5031520898405738E-19</v>
      </c>
      <c r="M13" s="8">
        <v>3.853956464569834E-2</v>
      </c>
      <c r="N13" s="8"/>
      <c r="O13" s="26"/>
    </row>
    <row r="14" x14ac:dyDescent="0.3">
      <c r="A14" s="26" t="s">
        <v>1122</v>
      </c>
      <c r="B14" s="8">
        <v>1.4465006124163004e-13</v>
      </c>
      <c r="C14" s="8">
        <v>3.2273220707042031e-06</v>
      </c>
      <c r="D14" s="8">
        <v>2.0154498411849395e-13</v>
      </c>
      <c r="E14" s="8">
        <v>6.8312351110455406e-11</v>
      </c>
      <c r="F14" s="8">
        <v>2.3005035067974146e-12</v>
      </c>
      <c r="G14" s="8">
        <v>2.1737337652069503e-26</v>
      </c>
      <c r="H14" s="8">
        <v>4.2724413612163868e-18</v>
      </c>
      <c r="I14" s="8">
        <v>3.0381092668792871e-25</v>
      </c>
      <c r="J14" s="8">
        <v>1.8540717173585874e-18</v>
      </c>
      <c r="K14" s="8">
        <v>7.5909628233701728E-7</v>
      </c>
      <c r="L14" s="8">
        <v>1.365376824940182E-15</v>
      </c>
      <c r="M14" s="8">
        <v>4.8870654935951217E-13</v>
      </c>
      <c r="N14" s="8"/>
      <c r="O14" s="26"/>
    </row>
    <row r="15" x14ac:dyDescent="0.3">
      <c r="A15" s="26" t="s">
        <v>1123</v>
      </c>
      <c r="B15" s="8">
        <v>2.0367837404047754e-24</v>
      </c>
      <c r="C15" s="8">
        <v>0.27629037793032307</v>
      </c>
      <c r="D15" s="8">
        <v>0.033240731711071253</v>
      </c>
      <c r="E15" s="8">
        <v>0.29811175288911995</v>
      </c>
      <c r="F15" s="8">
        <v>9.1238916146767087e-10</v>
      </c>
      <c r="G15" s="8">
        <v>2.0443028403233943e-53</v>
      </c>
      <c r="H15" s="8">
        <v>3.6939013208756321e-54</v>
      </c>
      <c r="I15" s="8">
        <v>5.019262711762109e-51</v>
      </c>
      <c r="J15" s="8">
        <v>0.010425095079697924</v>
      </c>
      <c r="K15" s="8">
        <v>0.49997667755216835</v>
      </c>
      <c r="L15" s="8">
        <v>4.4218164712139574E-25</v>
      </c>
      <c r="M15" s="8">
        <v>9.7925916611139723E-8</v>
      </c>
      <c r="N15" s="8"/>
      <c r="O15" s="26"/>
    </row>
    <row r="16" x14ac:dyDescent="0.3">
      <c r="A16" s="26" t="s">
        <v>1124</v>
      </c>
      <c r="B16" s="8">
        <v>6.1862851260753934e-28</v>
      </c>
      <c r="C16" s="8">
        <v>0.095099144847147113</v>
      </c>
      <c r="D16" s="8">
        <v>4.0022895393155945e-05</v>
      </c>
      <c r="E16" s="8">
        <v>0.0095841170414110201</v>
      </c>
      <c r="F16" s="8">
        <v>6.7077037887780725e-07</v>
      </c>
      <c r="G16" s="8">
        <v>2.3096546252167249e-32</v>
      </c>
      <c r="H16" s="8">
        <v>2.3459319304066476e-32</v>
      </c>
      <c r="I16" s="8">
        <v>2.2535757559416374e-32</v>
      </c>
      <c r="J16" s="8">
        <v>0.0018272271562636325</v>
      </c>
      <c r="K16" s="8">
        <v>0.60041911120127034</v>
      </c>
      <c r="L16" s="8">
        <v>3.9221768397657421E-22</v>
      </c>
      <c r="M16" s="8">
        <v>0.24968402246933408</v>
      </c>
      <c r="N16" s="8"/>
      <c r="O16" s="26"/>
    </row>
    <row r="17" x14ac:dyDescent="0.3">
      <c r="A17" s="26" t="s">
        <v>1125</v>
      </c>
      <c r="B17" s="8">
        <v>5.3459749311449536e-10</v>
      </c>
      <c r="C17" s="8">
        <v>6.2128094595440837e-06</v>
      </c>
      <c r="D17" s="8">
        <v>0.0079538645470555568</v>
      </c>
      <c r="E17" s="8">
        <v>7.3005109565814114e-08</v>
      </c>
      <c r="F17" s="8">
        <v>0.13532286607901911</v>
      </c>
      <c r="G17" s="8">
        <v>1.5187204667194609e-16</v>
      </c>
      <c r="H17" s="8">
        <v>1.5178053862245867e-16</v>
      </c>
      <c r="I17" s="8">
        <v>1.5182360339405744e-16</v>
      </c>
      <c r="J17" s="8">
        <v>0.072480501692028798</v>
      </c>
      <c r="K17" s="8">
        <v>2.9252582954901337E-9</v>
      </c>
      <c r="L17" s="8">
        <v>4.1168972046837465E-9</v>
      </c>
      <c r="M17" s="8">
        <v>0.94730752811971264</v>
      </c>
      <c r="N17" s="8"/>
      <c r="O17" s="26"/>
    </row>
    <row r="18" x14ac:dyDescent="0.3">
      <c r="A18" s="26" t="s">
        <v>1126</v>
      </c>
      <c r="B18" s="8">
        <v>1.3140433111126739e-13</v>
      </c>
      <c r="C18" s="8">
        <v>0.2702524536879658</v>
      </c>
      <c r="D18" s="8">
        <v>0.032001185836325816</v>
      </c>
      <c r="E18" s="8">
        <v>0.01251258877539947</v>
      </c>
      <c r="F18" s="8">
        <v>7.7323566971789156e-10</v>
      </c>
      <c r="G18" s="8">
        <v>5.7729858504648002e-18</v>
      </c>
      <c r="H18" s="8">
        <v>6.2944410354337083e-22</v>
      </c>
      <c r="I18" s="8">
        <v>6.2138165316503311e-23</v>
      </c>
      <c r="J18" s="8">
        <v>1.3749387977979116e-08</v>
      </c>
      <c r="K18" s="8">
        <v>2.5698323491034846E-4</v>
      </c>
      <c r="L18" s="8">
        <v>1.7907949454837801E-10</v>
      </c>
      <c r="M18" s="8">
        <v>1.0319282999566805E-2</v>
      </c>
      <c r="N18" s="8"/>
      <c r="O18" s="26"/>
    </row>
    <row r="19" x14ac:dyDescent="0.3">
      <c r="A19" s="26" t="s">
        <v>1127</v>
      </c>
      <c r="B19" s="8">
        <v>2.862846725170212e-08</v>
      </c>
      <c r="C19" s="8">
        <v>4.5029092744064011e-08</v>
      </c>
      <c r="D19" s="8">
        <v>3.8650161244309603e-05</v>
      </c>
      <c r="E19" s="8">
        <v>0.00016154126069727951</v>
      </c>
      <c r="F19" s="8">
        <v>1.6412342964703548e-06</v>
      </c>
      <c r="G19" s="8">
        <v>3.1430542461751015e-16</v>
      </c>
      <c r="H19" s="8">
        <v>2.8389237501817894e-16</v>
      </c>
      <c r="I19" s="8">
        <v>7.323218011042049e-16</v>
      </c>
      <c r="J19" s="8">
        <v>1.7568754342538277e-09</v>
      </c>
      <c r="K19" s="8">
        <v>2.5457593689768903E-7</v>
      </c>
      <c r="L19" s="8">
        <v>3.6564026365043585E-11</v>
      </c>
      <c r="M19" s="8">
        <v>1.620962152170987E-9</v>
      </c>
      <c r="N19" s="8"/>
      <c r="O19" s="26"/>
    </row>
    <row r="20" x14ac:dyDescent="0.3">
      <c r="A20" s="26" t="s">
        <v>1128</v>
      </c>
      <c r="B20" s="8">
        <v>8.9464927940691359e-09</v>
      </c>
      <c r="C20" s="8">
        <v>2.4211027178525107e-07</v>
      </c>
      <c r="D20" s="8">
        <v>0.0022781777344285763</v>
      </c>
      <c r="E20" s="8">
        <v>0.12948822542941485</v>
      </c>
      <c r="F20" s="8">
        <v>3.3764955768078598e-08</v>
      </c>
      <c r="G20" s="8">
        <v>2.3390707866397868e-42</v>
      </c>
      <c r="H20" s="8">
        <v>2.3390835206808072e-42</v>
      </c>
      <c r="I20" s="8">
        <v>2.2670496305597968e-42</v>
      </c>
      <c r="J20" s="8">
        <v>0.0077309746967312689</v>
      </c>
      <c r="K20" s="8">
        <v>2.7481594148869811E-3</v>
      </c>
      <c r="L20" s="8">
        <v>5.0980289963529212E-6</v>
      </c>
      <c r="M20" s="8">
        <v>1.9722343706105525E-9</v>
      </c>
      <c r="N20" s="8"/>
      <c r="O20" s="26"/>
    </row>
    <row r="21" x14ac:dyDescent="0.3">
      <c r="A21" s="26" t="s">
        <v>1129</v>
      </c>
      <c r="B21" s="8">
        <v>2.2088375865324127e-15</v>
      </c>
      <c r="C21" s="8">
        <v>0.60196664289442015</v>
      </c>
      <c r="D21" s="8">
        <v>6.3131439880104427e-06</v>
      </c>
      <c r="E21" s="8">
        <v>0.088708403643036102</v>
      </c>
      <c r="F21" s="8">
        <v>3.0247168739634126e-05</v>
      </c>
      <c r="G21" s="8">
        <v>7.9184138984656411e-29</v>
      </c>
      <c r="H21" s="8">
        <v>6.4724056115143959e-29</v>
      </c>
      <c r="I21" s="8">
        <v>3.2181562723074962e-26</v>
      </c>
      <c r="J21" s="8">
        <v>2.7219162051226044e-08</v>
      </c>
      <c r="K21" s="8">
        <v>0.69374299043728493</v>
      </c>
      <c r="L21" s="8">
        <v>1.7022345976999172E-17</v>
      </c>
      <c r="M21" s="8">
        <v>4.068178145328782E-5</v>
      </c>
      <c r="N21" s="8"/>
      <c r="O21" s="26"/>
    </row>
    <row r="22" x14ac:dyDescent="0.3">
      <c r="A22" s="26" t="s">
        <v>1130</v>
      </c>
      <c r="B22" s="8">
        <v>1.8988488519200706e-07</v>
      </c>
      <c r="C22" s="8">
        <v>2.6656047244189712e-12</v>
      </c>
      <c r="D22" s="8">
        <v>5.6000665224768888e-09</v>
      </c>
      <c r="E22" s="8">
        <v>5.6628391172658837e-08</v>
      </c>
      <c r="F22" s="8">
        <v>1.2968734123733733e-10</v>
      </c>
      <c r="G22" s="8">
        <v>4.718044208078635e-06</v>
      </c>
      <c r="H22" s="8">
        <v>4.71304642915379e-06</v>
      </c>
      <c r="I22" s="8">
        <v>4.7189866267585676e-06</v>
      </c>
      <c r="J22" s="8">
        <v>1.1444417876866746e-09</v>
      </c>
      <c r="K22" s="8">
        <v>7.9073359480485383E-8</v>
      </c>
      <c r="L22" s="8">
        <v>2.2506110796062755E-9</v>
      </c>
      <c r="M22" s="8">
        <v>5.2775601057148673E-9</v>
      </c>
      <c r="N22" s="8"/>
      <c r="O22" s="26"/>
    </row>
    <row r="23" x14ac:dyDescent="0.3">
      <c r="A23" s="26" t="s">
        <v>1131</v>
      </c>
      <c r="B23" s="8">
        <v>9.6446261658768737e-09</v>
      </c>
      <c r="C23" s="8">
        <v>0.00040309014889542625</v>
      </c>
      <c r="D23" s="8">
        <v>0.0046586504615386331</v>
      </c>
      <c r="E23" s="8">
        <v>0.00011035659780487415</v>
      </c>
      <c r="F23" s="8">
        <v>1.4169062014487863e-07</v>
      </c>
      <c r="G23" s="8">
        <v>5.6436188955588235e-09</v>
      </c>
      <c r="H23" s="8">
        <v>5.5744575681221775e-09</v>
      </c>
      <c r="I23" s="8">
        <v>6.8694433661203522e-09</v>
      </c>
      <c r="J23" s="8">
        <v>0.002173051811440094</v>
      </c>
      <c r="K23" s="8">
        <v>1.0033605744102065E-7</v>
      </c>
      <c r="L23" s="8">
        <v>8.7371762892944124E-6</v>
      </c>
      <c r="M23" s="8">
        <v>5.7289558438358969E-8</v>
      </c>
      <c r="N23" s="8"/>
      <c r="O23" s="26"/>
    </row>
    <row r="24" x14ac:dyDescent="0.3">
      <c r="A24" s="26" t="s">
        <v>1132</v>
      </c>
      <c r="B24" s="8">
        <v>6.2156232434384554e-07</v>
      </c>
      <c r="C24" s="8">
        <v>4.1625533933850795e-05</v>
      </c>
      <c r="D24" s="8">
        <v>0.012548435489961362</v>
      </c>
      <c r="E24" s="8">
        <v>0.00097812808845413853</v>
      </c>
      <c r="F24" s="8">
        <v>0.016648296349086107</v>
      </c>
      <c r="G24" s="8">
        <v>2.3019473501469488e-07</v>
      </c>
      <c r="H24" s="8">
        <v>2.2915639173226639e-07</v>
      </c>
      <c r="I24" s="8">
        <v>2.2993104552580997e-07</v>
      </c>
      <c r="J24" s="8">
        <v>0.017544514401889019</v>
      </c>
      <c r="K24" s="8">
        <v>0.61500336391859323</v>
      </c>
      <c r="L24" s="8">
        <v>2.4141193344408903E-6</v>
      </c>
      <c r="M24" s="8">
        <v>2.7837859300412138E-5</v>
      </c>
      <c r="N24" s="8"/>
      <c r="O24" s="26"/>
    </row>
    <row r="25" x14ac:dyDescent="0.3">
      <c r="A25" s="26" t="s">
        <v>1133</v>
      </c>
      <c r="B25" s="8">
        <v>0.00038096273086577772</v>
      </c>
      <c r="C25" s="8"/>
      <c r="D25" s="8">
        <v>1.6576060067473863e-29</v>
      </c>
      <c r="E25" s="8">
        <v>1.6101140927807222e-60</v>
      </c>
      <c r="F25" s="8">
        <v>1.6913720572416158e-21</v>
      </c>
      <c r="G25" s="8">
        <v>1.3429400251170223e-53</v>
      </c>
      <c r="H25" s="8">
        <v>1.065819542688647e-50</v>
      </c>
      <c r="I25" s="8">
        <v>1.0283694663656164e-21</v>
      </c>
      <c r="J25" s="8">
        <v>1.3906946614892825e-27</v>
      </c>
      <c r="K25" s="8">
        <v>2.9362028030407876E-14</v>
      </c>
      <c r="L25" s="8">
        <v>1.4065974981541061E-208</v>
      </c>
      <c r="M25" s="8">
        <v>9.8100903574376575E-5</v>
      </c>
      <c r="N25" s="8"/>
      <c r="O25" s="26"/>
    </row>
    <row r="26" x14ac:dyDescent="0.3">
      <c r="A26" s="26" t="s">
        <v>1134</v>
      </c>
      <c r="B26" s="8">
        <v>3.7595344695061438e-10</v>
      </c>
      <c r="C26" s="8">
        <v>0.031194668947471256</v>
      </c>
      <c r="D26" s="8">
        <v>1.3120784595252514e-13</v>
      </c>
      <c r="E26" s="8">
        <v>1.5968869699944517e-26</v>
      </c>
      <c r="F26" s="8">
        <v>4.3739503000763927e-27</v>
      </c>
      <c r="G26" s="8">
        <v>1.0021322834795882e-17</v>
      </c>
      <c r="H26" s="8">
        <v>7.4350369449133047e-24</v>
      </c>
      <c r="I26" s="8">
        <v>2.6779769779352081e-26</v>
      </c>
      <c r="J26" s="8">
        <v>8.0434018339123637e-13</v>
      </c>
      <c r="K26" s="8">
        <v>0.77004989991054418</v>
      </c>
      <c r="L26" s="8">
        <v>2.5352711239468076E-26</v>
      </c>
      <c r="M26" s="8">
        <v>0.16982654786223206</v>
      </c>
      <c r="N26" s="8"/>
      <c r="O26" s="26"/>
    </row>
    <row r="27" x14ac:dyDescent="0.3">
      <c r="A27" s="26" t="s">
        <v>1135</v>
      </c>
      <c r="B27" s="8">
        <v>1.6910047308699409e-06</v>
      </c>
      <c r="C27" s="8"/>
      <c r="D27" s="8">
        <v>4.3100571915061408e-09</v>
      </c>
      <c r="E27" s="8">
        <v>1.3291773411769424e-18</v>
      </c>
      <c r="F27" s="8">
        <v>3.7935023358372005e-16</v>
      </c>
      <c r="G27" s="8">
        <v>1.685704303800754e-20</v>
      </c>
      <c r="H27" s="8">
        <v>1.1411079253135022e-18</v>
      </c>
      <c r="I27" s="8">
        <v>5.4671979972292094e-19</v>
      </c>
      <c r="J27" s="8">
        <v>1.1613237451755258e-10</v>
      </c>
      <c r="K27" s="8">
        <v>8.7531065556621369E-7</v>
      </c>
      <c r="L27" s="8">
        <v>2.1985057615142784E-6</v>
      </c>
      <c r="M27" s="8">
        <v>1.9020660973272765E-5</v>
      </c>
      <c r="N27" s="8"/>
      <c r="O27" s="26"/>
    </row>
    <row r="28" x14ac:dyDescent="0.3">
      <c r="A28" s="26" t="s">
        <v>1136</v>
      </c>
      <c r="B28" s="8">
        <v>0.019866537430425494</v>
      </c>
      <c r="C28" s="8">
        <v>1.4785210797885379e-06</v>
      </c>
      <c r="D28" s="8">
        <v>6.5771870209783055e-08</v>
      </c>
      <c r="E28" s="8">
        <v>0.10347625446005966</v>
      </c>
      <c r="F28" s="8">
        <v>0.0096345338540183029</v>
      </c>
      <c r="G28" s="8">
        <v>0.80086840921095159</v>
      </c>
      <c r="H28" s="8">
        <v>4.0481990323376473e-05</v>
      </c>
      <c r="I28" s="8">
        <v>0.55687660179379472</v>
      </c>
      <c r="J28" s="8">
        <v>0.2589410011670995</v>
      </c>
      <c r="K28" s="8">
        <v>0.10607128679730893</v>
      </c>
      <c r="L28" s="8">
        <v>0.54901119186394554</v>
      </c>
      <c r="M28" s="8">
        <v>0.90288753924802789</v>
      </c>
      <c r="N28" s="8"/>
      <c r="O28" s="26"/>
    </row>
    <row r="29" x14ac:dyDescent="0.3">
      <c r="A29" s="26" t="s">
        <v>1137</v>
      </c>
      <c r="B29" s="8">
        <v>0.00050021972980053846</v>
      </c>
      <c r="C29" s="8"/>
      <c r="D29" s="8">
        <v>3.2508118968949068e-14</v>
      </c>
      <c r="E29" s="8">
        <v>1.2577438248992734e-13</v>
      </c>
      <c r="F29" s="8">
        <v>9.9947024988919325e-16</v>
      </c>
      <c r="G29" s="8">
        <v>1.5608892750994458e-05</v>
      </c>
      <c r="H29" s="8">
        <v>8.4347830618277682e-09</v>
      </c>
      <c r="I29" s="8">
        <v>1.1282370276159757e-07</v>
      </c>
      <c r="J29" s="8">
        <v>1.3415219912340566e-17</v>
      </c>
      <c r="K29" s="8">
        <v>0.60886111551624245</v>
      </c>
      <c r="L29" s="8">
        <v>1.9300592280810346E-16</v>
      </c>
      <c r="M29" s="8">
        <v>2.0990513049838314E-3</v>
      </c>
      <c r="N29" s="8"/>
      <c r="O29" s="26"/>
    </row>
    <row r="30" x14ac:dyDescent="0.3">
      <c r="A30" s="26" t="s">
        <v>1138</v>
      </c>
      <c r="B30" s="8">
        <v>8.6263589072694565e-05</v>
      </c>
      <c r="C30" s="8"/>
      <c r="D30" s="8">
        <v>2.8967611937797954e-16</v>
      </c>
      <c r="E30" s="8">
        <v>2.3207472558251915e-12</v>
      </c>
      <c r="F30" s="8">
        <v>3.378076490477536e-14</v>
      </c>
      <c r="G30" s="8">
        <v>0.89153818221329573</v>
      </c>
      <c r="H30" s="8">
        <v>0.00033912340244439003</v>
      </c>
      <c r="I30" s="8">
        <v>0.00096541131651302391</v>
      </c>
      <c r="J30" s="8">
        <v>2.2660761164357564e-14</v>
      </c>
      <c r="K30" s="8">
        <v>0.12755241589676958</v>
      </c>
      <c r="L30" s="8">
        <v>4.9772750374992332E-17</v>
      </c>
      <c r="M30" s="8">
        <v>0.21394018379186064</v>
      </c>
      <c r="N30" s="8"/>
      <c r="O30" s="26"/>
    </row>
    <row r="31" x14ac:dyDescent="0.3">
      <c r="A31" s="26" t="s">
        <v>1139</v>
      </c>
      <c r="B31" s="8">
        <v>2.0748549237992874e-05</v>
      </c>
      <c r="C31" s="8">
        <v>0.18476884250899472</v>
      </c>
      <c r="D31" s="8">
        <v>0.0045114010949595228</v>
      </c>
      <c r="E31" s="8">
        <v>0.087460427603463453</v>
      </c>
      <c r="F31" s="8">
        <v>2.5044949871666928e-11</v>
      </c>
      <c r="G31" s="8">
        <v>3.3884807402217193e-07</v>
      </c>
      <c r="H31" s="8">
        <v>4.3969584767023332e-07</v>
      </c>
      <c r="I31" s="8">
        <v>3.5139419258007838e-07</v>
      </c>
      <c r="J31" s="8">
        <v>0.0017535876021940249</v>
      </c>
      <c r="K31" s="8">
        <v>0.18547917990084817</v>
      </c>
      <c r="L31" s="8">
        <v>3.1701406188272969E-4</v>
      </c>
      <c r="M31" s="8">
        <v>5.7725789792347523E-4</v>
      </c>
      <c r="N31" s="8"/>
      <c r="O31" s="26"/>
    </row>
    <row r="32" x14ac:dyDescent="0.3">
      <c r="A32" s="23" t="s">
        <v>1140</v>
      </c>
      <c r="B32" s="10">
        <v>2.3593774457666559e-06</v>
      </c>
      <c r="C32" s="10">
        <v>0.00032569104581470367</v>
      </c>
      <c r="D32" s="10">
        <v>1.5929326409494453e-09</v>
      </c>
      <c r="E32" s="10">
        <v>7.3298206311343482e-07</v>
      </c>
      <c r="F32" s="10">
        <v>2.5308527261466541e-10</v>
      </c>
      <c r="G32" s="10">
        <v>1.5794273511309247e-06</v>
      </c>
      <c r="H32" s="10">
        <v>1.6068021360621671e-06</v>
      </c>
      <c r="I32" s="10">
        <v>1.617438869778793e-06</v>
      </c>
      <c r="J32" s="10">
        <v>3.4804713433663967e-05</v>
      </c>
      <c r="K32" s="10">
        <v>1.9814898569710234E-11</v>
      </c>
      <c r="L32" s="10">
        <v>8.2852069541794799E-15</v>
      </c>
      <c r="M32" s="10">
        <v>8.4771717367300464E-8</v>
      </c>
      <c r="N32" s="10"/>
      <c r="O32" s="23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O32"/>
  <sheetViews>
    <sheetView workbookViewId="0">
      <selection activeCell="A2" sqref="A2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8" max="8" width="11.48828125" bestFit="true" customWidth="true"/>
    <col min="9" max="9" width="11.6015625" bestFit="true" customWidth="true"/>
    <col min="10" max="10" width="15.37890625" bestFit="true" customWidth="true"/>
    <col min="11" max="11" width="13.33203125" bestFit="true" customWidth="true"/>
  </cols>
  <sheetData>
    <row r="1" ht="15" thickBot="true" x14ac:dyDescent="0.35">
      <c r="A1" s="19" t="s">
        <v>317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x14ac:dyDescent="0.3">
      <c r="A2" s="5" t="s">
        <v>1146</v>
      </c>
      <c r="B2" s="5" t="s">
        <v>1177</v>
      </c>
      <c r="C2" s="5" t="s">
        <v>1178</v>
      </c>
      <c r="D2" s="5" t="s">
        <v>1179</v>
      </c>
      <c r="E2" s="5" t="s">
        <v>1180</v>
      </c>
      <c r="F2" s="5" t="s">
        <v>1181</v>
      </c>
      <c r="G2" s="5" t="s">
        <v>859</v>
      </c>
      <c r="H2" s="5" t="s">
        <v>860</v>
      </c>
      <c r="I2" s="5" t="s">
        <v>861</v>
      </c>
      <c r="J2" s="5" t="s">
        <v>529</v>
      </c>
      <c r="K2" s="5"/>
      <c r="L2" s="5"/>
      <c r="M2" s="5"/>
      <c r="N2" s="5"/>
      <c r="O2" s="5"/>
    </row>
    <row r="3" x14ac:dyDescent="0.3">
      <c r="A3" s="20" t="s">
        <v>1147</v>
      </c>
      <c r="B3" s="27">
        <v>1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7">
        <v>1</v>
      </c>
      <c r="I3" s="27">
        <v>1</v>
      </c>
      <c r="J3" s="27">
        <v>1</v>
      </c>
      <c r="K3" s="27">
        <v>1</v>
      </c>
      <c r="L3" s="27">
        <v>1</v>
      </c>
      <c r="M3" s="27">
        <v>1</v>
      </c>
      <c r="N3" s="27"/>
      <c r="O3" s="27"/>
    </row>
    <row r="4" x14ac:dyDescent="0.3">
      <c r="A4" s="26" t="s">
        <v>1148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/>
      <c r="O4" s="28"/>
    </row>
    <row r="5" x14ac:dyDescent="0.3">
      <c r="A5" s="26" t="s">
        <v>1149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/>
      <c r="O5" s="28"/>
    </row>
    <row r="6" x14ac:dyDescent="0.3">
      <c r="A6" s="26" t="s">
        <v>1150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/>
      <c r="O6" s="28"/>
    </row>
    <row r="7" x14ac:dyDescent="0.3">
      <c r="A7" s="26" t="s">
        <v>1151</v>
      </c>
      <c r="B7" s="28">
        <v>1</v>
      </c>
      <c r="C7" s="28">
        <v>1</v>
      </c>
      <c r="D7" s="28">
        <v>1</v>
      </c>
      <c r="E7" s="28">
        <v>1</v>
      </c>
      <c r="F7" s="28">
        <v>0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/>
      <c r="O7" s="28"/>
    </row>
    <row r="8" x14ac:dyDescent="0.3">
      <c r="A8" s="26" t="s">
        <v>1152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/>
      <c r="O8" s="28"/>
    </row>
    <row r="9" x14ac:dyDescent="0.3">
      <c r="A9" s="26" t="s">
        <v>1153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0</v>
      </c>
      <c r="L9" s="28">
        <v>1</v>
      </c>
      <c r="M9" s="28">
        <v>1</v>
      </c>
      <c r="N9" s="28"/>
      <c r="O9" s="28"/>
    </row>
    <row r="10" x14ac:dyDescent="0.3">
      <c r="A10" s="26" t="s">
        <v>1154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/>
      <c r="O10" s="28"/>
    </row>
    <row r="11" x14ac:dyDescent="0.3">
      <c r="A11" s="26" t="s">
        <v>1155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0</v>
      </c>
      <c r="L11" s="28">
        <v>1</v>
      </c>
      <c r="M11" s="28">
        <v>1</v>
      </c>
      <c r="N11" s="28"/>
      <c r="O11" s="28"/>
    </row>
    <row r="12" x14ac:dyDescent="0.3">
      <c r="A12" s="26" t="s">
        <v>1156</v>
      </c>
      <c r="B12" s="28">
        <v>1</v>
      </c>
      <c r="C12" s="28">
        <v>1</v>
      </c>
      <c r="D12" s="28">
        <v>0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/>
      <c r="O12" s="28"/>
    </row>
    <row r="13" x14ac:dyDescent="0.3">
      <c r="A13" s="26" t="s">
        <v>1157</v>
      </c>
      <c r="B13" s="28">
        <v>1</v>
      </c>
      <c r="C13" s="28">
        <v>1</v>
      </c>
      <c r="D13" s="28">
        <v>0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0</v>
      </c>
      <c r="L13" s="28">
        <v>1</v>
      </c>
      <c r="M13" s="28">
        <v>1</v>
      </c>
      <c r="N13" s="28"/>
      <c r="O13" s="28"/>
    </row>
    <row r="14" x14ac:dyDescent="0.3">
      <c r="A14" s="26" t="s">
        <v>1158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/>
      <c r="O14" s="28"/>
    </row>
    <row r="15" x14ac:dyDescent="0.3">
      <c r="A15" s="26" t="s">
        <v>1159</v>
      </c>
      <c r="B15" s="28">
        <v>1</v>
      </c>
      <c r="C15" s="28">
        <v>0</v>
      </c>
      <c r="D15" s="28">
        <v>1</v>
      </c>
      <c r="E15" s="28">
        <v>0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0</v>
      </c>
      <c r="L15" s="28">
        <v>1</v>
      </c>
      <c r="M15" s="28">
        <v>1</v>
      </c>
      <c r="N15" s="28"/>
      <c r="O15" s="28"/>
    </row>
    <row r="16" x14ac:dyDescent="0.3">
      <c r="A16" s="26" t="s">
        <v>1160</v>
      </c>
      <c r="B16" s="28">
        <v>1</v>
      </c>
      <c r="C16" s="28">
        <v>0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0</v>
      </c>
      <c r="L16" s="28">
        <v>1</v>
      </c>
      <c r="M16" s="28">
        <v>0</v>
      </c>
      <c r="N16" s="28"/>
      <c r="O16" s="28"/>
    </row>
    <row r="17" x14ac:dyDescent="0.3">
      <c r="A17" s="26" t="s">
        <v>1161</v>
      </c>
      <c r="B17" s="28">
        <v>1</v>
      </c>
      <c r="C17" s="28">
        <v>1</v>
      </c>
      <c r="D17" s="28">
        <v>1</v>
      </c>
      <c r="E17" s="28">
        <v>1</v>
      </c>
      <c r="F17" s="28">
        <v>0</v>
      </c>
      <c r="G17" s="28">
        <v>1</v>
      </c>
      <c r="H17" s="28">
        <v>1</v>
      </c>
      <c r="I17" s="28">
        <v>1</v>
      </c>
      <c r="J17" s="28">
        <v>0</v>
      </c>
      <c r="K17" s="28">
        <v>1</v>
      </c>
      <c r="L17" s="28">
        <v>1</v>
      </c>
      <c r="M17" s="28">
        <v>0</v>
      </c>
      <c r="N17" s="28"/>
      <c r="O17" s="28"/>
    </row>
    <row r="18" x14ac:dyDescent="0.3">
      <c r="A18" s="26" t="s">
        <v>1162</v>
      </c>
      <c r="B18" s="28">
        <v>1</v>
      </c>
      <c r="C18" s="28">
        <v>0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/>
      <c r="O18" s="28"/>
    </row>
    <row r="19" x14ac:dyDescent="0.3">
      <c r="A19" s="26" t="s">
        <v>1163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/>
      <c r="O19" s="28"/>
    </row>
    <row r="20" x14ac:dyDescent="0.3">
      <c r="A20" s="26" t="s">
        <v>1164</v>
      </c>
      <c r="B20" s="28">
        <v>1</v>
      </c>
      <c r="C20" s="28">
        <v>1</v>
      </c>
      <c r="D20" s="28">
        <v>1</v>
      </c>
      <c r="E20" s="28">
        <v>0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/>
      <c r="O20" s="28"/>
    </row>
    <row r="21" x14ac:dyDescent="0.3">
      <c r="A21" s="26" t="s">
        <v>1165</v>
      </c>
      <c r="B21" s="28">
        <v>1</v>
      </c>
      <c r="C21" s="28">
        <v>0</v>
      </c>
      <c r="D21" s="28">
        <v>1</v>
      </c>
      <c r="E21" s="28">
        <v>0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0</v>
      </c>
      <c r="L21" s="28">
        <v>1</v>
      </c>
      <c r="M21" s="28">
        <v>1</v>
      </c>
      <c r="N21" s="28"/>
      <c r="O21" s="28"/>
    </row>
    <row r="22" x14ac:dyDescent="0.3">
      <c r="A22" s="26" t="s">
        <v>1166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/>
      <c r="O22" s="28"/>
    </row>
    <row r="23" x14ac:dyDescent="0.3">
      <c r="A23" s="26" t="s">
        <v>1167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/>
      <c r="O23" s="28"/>
    </row>
    <row r="24" x14ac:dyDescent="0.3">
      <c r="A24" s="26" t="s">
        <v>1168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0</v>
      </c>
      <c r="L24" s="28">
        <v>1</v>
      </c>
      <c r="M24" s="28">
        <v>1</v>
      </c>
      <c r="N24" s="28"/>
      <c r="O24" s="28"/>
    </row>
    <row r="25" x14ac:dyDescent="0.3">
      <c r="A25" s="26" t="s">
        <v>1169</v>
      </c>
      <c r="B25" s="28">
        <v>1</v>
      </c>
      <c r="C25" s="28"/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/>
      <c r="O25" s="28"/>
    </row>
    <row r="26" x14ac:dyDescent="0.3">
      <c r="A26" s="26" t="s">
        <v>1170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0</v>
      </c>
      <c r="L26" s="28">
        <v>1</v>
      </c>
      <c r="M26" s="28">
        <v>0</v>
      </c>
      <c r="N26" s="28"/>
      <c r="O26" s="28"/>
    </row>
    <row r="27" x14ac:dyDescent="0.3">
      <c r="A27" s="26" t="s">
        <v>1171</v>
      </c>
      <c r="B27" s="28">
        <v>1</v>
      </c>
      <c r="C27" s="28"/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/>
      <c r="O27" s="28"/>
    </row>
    <row r="28" x14ac:dyDescent="0.3">
      <c r="A28" s="26" t="s">
        <v>1172</v>
      </c>
      <c r="B28" s="28">
        <v>1</v>
      </c>
      <c r="C28" s="28">
        <v>1</v>
      </c>
      <c r="D28" s="28">
        <v>1</v>
      </c>
      <c r="E28" s="28">
        <v>0</v>
      </c>
      <c r="F28" s="28">
        <v>1</v>
      </c>
      <c r="G28" s="28">
        <v>0</v>
      </c>
      <c r="H28" s="28">
        <v>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/>
      <c r="O28" s="28"/>
    </row>
    <row r="29" x14ac:dyDescent="0.3">
      <c r="A29" s="26" t="s">
        <v>1173</v>
      </c>
      <c r="B29" s="28">
        <v>1</v>
      </c>
      <c r="C29" s="28"/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0</v>
      </c>
      <c r="L29" s="28">
        <v>1</v>
      </c>
      <c r="M29" s="28">
        <v>1</v>
      </c>
      <c r="N29" s="28"/>
      <c r="O29" s="28"/>
    </row>
    <row r="30" x14ac:dyDescent="0.3">
      <c r="A30" s="26" t="s">
        <v>1174</v>
      </c>
      <c r="B30" s="28">
        <v>1</v>
      </c>
      <c r="C30" s="28"/>
      <c r="D30" s="28">
        <v>1</v>
      </c>
      <c r="E30" s="28">
        <v>1</v>
      </c>
      <c r="F30" s="28">
        <v>1</v>
      </c>
      <c r="G30" s="28">
        <v>0</v>
      </c>
      <c r="H30" s="28">
        <v>1</v>
      </c>
      <c r="I30" s="28">
        <v>1</v>
      </c>
      <c r="J30" s="28">
        <v>1</v>
      </c>
      <c r="K30" s="28">
        <v>0</v>
      </c>
      <c r="L30" s="28">
        <v>1</v>
      </c>
      <c r="M30" s="28">
        <v>0</v>
      </c>
      <c r="N30" s="28"/>
      <c r="O30" s="28"/>
    </row>
    <row r="31" x14ac:dyDescent="0.3">
      <c r="A31" s="26" t="s">
        <v>1175</v>
      </c>
      <c r="B31" s="28">
        <v>1</v>
      </c>
      <c r="C31" s="28">
        <v>0</v>
      </c>
      <c r="D31" s="28">
        <v>1</v>
      </c>
      <c r="E31" s="28">
        <v>0</v>
      </c>
      <c r="F31" s="28">
        <v>1</v>
      </c>
      <c r="G31" s="28">
        <v>1</v>
      </c>
      <c r="H31" s="28">
        <v>1</v>
      </c>
      <c r="I31" s="28">
        <v>1</v>
      </c>
      <c r="J31" s="28">
        <v>1</v>
      </c>
      <c r="K31" s="28">
        <v>0</v>
      </c>
      <c r="L31" s="28">
        <v>1</v>
      </c>
      <c r="M31" s="28">
        <v>1</v>
      </c>
      <c r="N31" s="28"/>
      <c r="O31" s="28"/>
    </row>
    <row r="32" x14ac:dyDescent="0.3">
      <c r="A32" s="23" t="s">
        <v>1176</v>
      </c>
      <c r="B32" s="29">
        <v>1</v>
      </c>
      <c r="C32" s="29">
        <v>1</v>
      </c>
      <c r="D32" s="29">
        <v>1</v>
      </c>
      <c r="E32" s="29">
        <v>1</v>
      </c>
      <c r="F32" s="29">
        <v>1</v>
      </c>
      <c r="G32" s="29">
        <v>1</v>
      </c>
      <c r="H32" s="29">
        <v>1</v>
      </c>
      <c r="I32" s="29">
        <v>1</v>
      </c>
      <c r="J32" s="29">
        <v>1</v>
      </c>
      <c r="K32" s="29">
        <v>1</v>
      </c>
      <c r="L32" s="29">
        <v>1</v>
      </c>
      <c r="M32" s="29">
        <v>1</v>
      </c>
      <c r="N32" s="29"/>
      <c r="O32" s="29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O32"/>
  <sheetViews>
    <sheetView workbookViewId="0">
      <selection sqref="A1:XFD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8" max="8" width="11.48828125" bestFit="true" customWidth="true"/>
    <col min="9" max="9" width="11.6015625" bestFit="true" customWidth="true"/>
    <col min="10" max="10" width="15.37890625" bestFit="true" customWidth="true"/>
    <col min="11" max="11" width="13.33203125" bestFit="true" customWidth="true"/>
  </cols>
  <sheetData>
    <row r="1" ht="15" thickBot="true" x14ac:dyDescent="0.35">
      <c r="A1" s="19" t="s">
        <v>300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x14ac:dyDescent="0.3">
      <c r="A2" s="23" t="s">
        <v>1182</v>
      </c>
      <c r="B2" s="23" t="s">
        <v>1213</v>
      </c>
      <c r="C2" s="23" t="s">
        <v>1214</v>
      </c>
      <c r="D2" s="23" t="s">
        <v>1215</v>
      </c>
      <c r="E2" s="23" t="s">
        <v>1216</v>
      </c>
      <c r="F2" s="23" t="s">
        <v>1217</v>
      </c>
      <c r="G2" s="23" t="s">
        <v>898</v>
      </c>
      <c r="H2" s="23" t="s">
        <v>899</v>
      </c>
      <c r="I2" s="23" t="s">
        <v>900</v>
      </c>
      <c r="J2" s="23" t="s">
        <v>569</v>
      </c>
      <c r="K2" s="23"/>
      <c r="L2" s="23"/>
      <c r="M2" s="23"/>
      <c r="N2" s="23"/>
      <c r="O2" s="23"/>
    </row>
    <row r="3" x14ac:dyDescent="0.3">
      <c r="A3" s="20" t="s">
        <v>1183</v>
      </c>
      <c r="B3" s="3">
        <v>1.7343976283205826e-06</v>
      </c>
      <c r="C3" s="3">
        <v>1.7343976283205826e-06</v>
      </c>
      <c r="D3" s="3">
        <v>1.7343976283205826e-06</v>
      </c>
      <c r="E3" s="3">
        <v>2.12663601073143e-06</v>
      </c>
      <c r="F3" s="3">
        <v>1.7343976283205826e-06</v>
      </c>
      <c r="G3" s="3">
        <v>1.7343976283205826e-06</v>
      </c>
      <c r="H3" s="3">
        <v>1.7343976283205826e-06</v>
      </c>
      <c r="I3" s="3">
        <v>1.7343976283205826e-06</v>
      </c>
      <c r="J3" s="3">
        <v>1.7343976283205826e-06</v>
      </c>
      <c r="K3" s="3"/>
      <c r="L3" s="3"/>
      <c r="M3" s="3"/>
      <c r="N3" s="3"/>
      <c r="O3" s="3"/>
    </row>
    <row r="4" x14ac:dyDescent="0.3">
      <c r="A4" s="26" t="s">
        <v>1184</v>
      </c>
      <c r="B4" s="8">
        <v>1.7343976283205826e-06</v>
      </c>
      <c r="C4" s="8">
        <v>1.9209211049031476e-06</v>
      </c>
      <c r="D4" s="8">
        <v>1.7343976283205826e-06</v>
      </c>
      <c r="E4" s="8">
        <v>4.4493372834531134e-05</v>
      </c>
      <c r="F4" s="8">
        <v>1.7343976283205826e-06</v>
      </c>
      <c r="G4" s="8">
        <v>1.7343976283205826e-06</v>
      </c>
      <c r="H4" s="8">
        <v>1.7343976283205826e-06</v>
      </c>
      <c r="I4" s="8">
        <v>1.7343976283205826e-06</v>
      </c>
      <c r="J4" s="8">
        <v>1.7343976283205826e-06</v>
      </c>
      <c r="K4" s="8"/>
      <c r="L4" s="8"/>
      <c r="M4" s="8"/>
      <c r="N4" s="8"/>
      <c r="O4" s="8"/>
    </row>
    <row r="5" x14ac:dyDescent="0.3">
      <c r="A5" s="26" t="s">
        <v>1185</v>
      </c>
      <c r="B5" s="8">
        <v>1.7343976283205826e-06</v>
      </c>
      <c r="C5" s="8">
        <v>1.7343976283205826e-06</v>
      </c>
      <c r="D5" s="8">
        <v>1.7343976283205826e-06</v>
      </c>
      <c r="E5" s="8">
        <v>3.1816794109698638e-06</v>
      </c>
      <c r="F5" s="8">
        <v>2.3534209951215406e-06</v>
      </c>
      <c r="G5" s="8">
        <v>1.7343976283205826e-06</v>
      </c>
      <c r="H5" s="8">
        <v>1.7343976283205826e-06</v>
      </c>
      <c r="I5" s="8">
        <v>2.3534209951215406e-06</v>
      </c>
      <c r="J5" s="8">
        <v>1.7343976283205826e-06</v>
      </c>
      <c r="K5" s="8"/>
      <c r="L5" s="8"/>
      <c r="M5" s="8"/>
      <c r="N5" s="8"/>
      <c r="O5" s="8"/>
    </row>
    <row r="6" x14ac:dyDescent="0.3">
      <c r="A6" s="26" t="s">
        <v>1186</v>
      </c>
      <c r="B6" s="8">
        <v>1.7343976283205826e-06</v>
      </c>
      <c r="C6" s="8">
        <v>1.7988480691799094e-05</v>
      </c>
      <c r="D6" s="8">
        <v>1.7343976283205826e-06</v>
      </c>
      <c r="E6" s="8">
        <v>6.3391355731224854e-06</v>
      </c>
      <c r="F6" s="8">
        <v>3.1816794109698638e-06</v>
      </c>
      <c r="G6" s="8">
        <v>1.7343976283205826e-06</v>
      </c>
      <c r="H6" s="8">
        <v>1.7343976283205826e-06</v>
      </c>
      <c r="I6" s="8">
        <v>1.7343976283205826e-06</v>
      </c>
      <c r="J6" s="8">
        <v>1.7343976283205826e-06</v>
      </c>
      <c r="K6" s="8"/>
      <c r="L6" s="8"/>
      <c r="M6" s="8"/>
      <c r="N6" s="8"/>
      <c r="O6" s="8"/>
    </row>
    <row r="7" x14ac:dyDescent="0.3">
      <c r="A7" s="26" t="s">
        <v>1187</v>
      </c>
      <c r="B7" s="8">
        <v>1.7343976283205826e-06</v>
      </c>
      <c r="C7" s="8">
        <v>8.4660816903838918e-06</v>
      </c>
      <c r="D7" s="8">
        <v>1.7343976283205826e-06</v>
      </c>
      <c r="E7" s="8">
        <v>1.7343976283205826e-06</v>
      </c>
      <c r="F7" s="8">
        <v>0.73432529143912806</v>
      </c>
      <c r="G7" s="8">
        <v>1.7343976283205826e-06</v>
      </c>
      <c r="H7" s="8">
        <v>1.7343976283205826e-06</v>
      </c>
      <c r="I7" s="8">
        <v>1.7343976283205826e-06</v>
      </c>
      <c r="J7" s="8">
        <v>1.7343976283205826e-06</v>
      </c>
      <c r="K7" s="8"/>
      <c r="L7" s="8"/>
      <c r="M7" s="8"/>
      <c r="N7" s="8"/>
      <c r="O7" s="8"/>
    </row>
    <row r="8" x14ac:dyDescent="0.3">
      <c r="A8" s="26" t="s">
        <v>1188</v>
      </c>
      <c r="B8" s="8">
        <v>1.7343976283205826e-06</v>
      </c>
      <c r="C8" s="8">
        <v>1.4935639298398709e-05</v>
      </c>
      <c r="D8" s="8">
        <v>2.3534209951215406e-06</v>
      </c>
      <c r="E8" s="8">
        <v>1.7343976283205826e-06</v>
      </c>
      <c r="F8" s="8">
        <v>2.6033283895389329e-06</v>
      </c>
      <c r="G8" s="8">
        <v>1.7343976283205826e-06</v>
      </c>
      <c r="H8" s="8">
        <v>1.7343976283205826e-06</v>
      </c>
      <c r="I8" s="8">
        <v>1.7343976283205826e-06</v>
      </c>
      <c r="J8" s="8">
        <v>6.9837831474771065e-06</v>
      </c>
      <c r="K8" s="8"/>
      <c r="L8" s="8"/>
      <c r="M8" s="8"/>
      <c r="N8" s="8"/>
      <c r="O8" s="8"/>
    </row>
    <row r="9" x14ac:dyDescent="0.3">
      <c r="A9" s="26" t="s">
        <v>1189</v>
      </c>
      <c r="B9" s="8">
        <v>1.7343976283205826e-06</v>
      </c>
      <c r="C9" s="8">
        <v>1.7343976283205826e-06</v>
      </c>
      <c r="D9" s="8">
        <v>1.7343976283205826e-06</v>
      </c>
      <c r="E9" s="8">
        <v>2.3534209951215406e-06</v>
      </c>
      <c r="F9" s="8">
        <v>1.7343976283205826e-06</v>
      </c>
      <c r="G9" s="8">
        <v>1.7343976283205826e-06</v>
      </c>
      <c r="H9" s="8">
        <v>1.7343976283205826e-06</v>
      </c>
      <c r="I9" s="8">
        <v>1.7343976283205826e-06</v>
      </c>
      <c r="J9" s="8">
        <v>1.7343976283205826e-06</v>
      </c>
      <c r="K9" s="8"/>
      <c r="L9" s="8"/>
      <c r="M9" s="8"/>
      <c r="N9" s="8"/>
      <c r="O9" s="8"/>
    </row>
    <row r="10" x14ac:dyDescent="0.3">
      <c r="A10" s="26" t="s">
        <v>1190</v>
      </c>
      <c r="B10" s="8">
        <v>1.7343976283205826e-06</v>
      </c>
      <c r="C10" s="8">
        <v>0.00071570338462489361</v>
      </c>
      <c r="D10" s="8">
        <v>0.0012866311206026185</v>
      </c>
      <c r="E10" s="8">
        <v>1.7343976283205826e-06</v>
      </c>
      <c r="F10" s="8">
        <v>1.7343976283205826e-06</v>
      </c>
      <c r="G10" s="8">
        <v>1.7343976283205826e-06</v>
      </c>
      <c r="H10" s="8">
        <v>1.7343976283205826e-06</v>
      </c>
      <c r="I10" s="8">
        <v>1.7343976283205826e-06</v>
      </c>
      <c r="J10" s="8">
        <v>0.013194169865413961</v>
      </c>
      <c r="K10" s="8"/>
      <c r="L10" s="8"/>
      <c r="M10" s="8"/>
      <c r="N10" s="8"/>
      <c r="O10" s="8"/>
    </row>
    <row r="11" x14ac:dyDescent="0.3">
      <c r="A11" s="26" t="s">
        <v>1191</v>
      </c>
      <c r="B11" s="8">
        <v>1.7343976283205826e-06</v>
      </c>
      <c r="C11" s="8">
        <v>1.972948451580373e-05</v>
      </c>
      <c r="D11" s="8">
        <v>7.5136622549448184e-05</v>
      </c>
      <c r="E11" s="8">
        <v>9.7110489760716314e-05</v>
      </c>
      <c r="F11" s="8">
        <v>5.3069919380911133e-05</v>
      </c>
      <c r="G11" s="8">
        <v>1.7343976283205826e-06</v>
      </c>
      <c r="H11" s="8">
        <v>1.7343976283205826e-06</v>
      </c>
      <c r="I11" s="8">
        <v>1.7343976283205826e-06</v>
      </c>
      <c r="J11" s="8">
        <v>0.0041140307793227134</v>
      </c>
      <c r="K11" s="8"/>
      <c r="L11" s="8"/>
      <c r="M11" s="8"/>
      <c r="N11" s="8"/>
      <c r="O11" s="8"/>
    </row>
    <row r="12" x14ac:dyDescent="0.3">
      <c r="A12" s="26" t="s">
        <v>1192</v>
      </c>
      <c r="B12" s="8">
        <v>1.7343976283205826e-06</v>
      </c>
      <c r="C12" s="8">
        <v>0.0056671726914977981</v>
      </c>
      <c r="D12" s="8">
        <v>0.10201069524998857</v>
      </c>
      <c r="E12" s="8">
        <v>0.0087296677536022934</v>
      </c>
      <c r="F12" s="8">
        <v>1.7343976283205826e-06</v>
      </c>
      <c r="G12" s="8">
        <v>1.7343976283205826e-06</v>
      </c>
      <c r="H12" s="8">
        <v>1.7343976283205826e-06</v>
      </c>
      <c r="I12" s="8">
        <v>1.7343976283205826e-06</v>
      </c>
      <c r="J12" s="8">
        <v>4.2856858691898783e-06</v>
      </c>
      <c r="K12" s="8"/>
      <c r="L12" s="8"/>
      <c r="M12" s="8"/>
      <c r="N12" s="8"/>
      <c r="O12" s="8"/>
    </row>
    <row r="13" x14ac:dyDescent="0.3">
      <c r="A13" s="26" t="s">
        <v>1193</v>
      </c>
      <c r="B13" s="8">
        <v>1.7343976283205826e-06</v>
      </c>
      <c r="C13" s="8">
        <v>0.10201069524998857</v>
      </c>
      <c r="D13" s="8">
        <v>0.79709830300679518</v>
      </c>
      <c r="E13" s="8">
        <v>1.0246327832617652e-05</v>
      </c>
      <c r="F13" s="8">
        <v>3.405256723280547e-05</v>
      </c>
      <c r="G13" s="8">
        <v>1.7343976283205826e-06</v>
      </c>
      <c r="H13" s="8">
        <v>1.7343976283205826e-06</v>
      </c>
      <c r="I13" s="8">
        <v>1.7343976283205826e-06</v>
      </c>
      <c r="J13" s="8">
        <v>0.017518393579685074</v>
      </c>
      <c r="K13" s="8"/>
      <c r="L13" s="8"/>
      <c r="M13" s="8"/>
      <c r="N13" s="8"/>
      <c r="O13" s="8"/>
    </row>
    <row r="14" x14ac:dyDescent="0.3">
      <c r="A14" s="26" t="s">
        <v>1194</v>
      </c>
      <c r="B14" s="8">
        <v>2.12663601073143e-06</v>
      </c>
      <c r="C14" s="8">
        <v>4.0715116266282652e-05</v>
      </c>
      <c r="D14" s="8">
        <v>2.6033283895389329e-06</v>
      </c>
      <c r="E14" s="8">
        <v>1.7343976283205826e-06</v>
      </c>
      <c r="F14" s="8">
        <v>1.7343976283205826e-06</v>
      </c>
      <c r="G14" s="8">
        <v>1.7343976283205826e-06</v>
      </c>
      <c r="H14" s="8">
        <v>1.7343976283205826e-06</v>
      </c>
      <c r="I14" s="8">
        <v>1.7343976283205826e-06</v>
      </c>
      <c r="J14" s="8">
        <v>1.7343976283205826e-06</v>
      </c>
      <c r="K14" s="8"/>
      <c r="L14" s="8"/>
      <c r="M14" s="8"/>
      <c r="N14" s="8"/>
      <c r="O14" s="8"/>
    </row>
    <row r="15" x14ac:dyDescent="0.3">
      <c r="A15" s="26" t="s">
        <v>1195</v>
      </c>
      <c r="B15" s="8">
        <v>1.7343976283205826e-06</v>
      </c>
      <c r="C15" s="8">
        <v>0.4165338073918789</v>
      </c>
      <c r="D15" s="8">
        <v>0.035008956819850154</v>
      </c>
      <c r="E15" s="8">
        <v>0.47794743855272331</v>
      </c>
      <c r="F15" s="8">
        <v>2.8785992193943049e-06</v>
      </c>
      <c r="G15" s="8">
        <v>1.7343976283205826e-06</v>
      </c>
      <c r="H15" s="8">
        <v>1.7343976283205826e-06</v>
      </c>
      <c r="I15" s="8">
        <v>1.7343976283205826e-06</v>
      </c>
      <c r="J15" s="8">
        <v>0.0011138009078172097</v>
      </c>
      <c r="K15" s="8"/>
      <c r="L15" s="8"/>
      <c r="M15" s="8"/>
      <c r="N15" s="8"/>
      <c r="O15" s="8"/>
    </row>
    <row r="16" x14ac:dyDescent="0.3">
      <c r="A16" s="26" t="s">
        <v>1196</v>
      </c>
      <c r="B16" s="8">
        <v>1.7343976283205826e-06</v>
      </c>
      <c r="C16" s="8">
        <v>0.10201069524998857</v>
      </c>
      <c r="D16" s="8">
        <v>3.8821823860608705e-06</v>
      </c>
      <c r="E16" s="8">
        <v>0.00096265892906591331</v>
      </c>
      <c r="F16" s="8">
        <v>1.9209211049031476e-06</v>
      </c>
      <c r="G16" s="8">
        <v>1.7343976283205826e-06</v>
      </c>
      <c r="H16" s="8">
        <v>1.7343976283205826e-06</v>
      </c>
      <c r="I16" s="8">
        <v>1.7343976283205826e-06</v>
      </c>
      <c r="J16" s="8">
        <v>0.00013594767036744976</v>
      </c>
      <c r="K16" s="8"/>
      <c r="L16" s="8"/>
      <c r="M16" s="8"/>
      <c r="N16" s="8"/>
      <c r="O16" s="8"/>
    </row>
    <row r="17" x14ac:dyDescent="0.3">
      <c r="A17" s="26" t="s">
        <v>1197</v>
      </c>
      <c r="B17" s="8">
        <v>1.7343976283205826e-06</v>
      </c>
      <c r="C17" s="8">
        <v>2.8434237746031882e-05</v>
      </c>
      <c r="D17" s="8">
        <v>3.1123151153729202e-05</v>
      </c>
      <c r="E17" s="8">
        <v>4.7292023374470689e-06</v>
      </c>
      <c r="F17" s="8">
        <v>0.38203416302245696</v>
      </c>
      <c r="G17" s="8">
        <v>1.7343976283205826e-06</v>
      </c>
      <c r="H17" s="8">
        <v>1.7343976283205826e-06</v>
      </c>
      <c r="I17" s="8">
        <v>1.7343976283205826e-06</v>
      </c>
      <c r="J17" s="8">
        <v>3.1123151153729202e-05</v>
      </c>
      <c r="K17" s="8"/>
      <c r="L17" s="8"/>
      <c r="M17" s="8"/>
      <c r="N17" s="8"/>
      <c r="O17" s="8"/>
    </row>
    <row r="18" x14ac:dyDescent="0.3">
      <c r="A18" s="26" t="s">
        <v>1198</v>
      </c>
      <c r="B18" s="8">
        <v>1.7343976283205826e-06</v>
      </c>
      <c r="C18" s="8">
        <v>0.26229871911949015</v>
      </c>
      <c r="D18" s="8">
        <v>0.057096495243157366</v>
      </c>
      <c r="E18" s="8">
        <v>0.019569215233846415</v>
      </c>
      <c r="F18" s="8">
        <v>3.5152372790448369e-06</v>
      </c>
      <c r="G18" s="8">
        <v>1.7343976283205826e-06</v>
      </c>
      <c r="H18" s="8">
        <v>1.7343976283205826e-06</v>
      </c>
      <c r="I18" s="8">
        <v>1.7343976283205826e-06</v>
      </c>
      <c r="J18" s="8">
        <v>5.7516532694018495e-06</v>
      </c>
      <c r="K18" s="8"/>
      <c r="L18" s="8"/>
      <c r="M18" s="8"/>
      <c r="N18" s="8"/>
      <c r="O18" s="8"/>
    </row>
    <row r="19" x14ac:dyDescent="0.3">
      <c r="A19" s="26" t="s">
        <v>1199</v>
      </c>
      <c r="B19" s="8">
        <v>1.7343976283205826e-06</v>
      </c>
      <c r="C19" s="8">
        <v>1.7343976283205826e-06</v>
      </c>
      <c r="D19" s="8">
        <v>6.3391355731224854e-06</v>
      </c>
      <c r="E19" s="8">
        <v>8.9187274244597068e-05</v>
      </c>
      <c r="F19" s="8">
        <v>1.7343976283205826e-06</v>
      </c>
      <c r="G19" s="8">
        <v>1.7343976283205826e-06</v>
      </c>
      <c r="H19" s="8">
        <v>1.7343976283205826e-06</v>
      </c>
      <c r="I19" s="8">
        <v>1.7343976283205826e-06</v>
      </c>
      <c r="J19" s="8">
        <v>1.7343976283205826e-06</v>
      </c>
      <c r="K19" s="8"/>
      <c r="L19" s="8"/>
      <c r="M19" s="8"/>
      <c r="N19" s="8"/>
      <c r="O19" s="8"/>
    </row>
    <row r="20" x14ac:dyDescent="0.3">
      <c r="A20" s="26" t="s">
        <v>1200</v>
      </c>
      <c r="B20" s="8">
        <v>1.7343976283205826e-06</v>
      </c>
      <c r="C20" s="8">
        <v>2.3534209951215406e-06</v>
      </c>
      <c r="D20" s="8">
        <v>9.3156585911051691e-06</v>
      </c>
      <c r="E20" s="8">
        <v>0.00018909720229770742</v>
      </c>
      <c r="F20" s="8">
        <v>1.7343976283205826e-06</v>
      </c>
      <c r="G20" s="8">
        <v>1.7343976283205826e-06</v>
      </c>
      <c r="H20" s="8">
        <v>1.7343976283205826e-06</v>
      </c>
      <c r="I20" s="8">
        <v>1.7343976283205826e-06</v>
      </c>
      <c r="J20" s="8">
        <v>1.7343976283205826e-06</v>
      </c>
      <c r="K20" s="8"/>
      <c r="L20" s="8"/>
      <c r="M20" s="8"/>
      <c r="N20" s="8"/>
      <c r="O20" s="8"/>
    </row>
    <row r="21" x14ac:dyDescent="0.3">
      <c r="A21" s="26" t="s">
        <v>1201</v>
      </c>
      <c r="B21" s="8">
        <v>1.7343976283205826e-06</v>
      </c>
      <c r="C21" s="8">
        <v>0.051930665029697204</v>
      </c>
      <c r="D21" s="8">
        <v>2.5967125848447441e-05</v>
      </c>
      <c r="E21" s="8">
        <v>0.0031617649366554898</v>
      </c>
      <c r="F21" s="8">
        <v>0.00013594767036744976</v>
      </c>
      <c r="G21" s="8">
        <v>1.7343976283205826e-06</v>
      </c>
      <c r="H21" s="8">
        <v>1.7343976283205826e-06</v>
      </c>
      <c r="I21" s="8">
        <v>1.7343976283205826e-06</v>
      </c>
      <c r="J21" s="8">
        <v>1.1265398499821105e-05</v>
      </c>
      <c r="K21" s="8"/>
      <c r="L21" s="8"/>
      <c r="M21" s="8"/>
      <c r="N21" s="8"/>
      <c r="O21" s="8"/>
    </row>
    <row r="22" x14ac:dyDescent="0.3">
      <c r="A22" s="26" t="s">
        <v>1202</v>
      </c>
      <c r="B22" s="8">
        <v>1.7343976283205826e-06</v>
      </c>
      <c r="C22" s="8">
        <v>1.7343976283205826e-06</v>
      </c>
      <c r="D22" s="8">
        <v>1.7343976283205826e-06</v>
      </c>
      <c r="E22" s="8">
        <v>3.5152372790448369e-06</v>
      </c>
      <c r="F22" s="8">
        <v>1.7343976283205826e-06</v>
      </c>
      <c r="G22" s="8">
        <v>1.7343976283205826e-06</v>
      </c>
      <c r="H22" s="8">
        <v>1.7343976283205826e-06</v>
      </c>
      <c r="I22" s="8">
        <v>1.7343976283205826e-06</v>
      </c>
      <c r="J22" s="8">
        <v>1.7343976283205826e-06</v>
      </c>
      <c r="K22" s="8"/>
      <c r="L22" s="8"/>
      <c r="M22" s="8"/>
      <c r="N22" s="8"/>
      <c r="O22" s="8"/>
    </row>
    <row r="23" x14ac:dyDescent="0.3">
      <c r="A23" s="26" t="s">
        <v>1203</v>
      </c>
      <c r="B23" s="8">
        <v>1.7343976283205826e-06</v>
      </c>
      <c r="C23" s="8">
        <v>1.972948451580373e-05</v>
      </c>
      <c r="D23" s="8">
        <v>1.6394463016779945e-05</v>
      </c>
      <c r="E23" s="8">
        <v>0.00018909720229770742</v>
      </c>
      <c r="F23" s="8">
        <v>1.7343976283205826e-06</v>
      </c>
      <c r="G23" s="8">
        <v>1.7343976283205826e-06</v>
      </c>
      <c r="H23" s="8">
        <v>1.7343976283205826e-06</v>
      </c>
      <c r="I23" s="8">
        <v>1.7343976283205826e-06</v>
      </c>
      <c r="J23" s="8">
        <v>1.7343976283205826e-06</v>
      </c>
      <c r="K23" s="8"/>
      <c r="L23" s="8"/>
      <c r="M23" s="8"/>
      <c r="N23" s="8"/>
      <c r="O23" s="8"/>
    </row>
    <row r="24" x14ac:dyDescent="0.3">
      <c r="A24" s="26" t="s">
        <v>1204</v>
      </c>
      <c r="B24" s="8">
        <v>1.2380795614564495e-05</v>
      </c>
      <c r="C24" s="8">
        <v>0.00016046383716795373</v>
      </c>
      <c r="D24" s="8">
        <v>0.016565526979430409</v>
      </c>
      <c r="E24" s="8">
        <v>0.00083070700668700509</v>
      </c>
      <c r="F24" s="8">
        <v>0.04276668801695313</v>
      </c>
      <c r="G24" s="8">
        <v>1.7343976283205826e-06</v>
      </c>
      <c r="H24" s="8">
        <v>1.7343976283205826e-06</v>
      </c>
      <c r="I24" s="8">
        <v>1.7343976283205826e-06</v>
      </c>
      <c r="J24" s="8">
        <v>0.010444400581851162</v>
      </c>
      <c r="K24" s="8"/>
      <c r="L24" s="8"/>
      <c r="M24" s="8"/>
      <c r="N24" s="8"/>
      <c r="O24" s="8"/>
    </row>
    <row r="25" x14ac:dyDescent="0.3">
      <c r="A25" s="26" t="s">
        <v>1205</v>
      </c>
      <c r="B25" s="8">
        <v>1.7343976283205826e-06</v>
      </c>
      <c r="C25" s="8">
        <v>1</v>
      </c>
      <c r="D25" s="8">
        <v>1.7343976283205826e-06</v>
      </c>
      <c r="E25" s="8">
        <v>1.7343976283205826e-06</v>
      </c>
      <c r="F25" s="8">
        <v>1.7343976283205826e-06</v>
      </c>
      <c r="G25" s="8">
        <v>1.7343976283205826e-06</v>
      </c>
      <c r="H25" s="8">
        <v>1.7343976283205826e-06</v>
      </c>
      <c r="I25" s="8">
        <v>1.7343976283205826e-06</v>
      </c>
      <c r="J25" s="8">
        <v>1.7343976283205826e-06</v>
      </c>
      <c r="K25" s="8"/>
      <c r="L25" s="8"/>
      <c r="M25" s="8"/>
      <c r="N25" s="8"/>
      <c r="O25" s="8"/>
    </row>
    <row r="26" x14ac:dyDescent="0.3">
      <c r="A26" s="26" t="s">
        <v>1206</v>
      </c>
      <c r="B26" s="8">
        <v>1.7343976283205826e-06</v>
      </c>
      <c r="C26" s="8">
        <v>2.7015948487105569e-05</v>
      </c>
      <c r="D26" s="8">
        <v>1.7343976283205826e-06</v>
      </c>
      <c r="E26" s="8">
        <v>1.7343976283205826e-06</v>
      </c>
      <c r="F26" s="8">
        <v>1.7343976283205826e-06</v>
      </c>
      <c r="G26" s="8">
        <v>1.7343976283205826e-06</v>
      </c>
      <c r="H26" s="8">
        <v>1.7343976283205826e-06</v>
      </c>
      <c r="I26" s="8">
        <v>1.7343976283205826e-06</v>
      </c>
      <c r="J26" s="8">
        <v>1.7343976283205826e-06</v>
      </c>
      <c r="K26" s="8"/>
      <c r="L26" s="8"/>
      <c r="M26" s="8"/>
      <c r="N26" s="8"/>
      <c r="O26" s="8"/>
    </row>
    <row r="27" x14ac:dyDescent="0.3">
      <c r="A27" s="26" t="s">
        <v>1207</v>
      </c>
      <c r="B27" s="8">
        <v>1.7343976283205826e-06</v>
      </c>
      <c r="C27" s="8">
        <v>1</v>
      </c>
      <c r="D27" s="8">
        <v>1.7256857880058076e-06</v>
      </c>
      <c r="E27" s="8">
        <v>1.7343976283205826e-06</v>
      </c>
      <c r="F27" s="8">
        <v>1.7343976283205826e-06</v>
      </c>
      <c r="G27" s="8">
        <v>1.7343976283205826e-06</v>
      </c>
      <c r="H27" s="8">
        <v>1.7343976283205826e-06</v>
      </c>
      <c r="I27" s="8">
        <v>1.7343976283205826e-06</v>
      </c>
      <c r="J27" s="8">
        <v>1.7322162331441248e-06</v>
      </c>
      <c r="K27" s="8"/>
      <c r="L27" s="8"/>
      <c r="M27" s="8"/>
      <c r="N27" s="8"/>
      <c r="O27" s="8"/>
    </row>
    <row r="28" x14ac:dyDescent="0.3">
      <c r="A28" s="26" t="s">
        <v>1208</v>
      </c>
      <c r="B28" s="8">
        <v>0.00030649986921763651</v>
      </c>
      <c r="C28" s="8">
        <v>4.5800324366086578e-05</v>
      </c>
      <c r="D28" s="8">
        <v>8.4660816903838918e-06</v>
      </c>
      <c r="E28" s="8">
        <v>0.0056671726914977981</v>
      </c>
      <c r="F28" s="8">
        <v>0.00013594767036744976</v>
      </c>
      <c r="G28" s="8">
        <v>0.58571156934686908</v>
      </c>
      <c r="H28" s="8">
        <v>0.00014772761748882258</v>
      </c>
      <c r="I28" s="8">
        <v>0.16502656562469603</v>
      </c>
      <c r="J28" s="8">
        <v>0.5716457836721115</v>
      </c>
      <c r="K28" s="8"/>
      <c r="L28" s="8"/>
      <c r="M28" s="8"/>
      <c r="N28" s="8"/>
      <c r="O28" s="8"/>
    </row>
    <row r="29" x14ac:dyDescent="0.3">
      <c r="A29" s="26" t="s">
        <v>1209</v>
      </c>
      <c r="B29" s="8">
        <v>1.7343976283205826e-06</v>
      </c>
      <c r="C29" s="8">
        <v>1</v>
      </c>
      <c r="D29" s="8">
        <v>1.7343976283205826e-06</v>
      </c>
      <c r="E29" s="8">
        <v>1.7343976283205826e-06</v>
      </c>
      <c r="F29" s="8">
        <v>1.7343976283205826e-06</v>
      </c>
      <c r="G29" s="8">
        <v>3.7242647279456522e-05</v>
      </c>
      <c r="H29" s="8">
        <v>7.6908593028485401e-06</v>
      </c>
      <c r="I29" s="8">
        <v>1.0246327832617652e-05</v>
      </c>
      <c r="J29" s="8">
        <v>1.7343976283205826e-06</v>
      </c>
      <c r="K29" s="8"/>
      <c r="L29" s="8"/>
      <c r="M29" s="8"/>
      <c r="N29" s="8"/>
      <c r="O29" s="8"/>
    </row>
    <row r="30" x14ac:dyDescent="0.3">
      <c r="A30" s="26" t="s">
        <v>1210</v>
      </c>
      <c r="B30" s="8">
        <v>1.7343976283205826e-06</v>
      </c>
      <c r="C30" s="8">
        <v>1</v>
      </c>
      <c r="D30" s="8">
        <v>1.7343976283205826e-06</v>
      </c>
      <c r="E30" s="8">
        <v>1.7343976283205826e-06</v>
      </c>
      <c r="F30" s="8">
        <v>1.7343976283205826e-06</v>
      </c>
      <c r="G30" s="8">
        <v>0.59993592816774566</v>
      </c>
      <c r="H30" s="8">
        <v>0.020671113566912331</v>
      </c>
      <c r="I30" s="8">
        <v>0.020671113566912331</v>
      </c>
      <c r="J30" s="8">
        <v>1.7343976283205826e-06</v>
      </c>
      <c r="K30" s="8"/>
      <c r="L30" s="8"/>
      <c r="M30" s="8"/>
      <c r="N30" s="8"/>
      <c r="O30" s="8"/>
    </row>
    <row r="31" x14ac:dyDescent="0.3">
      <c r="A31" s="26" t="s">
        <v>1211</v>
      </c>
      <c r="B31" s="8">
        <v>1.7343976283205826e-06</v>
      </c>
      <c r="C31" s="8">
        <v>0.03125</v>
      </c>
      <c r="D31" s="8">
        <v>1.7343976283205826e-06</v>
      </c>
      <c r="E31" s="8">
        <v>1.7343976283205826e-06</v>
      </c>
      <c r="F31" s="8">
        <v>1.7343976283205826e-06</v>
      </c>
      <c r="G31" s="8">
        <v>1.7343976283205826e-06</v>
      </c>
      <c r="H31" s="8">
        <v>4.2856858691898783e-06</v>
      </c>
      <c r="I31" s="8">
        <v>1.9209211049031476e-06</v>
      </c>
      <c r="J31" s="8">
        <v>1.7343976283205826e-06</v>
      </c>
      <c r="K31" s="8"/>
      <c r="L31" s="8"/>
      <c r="M31" s="8"/>
      <c r="N31" s="8"/>
      <c r="O31" s="8"/>
    </row>
    <row r="32" x14ac:dyDescent="0.3">
      <c r="A32" s="23" t="s">
        <v>1212</v>
      </c>
      <c r="B32" s="10">
        <v>1.7343976283205826e-06</v>
      </c>
      <c r="C32" s="10">
        <v>1.2290322210248443e-05</v>
      </c>
      <c r="D32" s="10">
        <v>1.7343976283205826e-06</v>
      </c>
      <c r="E32" s="10">
        <v>1.7343976283205826e-06</v>
      </c>
      <c r="F32" s="10">
        <v>1.7343976283205826e-06</v>
      </c>
      <c r="G32" s="10">
        <v>1.7343976283205826e-06</v>
      </c>
      <c r="H32" s="10">
        <v>2.12663601073143e-06</v>
      </c>
      <c r="I32" s="10">
        <v>1.7343976283205826e-06</v>
      </c>
      <c r="J32" s="10">
        <v>1.7343976283205826e-06</v>
      </c>
      <c r="K32" s="10"/>
      <c r="L32" s="10"/>
      <c r="M32" s="10"/>
      <c r="N32" s="10"/>
      <c r="O32" s="10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O32"/>
  <sheetViews>
    <sheetView workbookViewId="0">
      <selection activeCell="A2" sqref="A2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9" max="9" width="11.6015625" bestFit="true" customWidth="true"/>
    <col min="10" max="10" width="15.37890625" bestFit="true" customWidth="true"/>
    <col min="8" max="8" width="11.48828125" bestFit="true" customWidth="true"/>
    <col min="11" max="11" width="2" bestFit="true" customWidth="true"/>
  </cols>
  <sheetData>
    <row r="1" ht="15" thickBot="true" x14ac:dyDescent="0.35">
      <c r="A1" s="19" t="s">
        <v>318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x14ac:dyDescent="0.3">
      <c r="A2" s="5" t="s">
        <v>1218</v>
      </c>
      <c r="B2" s="5" t="s">
        <v>1249</v>
      </c>
      <c r="C2" s="5" t="s">
        <v>1250</v>
      </c>
      <c r="D2" s="5" t="s">
        <v>1251</v>
      </c>
      <c r="E2" s="5" t="s">
        <v>1252</v>
      </c>
      <c r="F2" s="5" t="s">
        <v>1253</v>
      </c>
      <c r="G2" s="5" t="s">
        <v>937</v>
      </c>
      <c r="H2" s="5" t="s">
        <v>938</v>
      </c>
      <c r="I2" s="5" t="s">
        <v>939</v>
      </c>
      <c r="J2" s="5" t="s">
        <v>609</v>
      </c>
      <c r="K2" s="5"/>
      <c r="L2" s="5"/>
      <c r="M2" s="5"/>
      <c r="N2" s="5"/>
      <c r="O2" s="5"/>
    </row>
    <row r="3" x14ac:dyDescent="0.3">
      <c r="A3" s="2" t="s">
        <v>1219</v>
      </c>
      <c r="B3" s="27">
        <v>1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7">
        <v>1</v>
      </c>
      <c r="I3" s="27">
        <v>1</v>
      </c>
      <c r="J3" s="27">
        <v>1</v>
      </c>
      <c r="K3" s="27">
        <v>1</v>
      </c>
      <c r="L3" s="27">
        <v>1</v>
      </c>
      <c r="M3" s="27">
        <v>1</v>
      </c>
      <c r="N3" s="27"/>
      <c r="O3" s="27"/>
    </row>
    <row r="4" x14ac:dyDescent="0.3">
      <c r="A4" s="9" t="s">
        <v>1220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/>
      <c r="O4" s="28"/>
    </row>
    <row r="5" x14ac:dyDescent="0.3">
      <c r="A5" s="9" t="s">
        <v>1221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/>
      <c r="O5" s="28"/>
    </row>
    <row r="6" x14ac:dyDescent="0.3">
      <c r="A6" s="9" t="s">
        <v>1222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/>
      <c r="O6" s="28"/>
    </row>
    <row r="7" x14ac:dyDescent="0.3">
      <c r="A7" s="9" t="s">
        <v>1223</v>
      </c>
      <c r="B7" s="28">
        <v>1</v>
      </c>
      <c r="C7" s="28">
        <v>1</v>
      </c>
      <c r="D7" s="28">
        <v>1</v>
      </c>
      <c r="E7" s="28">
        <v>1</v>
      </c>
      <c r="F7" s="28">
        <v>0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/>
      <c r="O7" s="28"/>
    </row>
    <row r="8" x14ac:dyDescent="0.3">
      <c r="A8" s="9" t="s">
        <v>1224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/>
      <c r="O8" s="28"/>
    </row>
    <row r="9" x14ac:dyDescent="0.3">
      <c r="A9" s="9" t="s">
        <v>1225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0</v>
      </c>
      <c r="L9" s="28">
        <v>1</v>
      </c>
      <c r="M9" s="28">
        <v>1</v>
      </c>
      <c r="N9" s="28"/>
      <c r="O9" s="28"/>
    </row>
    <row r="10" x14ac:dyDescent="0.3">
      <c r="A10" s="9" t="s">
        <v>1226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/>
      <c r="O10" s="28"/>
    </row>
    <row r="11" x14ac:dyDescent="0.3">
      <c r="A11" s="9" t="s">
        <v>1227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0</v>
      </c>
      <c r="L11" s="28">
        <v>1</v>
      </c>
      <c r="M11" s="28">
        <v>1</v>
      </c>
      <c r="N11" s="28"/>
      <c r="O11" s="28"/>
    </row>
    <row r="12" x14ac:dyDescent="0.3">
      <c r="A12" s="9" t="s">
        <v>1228</v>
      </c>
      <c r="B12" s="28">
        <v>1</v>
      </c>
      <c r="C12" s="28">
        <v>1</v>
      </c>
      <c r="D12" s="28">
        <v>0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/>
      <c r="O12" s="28"/>
    </row>
    <row r="13" x14ac:dyDescent="0.3">
      <c r="A13" s="9" t="s">
        <v>1229</v>
      </c>
      <c r="B13" s="28">
        <v>1</v>
      </c>
      <c r="C13" s="28">
        <v>0</v>
      </c>
      <c r="D13" s="28">
        <v>0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0</v>
      </c>
      <c r="L13" s="28">
        <v>1</v>
      </c>
      <c r="M13" s="28">
        <v>1</v>
      </c>
      <c r="N13" s="28"/>
      <c r="O13" s="28"/>
    </row>
    <row r="14" x14ac:dyDescent="0.3">
      <c r="A14" s="9" t="s">
        <v>1230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/>
      <c r="O14" s="28"/>
    </row>
    <row r="15" x14ac:dyDescent="0.3">
      <c r="A15" s="9" t="s">
        <v>1231</v>
      </c>
      <c r="B15" s="28">
        <v>1</v>
      </c>
      <c r="C15" s="28">
        <v>0</v>
      </c>
      <c r="D15" s="28">
        <v>1</v>
      </c>
      <c r="E15" s="28">
        <v>0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0</v>
      </c>
      <c r="L15" s="28">
        <v>1</v>
      </c>
      <c r="M15" s="28">
        <v>1</v>
      </c>
      <c r="N15" s="28"/>
      <c r="O15" s="28"/>
    </row>
    <row r="16" x14ac:dyDescent="0.3">
      <c r="A16" s="9" t="s">
        <v>1232</v>
      </c>
      <c r="B16" s="28">
        <v>1</v>
      </c>
      <c r="C16" s="28">
        <v>0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0</v>
      </c>
      <c r="L16" s="28">
        <v>1</v>
      </c>
      <c r="M16" s="28">
        <v>0</v>
      </c>
      <c r="N16" s="28"/>
      <c r="O16" s="28"/>
    </row>
    <row r="17" x14ac:dyDescent="0.3">
      <c r="A17" s="9" t="s">
        <v>1233</v>
      </c>
      <c r="B17" s="28">
        <v>1</v>
      </c>
      <c r="C17" s="28">
        <v>1</v>
      </c>
      <c r="D17" s="28">
        <v>1</v>
      </c>
      <c r="E17" s="28">
        <v>1</v>
      </c>
      <c r="F17" s="28">
        <v>0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0</v>
      </c>
      <c r="N17" s="28"/>
      <c r="O17" s="28"/>
    </row>
    <row r="18" x14ac:dyDescent="0.3">
      <c r="A18" s="9" t="s">
        <v>1234</v>
      </c>
      <c r="B18" s="28">
        <v>1</v>
      </c>
      <c r="C18" s="28">
        <v>0</v>
      </c>
      <c r="D18" s="28">
        <v>0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/>
      <c r="O18" s="28"/>
    </row>
    <row r="19" x14ac:dyDescent="0.3">
      <c r="A19" s="9" t="s">
        <v>1235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/>
      <c r="O19" s="28"/>
    </row>
    <row r="20" x14ac:dyDescent="0.3">
      <c r="A20" s="9" t="s">
        <v>1236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/>
      <c r="O20" s="28"/>
    </row>
    <row r="21" x14ac:dyDescent="0.3">
      <c r="A21" s="9" t="s">
        <v>1237</v>
      </c>
      <c r="B21" s="28">
        <v>1</v>
      </c>
      <c r="C21" s="28">
        <v>0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/>
      <c r="O21" s="28"/>
    </row>
    <row r="22" x14ac:dyDescent="0.3">
      <c r="A22" s="9" t="s">
        <v>1238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/>
      <c r="O22" s="28"/>
    </row>
    <row r="23" x14ac:dyDescent="0.3">
      <c r="A23" s="9" t="s">
        <v>1239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/>
      <c r="O23" s="28"/>
    </row>
    <row r="24" x14ac:dyDescent="0.3">
      <c r="A24" s="9" t="s">
        <v>1240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0</v>
      </c>
      <c r="L24" s="28">
        <v>1</v>
      </c>
      <c r="M24" s="28">
        <v>1</v>
      </c>
      <c r="N24" s="28"/>
      <c r="O24" s="28"/>
    </row>
    <row r="25" x14ac:dyDescent="0.3">
      <c r="A25" s="9" t="s">
        <v>1241</v>
      </c>
      <c r="B25" s="28">
        <v>1</v>
      </c>
      <c r="C25" s="28">
        <v>0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/>
      <c r="O25" s="28"/>
    </row>
    <row r="26" x14ac:dyDescent="0.3">
      <c r="A26" s="9" t="s">
        <v>1242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0</v>
      </c>
      <c r="L26" s="28">
        <v>1</v>
      </c>
      <c r="M26" s="28">
        <v>0</v>
      </c>
      <c r="N26" s="28"/>
      <c r="O26" s="28"/>
    </row>
    <row r="27" x14ac:dyDescent="0.3">
      <c r="A27" s="9" t="s">
        <v>1243</v>
      </c>
      <c r="B27" s="28">
        <v>1</v>
      </c>
      <c r="C27" s="28">
        <v>0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/>
      <c r="O27" s="28"/>
    </row>
    <row r="28" x14ac:dyDescent="0.3">
      <c r="A28" s="9" t="s">
        <v>1244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0</v>
      </c>
      <c r="H28" s="28">
        <v>1</v>
      </c>
      <c r="I28" s="28">
        <v>0</v>
      </c>
      <c r="J28" s="28">
        <v>0</v>
      </c>
      <c r="K28" s="28">
        <v>0</v>
      </c>
      <c r="L28" s="28">
        <v>1</v>
      </c>
      <c r="M28" s="28">
        <v>1</v>
      </c>
      <c r="N28" s="28"/>
      <c r="O28" s="28"/>
    </row>
    <row r="29" x14ac:dyDescent="0.3">
      <c r="A29" s="9" t="s">
        <v>1245</v>
      </c>
      <c r="B29" s="28">
        <v>1</v>
      </c>
      <c r="C29" s="28">
        <v>0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0</v>
      </c>
      <c r="L29" s="28">
        <v>1</v>
      </c>
      <c r="M29" s="28">
        <v>1</v>
      </c>
      <c r="N29" s="28"/>
      <c r="O29" s="28"/>
    </row>
    <row r="30" x14ac:dyDescent="0.3">
      <c r="A30" s="9" t="s">
        <v>1246</v>
      </c>
      <c r="B30" s="28">
        <v>1</v>
      </c>
      <c r="C30" s="28">
        <v>0</v>
      </c>
      <c r="D30" s="28">
        <v>1</v>
      </c>
      <c r="E30" s="28">
        <v>1</v>
      </c>
      <c r="F30" s="28">
        <v>1</v>
      </c>
      <c r="G30" s="28">
        <v>0</v>
      </c>
      <c r="H30" s="28">
        <v>1</v>
      </c>
      <c r="I30" s="28">
        <v>1</v>
      </c>
      <c r="J30" s="28">
        <v>1</v>
      </c>
      <c r="K30" s="28">
        <v>0</v>
      </c>
      <c r="L30" s="28">
        <v>1</v>
      </c>
      <c r="M30" s="28">
        <v>0</v>
      </c>
      <c r="N30" s="28"/>
      <c r="O30" s="28"/>
    </row>
    <row r="31" x14ac:dyDescent="0.3">
      <c r="A31" s="9" t="s">
        <v>1247</v>
      </c>
      <c r="B31" s="28">
        <v>1</v>
      </c>
      <c r="C31" s="28">
        <v>1</v>
      </c>
      <c r="D31" s="28">
        <v>1</v>
      </c>
      <c r="E31" s="28">
        <v>1</v>
      </c>
      <c r="F31" s="28">
        <v>1</v>
      </c>
      <c r="G31" s="28">
        <v>1</v>
      </c>
      <c r="H31" s="28">
        <v>1</v>
      </c>
      <c r="I31" s="28">
        <v>1</v>
      </c>
      <c r="J31" s="28">
        <v>1</v>
      </c>
      <c r="K31" s="28">
        <v>0</v>
      </c>
      <c r="L31" s="28">
        <v>1</v>
      </c>
      <c r="M31" s="28">
        <v>0</v>
      </c>
      <c r="N31" s="28"/>
      <c r="O31" s="28"/>
    </row>
    <row r="32" x14ac:dyDescent="0.3">
      <c r="A32" s="5" t="s">
        <v>1248</v>
      </c>
      <c r="B32" s="29">
        <v>1</v>
      </c>
      <c r="C32" s="29">
        <v>1</v>
      </c>
      <c r="D32" s="29">
        <v>1</v>
      </c>
      <c r="E32" s="29">
        <v>1</v>
      </c>
      <c r="F32" s="29">
        <v>1</v>
      </c>
      <c r="G32" s="29">
        <v>1</v>
      </c>
      <c r="H32" s="29">
        <v>1</v>
      </c>
      <c r="I32" s="29">
        <v>1</v>
      </c>
      <c r="J32" s="29">
        <v>1</v>
      </c>
      <c r="K32" s="29">
        <v>1</v>
      </c>
      <c r="L32" s="29">
        <v>1</v>
      </c>
      <c r="M32" s="29">
        <v>1</v>
      </c>
      <c r="N32" s="29"/>
      <c r="O32" s="29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32"/>
  <sheetViews>
    <sheetView workbookViewId="0">
      <selection activeCell="A2" sqref="A2"/>
    </sheetView>
  </sheetViews>
  <sheetFormatPr defaultRowHeight="14.4" x14ac:dyDescent="0.3"/>
  <cols>
    <col min="1" max="1" width="8.15625" style="7" bestFit="true" customWidth="true"/>
    <col min="2" max="2" width="16.82421875" style="7" bestFit="true" customWidth="true"/>
    <col min="3" max="3" width="17.48828125" style="7" bestFit="true" customWidth="true"/>
    <col min="4" max="4" width="18.046875" style="7" bestFit="true" customWidth="true"/>
    <col min="5" max="5" width="16.93359375" style="7" bestFit="true" customWidth="true"/>
    <col min="6" max="6" width="16.046875" style="7" bestFit="true" customWidth="true"/>
    <col min="7" max="7" width="12.6015625" style="7" bestFit="true" customWidth="true"/>
    <col min="8" max="8" width="11.48828125" style="7" bestFit="true" customWidth="true"/>
    <col min="9" max="9" width="11.6015625" style="7" bestFit="true" customWidth="true"/>
    <col min="10" max="10" width="15.37890625" style="7" bestFit="true" customWidth="true"/>
    <col min="11" max="11" width="13.33203125" style="7" bestFit="true" customWidth="true"/>
    <col min="12" max="15" width="8.88671875" style="7"/>
  </cols>
  <sheetData>
    <row r="1" ht="15" thickBot="true" x14ac:dyDescent="0.35">
      <c r="A1" s="19" t="s">
        <v>319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x14ac:dyDescent="0.3">
      <c r="A2" s="5" t="s">
        <v>1254</v>
      </c>
      <c r="B2" s="5" t="s">
        <v>1285</v>
      </c>
      <c r="C2" s="5" t="s">
        <v>1286</v>
      </c>
      <c r="D2" s="5" t="s">
        <v>1287</v>
      </c>
      <c r="E2" s="5" t="s">
        <v>1288</v>
      </c>
      <c r="F2" s="5" t="s">
        <v>1289</v>
      </c>
      <c r="G2" s="5" t="s">
        <v>976</v>
      </c>
      <c r="H2" s="5" t="s">
        <v>977</v>
      </c>
      <c r="I2" s="5" t="s">
        <v>978</v>
      </c>
      <c r="J2" s="5" t="s">
        <v>649</v>
      </c>
      <c r="K2" s="5"/>
      <c r="L2" s="5"/>
      <c r="M2" s="5"/>
      <c r="N2" s="5"/>
      <c r="O2" s="5"/>
    </row>
    <row r="3" x14ac:dyDescent="0.3">
      <c r="A3" s="2" t="s">
        <v>1255</v>
      </c>
      <c r="B3" s="2">
        <v>0</v>
      </c>
      <c r="C3" s="2">
        <v>0</v>
      </c>
      <c r="D3" s="2">
        <v>0</v>
      </c>
      <c r="E3" s="2">
        <v>2</v>
      </c>
      <c r="F3" s="2">
        <v>0</v>
      </c>
      <c r="G3" s="2">
        <v>465</v>
      </c>
      <c r="H3" s="2">
        <v>465</v>
      </c>
      <c r="I3" s="2">
        <v>465</v>
      </c>
      <c r="J3" s="2">
        <v>0</v>
      </c>
      <c r="K3" s="2">
        <v>0</v>
      </c>
      <c r="L3" s="2">
        <v>0</v>
      </c>
      <c r="M3" s="2">
        <v>0</v>
      </c>
      <c r="N3" s="2"/>
      <c r="O3" s="2"/>
    </row>
    <row r="4" x14ac:dyDescent="0.3">
      <c r="A4" s="9" t="s">
        <v>1256</v>
      </c>
      <c r="B4" s="9">
        <v>0</v>
      </c>
      <c r="C4" s="9">
        <v>1</v>
      </c>
      <c r="D4" s="9">
        <v>0</v>
      </c>
      <c r="E4" s="9">
        <v>431</v>
      </c>
      <c r="F4" s="9">
        <v>0</v>
      </c>
      <c r="G4" s="9">
        <v>465</v>
      </c>
      <c r="H4" s="9">
        <v>465</v>
      </c>
      <c r="I4" s="9">
        <v>465</v>
      </c>
      <c r="J4" s="9">
        <v>0</v>
      </c>
      <c r="K4" s="9">
        <v>71</v>
      </c>
      <c r="L4" s="9">
        <v>0</v>
      </c>
      <c r="M4" s="9">
        <v>0</v>
      </c>
      <c r="N4" s="9"/>
      <c r="O4" s="9"/>
    </row>
    <row r="5" x14ac:dyDescent="0.3">
      <c r="A5" s="9" t="s">
        <v>1257</v>
      </c>
      <c r="B5" s="9">
        <v>0</v>
      </c>
      <c r="C5" s="9">
        <v>0</v>
      </c>
      <c r="D5" s="9">
        <v>0</v>
      </c>
      <c r="E5" s="9">
        <v>6</v>
      </c>
      <c r="F5" s="9">
        <v>3</v>
      </c>
      <c r="G5" s="9">
        <v>465</v>
      </c>
      <c r="H5" s="9">
        <v>465</v>
      </c>
      <c r="I5" s="9">
        <v>462</v>
      </c>
      <c r="J5" s="9">
        <v>0</v>
      </c>
      <c r="K5" s="9">
        <v>0</v>
      </c>
      <c r="L5" s="9">
        <v>0</v>
      </c>
      <c r="M5" s="9">
        <v>16</v>
      </c>
      <c r="N5" s="9"/>
      <c r="O5" s="9"/>
    </row>
    <row r="6" x14ac:dyDescent="0.3">
      <c r="A6" s="9" t="s">
        <v>1258</v>
      </c>
      <c r="B6" s="9">
        <v>0</v>
      </c>
      <c r="C6" s="9">
        <v>24</v>
      </c>
      <c r="D6" s="9">
        <v>0</v>
      </c>
      <c r="E6" s="9">
        <v>13</v>
      </c>
      <c r="F6" s="9">
        <v>6</v>
      </c>
      <c r="G6" s="9">
        <v>465</v>
      </c>
      <c r="H6" s="9">
        <v>465</v>
      </c>
      <c r="I6" s="9">
        <v>465</v>
      </c>
      <c r="J6" s="9">
        <v>0</v>
      </c>
      <c r="K6" s="9">
        <v>0</v>
      </c>
      <c r="L6" s="9">
        <v>0</v>
      </c>
      <c r="M6" s="9">
        <v>0</v>
      </c>
      <c r="N6" s="9"/>
      <c r="O6" s="9"/>
    </row>
    <row r="7" x14ac:dyDescent="0.3">
      <c r="A7" s="9" t="s">
        <v>1259</v>
      </c>
      <c r="B7" s="9">
        <v>0</v>
      </c>
      <c r="C7" s="9">
        <v>16</v>
      </c>
      <c r="D7" s="9">
        <v>0</v>
      </c>
      <c r="E7" s="9">
        <v>0</v>
      </c>
      <c r="F7" s="9">
        <v>216</v>
      </c>
      <c r="G7" s="9">
        <v>465</v>
      </c>
      <c r="H7" s="9">
        <v>465</v>
      </c>
      <c r="I7" s="9">
        <v>465</v>
      </c>
      <c r="J7" s="9">
        <v>0</v>
      </c>
      <c r="K7" s="9">
        <v>3</v>
      </c>
      <c r="L7" s="9">
        <v>0</v>
      </c>
      <c r="M7" s="9">
        <v>0</v>
      </c>
      <c r="N7" s="9"/>
      <c r="O7" s="9"/>
    </row>
    <row r="8" x14ac:dyDescent="0.3">
      <c r="A8" s="9" t="s">
        <v>1260</v>
      </c>
      <c r="B8" s="9">
        <v>0</v>
      </c>
      <c r="C8" s="9">
        <v>22</v>
      </c>
      <c r="D8" s="9">
        <v>462</v>
      </c>
      <c r="E8" s="9">
        <v>465</v>
      </c>
      <c r="F8" s="9">
        <v>461</v>
      </c>
      <c r="G8" s="9">
        <v>465</v>
      </c>
      <c r="H8" s="9">
        <v>465</v>
      </c>
      <c r="I8" s="9">
        <v>465</v>
      </c>
      <c r="J8" s="9">
        <v>451</v>
      </c>
      <c r="K8" s="9">
        <v>357</v>
      </c>
      <c r="L8" s="9">
        <v>0</v>
      </c>
      <c r="M8" s="9">
        <v>457</v>
      </c>
      <c r="N8" s="9"/>
      <c r="O8" s="9"/>
    </row>
    <row r="9" x14ac:dyDescent="0.3">
      <c r="A9" s="9" t="s">
        <v>1261</v>
      </c>
      <c r="B9" s="9">
        <v>0</v>
      </c>
      <c r="C9" s="9">
        <v>0</v>
      </c>
      <c r="D9" s="9">
        <v>0</v>
      </c>
      <c r="E9" s="9">
        <v>462</v>
      </c>
      <c r="F9" s="9">
        <v>0</v>
      </c>
      <c r="G9" s="9">
        <v>465</v>
      </c>
      <c r="H9" s="9">
        <v>465</v>
      </c>
      <c r="I9" s="9">
        <v>465</v>
      </c>
      <c r="J9" s="9">
        <v>0</v>
      </c>
      <c r="K9" s="9">
        <v>300</v>
      </c>
      <c r="L9" s="9">
        <v>0</v>
      </c>
      <c r="M9" s="9">
        <v>0</v>
      </c>
      <c r="N9" s="9"/>
      <c r="O9" s="9"/>
    </row>
    <row r="10" x14ac:dyDescent="0.3">
      <c r="A10" s="9" t="s">
        <v>1262</v>
      </c>
      <c r="B10" s="9">
        <v>0</v>
      </c>
      <c r="C10" s="9">
        <v>68</v>
      </c>
      <c r="D10" s="9">
        <v>389</v>
      </c>
      <c r="E10" s="9">
        <v>465</v>
      </c>
      <c r="F10" s="9">
        <v>465</v>
      </c>
      <c r="G10" s="9">
        <v>465</v>
      </c>
      <c r="H10" s="9">
        <v>465</v>
      </c>
      <c r="I10" s="9">
        <v>465</v>
      </c>
      <c r="J10" s="9">
        <v>112</v>
      </c>
      <c r="K10" s="9">
        <v>15</v>
      </c>
      <c r="L10" s="9">
        <v>0</v>
      </c>
      <c r="M10" s="9">
        <v>465</v>
      </c>
      <c r="N10" s="9"/>
      <c r="O10" s="9"/>
    </row>
    <row r="11" x14ac:dyDescent="0.3">
      <c r="A11" s="9" t="s">
        <v>1263</v>
      </c>
      <c r="B11" s="9">
        <v>0</v>
      </c>
      <c r="C11" s="9">
        <v>25</v>
      </c>
      <c r="D11" s="9">
        <v>425</v>
      </c>
      <c r="E11" s="9">
        <v>422</v>
      </c>
      <c r="F11" s="9">
        <v>429</v>
      </c>
      <c r="G11" s="9">
        <v>465</v>
      </c>
      <c r="H11" s="9">
        <v>465</v>
      </c>
      <c r="I11" s="9">
        <v>465</v>
      </c>
      <c r="J11" s="9">
        <v>372</v>
      </c>
      <c r="K11" s="9">
        <v>198</v>
      </c>
      <c r="L11" s="9">
        <v>4</v>
      </c>
      <c r="M11" s="9">
        <v>378</v>
      </c>
      <c r="N11" s="9"/>
      <c r="O11" s="9"/>
    </row>
    <row r="12" x14ac:dyDescent="0.3">
      <c r="A12" s="9" t="s">
        <v>1264</v>
      </c>
      <c r="B12" s="9">
        <v>0</v>
      </c>
      <c r="C12" s="9">
        <v>98</v>
      </c>
      <c r="D12" s="9">
        <v>153</v>
      </c>
      <c r="E12" s="9">
        <v>360</v>
      </c>
      <c r="F12" s="9">
        <v>465</v>
      </c>
      <c r="G12" s="9">
        <v>465</v>
      </c>
      <c r="H12" s="9">
        <v>465</v>
      </c>
      <c r="I12" s="9">
        <v>465</v>
      </c>
      <c r="J12" s="9">
        <v>9</v>
      </c>
      <c r="K12" s="9">
        <v>3</v>
      </c>
      <c r="L12" s="9">
        <v>0</v>
      </c>
      <c r="M12" s="9">
        <v>465</v>
      </c>
      <c r="N12" s="9"/>
      <c r="O12" s="9"/>
    </row>
    <row r="13" x14ac:dyDescent="0.3">
      <c r="A13" s="9" t="s">
        <v>1265</v>
      </c>
      <c r="B13" s="9">
        <v>0</v>
      </c>
      <c r="C13" s="9">
        <v>153</v>
      </c>
      <c r="D13" s="9">
        <v>220</v>
      </c>
      <c r="E13" s="9">
        <v>18</v>
      </c>
      <c r="F13" s="9">
        <v>434</v>
      </c>
      <c r="G13" s="9">
        <v>465</v>
      </c>
      <c r="H13" s="9">
        <v>465</v>
      </c>
      <c r="I13" s="9">
        <v>465</v>
      </c>
      <c r="J13" s="9">
        <v>117</v>
      </c>
      <c r="K13" s="9">
        <v>183</v>
      </c>
      <c r="L13" s="9">
        <v>0</v>
      </c>
      <c r="M13" s="9">
        <v>341</v>
      </c>
      <c r="N13" s="9"/>
      <c r="O13" s="9"/>
    </row>
    <row r="14" x14ac:dyDescent="0.3">
      <c r="A14" s="9" t="s">
        <v>1266</v>
      </c>
      <c r="B14" s="9">
        <v>2</v>
      </c>
      <c r="C14" s="9">
        <v>33</v>
      </c>
      <c r="D14" s="9">
        <v>4</v>
      </c>
      <c r="E14" s="9">
        <v>0</v>
      </c>
      <c r="F14" s="9">
        <v>465</v>
      </c>
      <c r="G14" s="9">
        <v>465</v>
      </c>
      <c r="H14" s="9">
        <v>465</v>
      </c>
      <c r="I14" s="9">
        <v>465</v>
      </c>
      <c r="J14" s="9">
        <v>0</v>
      </c>
      <c r="K14" s="9">
        <v>17</v>
      </c>
      <c r="L14" s="9">
        <v>0</v>
      </c>
      <c r="M14" s="9">
        <v>0</v>
      </c>
      <c r="N14" s="9"/>
      <c r="O14" s="9"/>
    </row>
    <row r="15" x14ac:dyDescent="0.3">
      <c r="A15" s="9" t="s">
        <v>1267</v>
      </c>
      <c r="B15" s="9">
        <v>0</v>
      </c>
      <c r="C15" s="9">
        <v>193</v>
      </c>
      <c r="D15" s="9">
        <v>130</v>
      </c>
      <c r="E15" s="9">
        <v>198</v>
      </c>
      <c r="F15" s="9">
        <v>5</v>
      </c>
      <c r="G15" s="9">
        <v>465</v>
      </c>
      <c r="H15" s="9">
        <v>465</v>
      </c>
      <c r="I15" s="9">
        <v>465</v>
      </c>
      <c r="J15" s="9">
        <v>74</v>
      </c>
      <c r="K15" s="9">
        <v>196</v>
      </c>
      <c r="L15" s="9">
        <v>0</v>
      </c>
      <c r="M15" s="9">
        <v>17</v>
      </c>
      <c r="N15" s="9"/>
      <c r="O15" s="9"/>
    </row>
    <row r="16" x14ac:dyDescent="0.3">
      <c r="A16" s="9" t="s">
        <v>1268</v>
      </c>
      <c r="B16" s="9">
        <v>0</v>
      </c>
      <c r="C16" s="9">
        <v>153</v>
      </c>
      <c r="D16" s="9">
        <v>8</v>
      </c>
      <c r="E16" s="9">
        <v>72</v>
      </c>
      <c r="F16" s="9">
        <v>1</v>
      </c>
      <c r="G16" s="9">
        <v>465</v>
      </c>
      <c r="H16" s="9">
        <v>465</v>
      </c>
      <c r="I16" s="9">
        <v>465</v>
      </c>
      <c r="J16" s="9">
        <v>47</v>
      </c>
      <c r="K16" s="9">
        <v>247</v>
      </c>
      <c r="L16" s="9">
        <v>0</v>
      </c>
      <c r="M16" s="9">
        <v>139</v>
      </c>
      <c r="N16" s="9"/>
      <c r="O16" s="9"/>
    </row>
    <row r="17" x14ac:dyDescent="0.3">
      <c r="A17" s="9" t="s">
        <v>1269</v>
      </c>
      <c r="B17" s="9">
        <v>0</v>
      </c>
      <c r="C17" s="9">
        <v>29</v>
      </c>
      <c r="D17" s="9">
        <v>30</v>
      </c>
      <c r="E17" s="9">
        <v>455</v>
      </c>
      <c r="F17" s="9">
        <v>190</v>
      </c>
      <c r="G17" s="9">
        <v>465</v>
      </c>
      <c r="H17" s="9">
        <v>465</v>
      </c>
      <c r="I17" s="9">
        <v>465</v>
      </c>
      <c r="J17" s="9">
        <v>30</v>
      </c>
      <c r="K17" s="9">
        <v>464</v>
      </c>
      <c r="L17" s="9">
        <v>0</v>
      </c>
      <c r="M17" s="9">
        <v>322</v>
      </c>
      <c r="N17" s="9"/>
      <c r="O17" s="9"/>
    </row>
    <row r="18" x14ac:dyDescent="0.3">
      <c r="A18" s="9" t="s">
        <v>1270</v>
      </c>
      <c r="B18" s="9">
        <v>0</v>
      </c>
      <c r="C18" s="9">
        <v>178</v>
      </c>
      <c r="D18" s="9">
        <v>325</v>
      </c>
      <c r="E18" s="9">
        <v>119</v>
      </c>
      <c r="F18" s="9">
        <v>458</v>
      </c>
      <c r="G18" s="9">
        <v>465</v>
      </c>
      <c r="H18" s="9">
        <v>465</v>
      </c>
      <c r="I18" s="9">
        <v>465</v>
      </c>
      <c r="J18" s="9">
        <v>12</v>
      </c>
      <c r="K18" s="9">
        <v>63</v>
      </c>
      <c r="L18" s="9">
        <v>6</v>
      </c>
      <c r="M18" s="9">
        <v>365</v>
      </c>
      <c r="N18" s="9"/>
      <c r="O18" s="9"/>
    </row>
    <row r="19" x14ac:dyDescent="0.3">
      <c r="A19" s="9" t="s">
        <v>1271</v>
      </c>
      <c r="B19" s="9">
        <v>0</v>
      </c>
      <c r="C19" s="9">
        <v>0</v>
      </c>
      <c r="D19" s="9">
        <v>13</v>
      </c>
      <c r="E19" s="9">
        <v>42</v>
      </c>
      <c r="F19" s="9">
        <v>0</v>
      </c>
      <c r="G19" s="9">
        <v>465</v>
      </c>
      <c r="H19" s="9">
        <v>465</v>
      </c>
      <c r="I19" s="9">
        <v>465</v>
      </c>
      <c r="J19" s="9">
        <v>0</v>
      </c>
      <c r="K19" s="9">
        <v>0</v>
      </c>
      <c r="L19" s="9">
        <v>0</v>
      </c>
      <c r="M19" s="9">
        <v>0</v>
      </c>
      <c r="N19" s="9"/>
      <c r="O19" s="9"/>
    </row>
    <row r="20" x14ac:dyDescent="0.3">
      <c r="A20" s="9" t="s">
        <v>1272</v>
      </c>
      <c r="B20" s="9">
        <v>0</v>
      </c>
      <c r="C20" s="9">
        <v>3</v>
      </c>
      <c r="D20" s="9">
        <v>17</v>
      </c>
      <c r="E20" s="9">
        <v>414</v>
      </c>
      <c r="F20" s="9">
        <v>0</v>
      </c>
      <c r="G20" s="9">
        <v>465</v>
      </c>
      <c r="H20" s="9">
        <v>465</v>
      </c>
      <c r="I20" s="9">
        <v>465</v>
      </c>
      <c r="J20" s="9">
        <v>0</v>
      </c>
      <c r="K20" s="9">
        <v>100</v>
      </c>
      <c r="L20" s="9">
        <v>0</v>
      </c>
      <c r="M20" s="9">
        <v>0</v>
      </c>
      <c r="N20" s="9"/>
      <c r="O20" s="9"/>
    </row>
    <row r="21" x14ac:dyDescent="0.3">
      <c r="A21" s="9" t="s">
        <v>1273</v>
      </c>
      <c r="B21" s="9">
        <v>0</v>
      </c>
      <c r="C21" s="9">
        <v>138</v>
      </c>
      <c r="D21" s="9">
        <v>28</v>
      </c>
      <c r="E21" s="9">
        <v>376</v>
      </c>
      <c r="F21" s="9">
        <v>47</v>
      </c>
      <c r="G21" s="9">
        <v>465</v>
      </c>
      <c r="H21" s="9">
        <v>465</v>
      </c>
      <c r="I21" s="9">
        <v>465</v>
      </c>
      <c r="J21" s="9">
        <v>19</v>
      </c>
      <c r="K21" s="9">
        <v>106</v>
      </c>
      <c r="L21" s="9">
        <v>0</v>
      </c>
      <c r="M21" s="9">
        <v>42</v>
      </c>
      <c r="N21" s="9"/>
      <c r="O21" s="9"/>
    </row>
    <row r="22" x14ac:dyDescent="0.3">
      <c r="A22" s="9" t="s">
        <v>1274</v>
      </c>
      <c r="B22" s="9">
        <v>0</v>
      </c>
      <c r="C22" s="9">
        <v>0</v>
      </c>
      <c r="D22" s="9">
        <v>0</v>
      </c>
      <c r="E22" s="9">
        <v>7</v>
      </c>
      <c r="F22" s="9">
        <v>0</v>
      </c>
      <c r="G22" s="9">
        <v>465</v>
      </c>
      <c r="H22" s="9">
        <v>465</v>
      </c>
      <c r="I22" s="9">
        <v>465</v>
      </c>
      <c r="J22" s="9">
        <v>0</v>
      </c>
      <c r="K22" s="9">
        <v>0</v>
      </c>
      <c r="L22" s="9">
        <v>0</v>
      </c>
      <c r="M22" s="9">
        <v>6</v>
      </c>
      <c r="N22" s="9"/>
      <c r="O22" s="9"/>
    </row>
    <row r="23" x14ac:dyDescent="0.3">
      <c r="A23" s="9" t="s">
        <v>1275</v>
      </c>
      <c r="B23" s="9">
        <v>0</v>
      </c>
      <c r="C23" s="9">
        <v>25</v>
      </c>
      <c r="D23" s="9">
        <v>23</v>
      </c>
      <c r="E23" s="9">
        <v>51</v>
      </c>
      <c r="F23" s="9">
        <v>0</v>
      </c>
      <c r="G23" s="9">
        <v>465</v>
      </c>
      <c r="H23" s="9">
        <v>465</v>
      </c>
      <c r="I23" s="9">
        <v>465</v>
      </c>
      <c r="J23" s="9">
        <v>0</v>
      </c>
      <c r="K23" s="9">
        <v>1</v>
      </c>
      <c r="L23" s="9">
        <v>0</v>
      </c>
      <c r="M23" s="9">
        <v>0</v>
      </c>
      <c r="N23" s="9"/>
      <c r="O23" s="9"/>
    </row>
    <row r="24" x14ac:dyDescent="0.3">
      <c r="A24" s="9" t="s">
        <v>1276</v>
      </c>
      <c r="B24" s="9">
        <v>20</v>
      </c>
      <c r="C24" s="9">
        <v>49</v>
      </c>
      <c r="D24" s="9">
        <v>349</v>
      </c>
      <c r="E24" s="9">
        <v>395</v>
      </c>
      <c r="F24" s="9">
        <v>134</v>
      </c>
      <c r="G24" s="9">
        <v>465</v>
      </c>
      <c r="H24" s="9">
        <v>465</v>
      </c>
      <c r="I24" s="9">
        <v>465</v>
      </c>
      <c r="J24" s="9">
        <v>357</v>
      </c>
      <c r="K24" s="9">
        <v>245</v>
      </c>
      <c r="L24" s="9">
        <v>32</v>
      </c>
      <c r="M24" s="9">
        <v>50</v>
      </c>
      <c r="N24" s="9"/>
      <c r="O24" s="9"/>
    </row>
    <row r="25" x14ac:dyDescent="0.3">
      <c r="A25" s="9" t="s">
        <v>1277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465</v>
      </c>
      <c r="M25" s="9">
        <v>0</v>
      </c>
      <c r="N25" s="9"/>
      <c r="O25" s="9"/>
    </row>
    <row r="26" x14ac:dyDescent="0.3">
      <c r="A26" s="9" t="s">
        <v>1278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263</v>
      </c>
      <c r="L26" s="9">
        <v>465</v>
      </c>
      <c r="M26" s="9">
        <v>305</v>
      </c>
      <c r="N26" s="9"/>
      <c r="O26" s="9"/>
    </row>
    <row r="27" x14ac:dyDescent="0.3">
      <c r="A27" s="9" t="s">
        <v>1279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29</v>
      </c>
      <c r="L27" s="9">
        <v>465</v>
      </c>
      <c r="M27" s="9">
        <v>57</v>
      </c>
      <c r="N27" s="9"/>
      <c r="O27" s="9"/>
    </row>
    <row r="28" x14ac:dyDescent="0.3">
      <c r="A28" s="9" t="s">
        <v>1280</v>
      </c>
      <c r="B28" s="9">
        <v>57</v>
      </c>
      <c r="C28" s="9">
        <v>24</v>
      </c>
      <c r="D28" s="9">
        <v>16</v>
      </c>
      <c r="E28" s="9">
        <v>98</v>
      </c>
      <c r="F28" s="9">
        <v>47</v>
      </c>
      <c r="G28" s="9">
        <v>206</v>
      </c>
      <c r="H28" s="9">
        <v>417</v>
      </c>
      <c r="I28" s="9">
        <v>300</v>
      </c>
      <c r="J28" s="9">
        <v>205</v>
      </c>
      <c r="K28" s="9">
        <v>326</v>
      </c>
      <c r="L28" s="9">
        <v>60</v>
      </c>
      <c r="M28" s="9">
        <v>120</v>
      </c>
      <c r="N28" s="9"/>
      <c r="O28" s="9"/>
    </row>
    <row r="29" x14ac:dyDescent="0.3">
      <c r="A29" s="9" t="s">
        <v>1281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433</v>
      </c>
      <c r="H29" s="9">
        <v>450</v>
      </c>
      <c r="I29" s="9">
        <v>447</v>
      </c>
      <c r="J29" s="9">
        <v>0</v>
      </c>
      <c r="K29" s="9">
        <v>288</v>
      </c>
      <c r="L29" s="9">
        <v>465</v>
      </c>
      <c r="M29" s="9">
        <v>391</v>
      </c>
      <c r="N29" s="9"/>
      <c r="O29" s="9"/>
    </row>
    <row r="30" x14ac:dyDescent="0.3">
      <c r="A30" s="9" t="s">
        <v>1282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258</v>
      </c>
      <c r="H30" s="9">
        <v>345</v>
      </c>
      <c r="I30" s="9">
        <v>345</v>
      </c>
      <c r="J30" s="9">
        <v>0</v>
      </c>
      <c r="K30" s="9">
        <v>294</v>
      </c>
      <c r="L30" s="9">
        <v>465</v>
      </c>
      <c r="M30" s="9">
        <v>305</v>
      </c>
      <c r="N30" s="9"/>
      <c r="O30" s="9"/>
    </row>
    <row r="31" x14ac:dyDescent="0.3">
      <c r="A31" s="9" t="s">
        <v>1283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465</v>
      </c>
      <c r="H31" s="9">
        <v>456</v>
      </c>
      <c r="I31" s="9">
        <v>464</v>
      </c>
      <c r="J31" s="9">
        <v>0</v>
      </c>
      <c r="K31" s="9">
        <v>153</v>
      </c>
      <c r="L31" s="9">
        <v>465</v>
      </c>
      <c r="M31" s="9">
        <v>294</v>
      </c>
      <c r="N31" s="9"/>
      <c r="O31" s="9"/>
    </row>
    <row r="32" x14ac:dyDescent="0.3">
      <c r="A32" s="5" t="s">
        <v>1284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465</v>
      </c>
      <c r="H32" s="5">
        <v>463</v>
      </c>
      <c r="I32" s="5">
        <v>465</v>
      </c>
      <c r="J32" s="5">
        <v>0</v>
      </c>
      <c r="K32" s="5">
        <v>0</v>
      </c>
      <c r="L32" s="5">
        <v>465</v>
      </c>
      <c r="M32" s="5">
        <v>0</v>
      </c>
      <c r="N32" s="5"/>
      <c r="O3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5"/>
  <sheetViews>
    <sheetView workbookViewId="0"/>
  </sheetViews>
  <sheetFormatPr defaultRowHeight="14.4" x14ac:dyDescent="0.3"/>
  <cols>
    <col min="1" max="1" width="46.26953125" customWidth="true"/>
  </cols>
  <sheetData>
    <row r="1" x14ac:dyDescent="0.3">
      <c r="A1" s="0" t="s">
        <v>1290</v>
      </c>
    </row>
    <row r="2" x14ac:dyDescent="0.3">
      <c r="A2" s="0" t="s">
        <v>1291</v>
      </c>
    </row>
    <row r="3" x14ac:dyDescent="0.3">
      <c r="A3" s="0" t="s">
        <v>1292</v>
      </c>
    </row>
    <row r="4" x14ac:dyDescent="0.3">
      <c r="A4" s="0" t="s">
        <v>1293</v>
      </c>
    </row>
    <row r="5" x14ac:dyDescent="0.3">
      <c r="A5" s="0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2025-08-16T09:36:04Z</dcterms:modified>
</cp:coreProperties>
</file>