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20\"/>
    </mc:Choice>
  </mc:AlternateContent>
  <xr:revisionPtr revIDLastSave="0" documentId="13_ncr:1_{9374BF3F-DE5D-4975-9848-0180D529CB83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<sst xmlns="http://schemas.openxmlformats.org/spreadsheetml/2006/main" count="553" uniqueCount="426">
  <si>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</si>
  <si>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</si>
  <si>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</si>
  <si>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</si>
  <si>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</si>
  <si>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</si>
  <si>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</si>
  <si>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</si>
  <si>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</si>
  <si>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</si>
  <si>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</si>
  <si>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</si>
  <si>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</si>
  <si>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Unimodal
Functions</t>
  </si>
  <si>
    <t>Functions</t>
  </si>
  <si>
    <t>Column1</t>
  </si>
  <si>
    <t>Column2</t>
  </si>
  <si>
    <t>Hybrid
Function</t>
  </si>
  <si>
    <t>Basic
Functions</t>
  </si>
  <si>
    <t>Composition
Function</t>
  </si>
  <si>
    <t>Comparison of optimization results for the CEC benchmark functions 2020 (10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</si>
  <si>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</si>
  <si>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</si>
  <si>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</si>
  <si>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</si>
  <si>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</si>
  <si>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</si>
  <si>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</si>
  <si>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</si>
  <si>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</si>
  <si>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</si>
  <si>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</si>
  <si>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</si>
  <si>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</si>
  <si>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</si>
  <si>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</si>
  <si>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</si>
  <si>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</si>
  <si>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</si>
  <si>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</si>
  <si>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</si>
  <si>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</si>
  <si>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</si>
  <si>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</si>
  <si>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</si>
  <si>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</si>
  <si>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</si>
  <si>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</si>
  <si>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</si>
  <si>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</si>
  <si>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</si>
  <si>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</si>
  <si>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</si>
  <si>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</si>
  <si>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</si>
  <si>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</si>
  <si>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</si>
  <si>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</si>
  <si>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</si>
  <si>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</si>
  <si>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</si>
  <si>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</si>
  <si>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</si>
  <si>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</si>
  <si>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</si>
  <si>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</si>
  <si>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</si>
  <si>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</si>
  <si>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</si>
  <si>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</si>
  <si>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</si>
  <si>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</si>
  <si>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</si>
  <si>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</si>
  <si>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</si>
  <si>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</si>
  <si>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</si>
  <si>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</si>
  <si>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</si>
  <si>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</si>
  <si>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</si>
  <si>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</si>
  <si>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</si>
  <si>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</si>
  <si>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</si>
  <si>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</si>
  <si>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</si>
  <si>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</si>
  <si>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</si>
  <si>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</si>
  <si>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</si>
  <si>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</si>
  <si>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</si>
  <si>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</si>
  <si>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</si>
  <si>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</si>
  <si>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</si>
  <si>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</si>
  <si>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</si>
  <si>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</si>
  <si>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</si>
  <si>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</si>
  <si>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</si>
  <si>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</si>
  <si>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</si>
  <si>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</si>
  <si>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</si>
  <si>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</si>
  <si>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</si>
  <si>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</si>
  <si>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</si>
  <si>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</si>
  <si>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</si>
  <si>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</si>
  <si>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</si>
  <si>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</si>
  <si>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</si>
  <si>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</si>
  <si>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</si>
  <si>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</si>
  <si>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2020 (10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</si>
  <si>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</si>
  <si>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</si>
  <si>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</si>
  <si>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</si>
  <si>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</si>
  <si>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</si>
  <si>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</si>
  <si>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</si>
  <si>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</si>
  <si>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</si>
  <si>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</si>
  <si>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</si>
  <si>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</si>
  <si>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</si>
  <si>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</si>
  <si>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2020 (10 Dim)</t>
  </si>
  <si>
    <t>H-value of the T-test analysis for the CEC benchmark functions 2020 (10 Dim)</t>
  </si>
  <si>
    <t>H-value of the Wilcoxon analysis for the CEC benchmark functions 2020 (10 Dim)</t>
  </si>
  <si>
    <t>State of the Wilcoxon analysis for the CEC benchmark functions 2020 (10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</si>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</sst>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64" fontId="0" fillId="0" borderId="5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2" fontId="0" fillId="0" borderId="0" xfId="0" applyNumberFormat="true" applyAlignment="true">
      <alignment horizontal="left" vertical="top"/>
    </xf>
    <xf numFmtId="11" fontId="0" fillId="0" borderId="6" xfId="0" applyNumberFormat="true" applyBorder="true" applyAlignment="true">
      <alignment horizontal="left" vertical="top"/>
    </xf>
    <xf numFmtId="0" fontId="0" fillId="0" borderId="6" xfId="0" applyBorder="true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1" fillId="0" borderId="6" xfId="0" applyFont="true" applyBorder="true" applyAlignment="true">
      <alignment horizontal="left" vertical="top"/>
    </xf>
    <xf numFmtId="0" fontId="0" fillId="0" borderId="6" xfId="0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0" fillId="0" borderId="5" xfId="0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1" fillId="0" borderId="6" xfId="0" applyFont="true" applyBorder="true" applyAlignment="true">
      <alignment horizontal="left" vertical="top" wrapText="true"/>
    </xf>
    <xf numFmtId="0" fontId="1" fillId="0" borderId="3" xfId="0" applyFont="true" applyBorder="true" applyAlignment="true">
      <alignment horizontal="left" vertical="top"/>
    </xf>
    <xf numFmtId="11" fontId="2" fillId="0" borderId="2" xfId="0" applyNumberFormat="true" applyFont="true" applyBorder="true" applyAlignment="true">
      <alignment horizontal="left" vertical="top"/>
    </xf>
    <xf numFmtId="0" fontId="2" fillId="0" borderId="2" xfId="0" applyFon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1" fontId="0" fillId="0" borderId="6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22" fontId="0" fillId="0" borderId="7" xfId="0" applyNumberFormat="true"/>
  </cellXfs>
  <cellStyles count="1">
    <cellStyle name="Normal" xfId="0" builtinId="0"/>
  </cellStyles>
  <dxfs count="20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32" totalsRowShown="false" headerRowDxfId="19" dataDxfId="18" tableBorderDxfId="17" mc:Ignorable="xr xr3" xr:uid="{00000000-000C-0000-FFFF-FFFF00000000}">
  <autoFilter ref="S2:T32" xr:uid="{00000000-0009-0000-0100-000001000000}"/>
  <tableColumns count="2">
    <tableColumn id="1" name="Column1" dataDxfId="16" xr3:uid="{00000000-0010-0000-0000-000001000000}"/>
    <tableColumn id="2" name="Column2" dataDxfId="15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true" workbookViewId="0">
      <selection activeCell="D13" sqref="D13"/>
    </sheetView>
  </sheetViews>
  <sheetFormatPr defaultRowHeight="14.4" x14ac:dyDescent="0.3"/>
  <cols>
    <col min="1" max="1" width="11.33203125" style="7" bestFit="true" customWidth="true"/>
    <col min="2" max="2" width="4.046875" style="7" bestFit="true" customWidth="true"/>
    <col min="3" max="3" width="5.82421875" style="7" bestFit="true" customWidth="true"/>
    <col min="4" max="4" width="11.15625" style="7" bestFit="true" customWidth="true"/>
    <col min="13" max="13" width="8.7109375" style="7" bestFit="true" customWidth="true"/>
    <col min="19" max="20" width="10.44140625" style="7" customWidth="true"/>
    <col min="21" max="22" width="8.88671875" style="7"/>
    <col min="23" max="31" width="10.33203125" bestFit="true" customWidth="true"/>
    <col min="32" max="33" width="11.33203125" bestFit="true" customWidth="true"/>
    <col min="34" max="37" width="11.33203125" style="7" bestFit="true" customWidth="true"/>
    <col min="38" max="16384" width="8.88671875" style="7"/>
    <col min="5" max="5" width="8.7109375" style="7" bestFit="true" customWidth="true"/>
    <col min="6" max="6" width="8.7109375" style="7" bestFit="true" customWidth="true"/>
    <col min="7" max="7" width="8.7109375" style="7" bestFit="true" customWidth="true"/>
    <col min="8" max="8" width="8.7109375" style="7" bestFit="true" customWidth="true"/>
    <col min="9" max="9" width="8.7109375" style="7" bestFit="true" customWidth="true"/>
    <col min="10" max="10" width="8.7109375" style="7" bestFit="true" customWidth="true"/>
    <col min="11" max="11" width="8.7109375" style="7" bestFit="true" customWidth="true"/>
    <col min="12" max="12" width="8.7109375" style="7" bestFit="true" customWidth="true"/>
    <col min="14" max="18" width="11.33203125" style="7" bestFit="true" customWidth="true"/>
  </cols>
  <sheetData>
    <row r="1" ht="15" thickBot="true" x14ac:dyDescent="0.35">
      <c r="A1" s="23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x14ac:dyDescent="0.3">
      <c r="A2" s="22" t="s">
        <v>14</v>
      </c>
      <c r="B2" s="22"/>
      <c r="C2" s="22"/>
      <c r="D2" s="1" t="s">
        <v>335</v>
      </c>
      <c r="E2" s="1" t="s">
        <v>336</v>
      </c>
      <c r="F2" s="1" t="s">
        <v>337</v>
      </c>
      <c r="G2" s="1" t="s">
        <v>338</v>
      </c>
      <c r="H2" s="1" t="s">
        <v>339</v>
      </c>
      <c r="I2" s="1" t="s">
        <v>340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131</v>
      </c>
      <c r="O2" s="1" t="s">
        <v>132</v>
      </c>
      <c r="P2" s="1" t="s">
        <v>133</v>
      </c>
      <c r="Q2" s="1" t="s">
        <v>134</v>
      </c>
      <c r="R2" s="1" t="s">
        <v>135</v>
      </c>
      <c r="S2" s="4" t="s">
        <v>15</v>
      </c>
      <c r="T2" s="4" t="s">
        <v>16</v>
      </c>
      <c r="W2" s="1" t="s">
        <v>121</v>
      </c>
      <c r="X2" s="1" t="s">
        <v>122</v>
      </c>
      <c r="Y2" s="1" t="s">
        <v>123</v>
      </c>
      <c r="Z2" s="1" t="s">
        <v>124</v>
      </c>
      <c r="AA2" s="1" t="s">
        <v>125</v>
      </c>
      <c r="AB2" s="1" t="s">
        <v>126</v>
      </c>
      <c r="AC2" s="1" t="s">
        <v>127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132</v>
      </c>
      <c r="AI2" s="1" t="s">
        <v>133</v>
      </c>
      <c r="AJ2" s="1" t="s">
        <v>134</v>
      </c>
      <c r="AK2" s="1" t="s">
        <v>135</v>
      </c>
    </row>
    <row r="3" ht="14.4" customHeight="true" x14ac:dyDescent="0.3">
      <c r="A3" s="19" t="s">
        <v>13</v>
      </c>
      <c r="B3" s="20" t="s">
        <v>295</v>
      </c>
      <c r="C3" s="2" t="s">
        <v>305</v>
      </c>
      <c r="D3" s="3">
        <v>138912.81580559892</v>
      </c>
      <c r="E3" s="3">
        <v>1400128031.1706569</v>
      </c>
      <c r="F3" s="3">
        <v>484164.25658510276</v>
      </c>
      <c r="G3" s="3">
        <v>15582166.681860445</v>
      </c>
      <c r="H3" s="3">
        <v>13568.1982203275</v>
      </c>
      <c r="I3" s="3">
        <v>20957314.761403378</v>
      </c>
      <c r="J3" s="3">
        <v>1232236635.4607544</v>
      </c>
      <c r="K3" s="3">
        <v>2920.0116789410226</v>
      </c>
      <c r="L3" s="3">
        <v>14727.151910561437</v>
      </c>
      <c r="M3" s="3">
        <v>26324404.707991872</v>
      </c>
      <c r="N3" s="3"/>
      <c r="O3" s="3"/>
      <c r="P3" s="3"/>
      <c r="Q3" s="3"/>
      <c r="R3" s="3"/>
      <c r="S3" s="2" t="s">
        <v>0</v>
      </c>
      <c r="T3" s="2" t="s">
        <v>10</v>
      </c>
      <c r="W3" s="7">
        <f>_xlfn.RANK.EQ(D3,$D3:$R3,1)</f>
        <v>1</v>
      </c>
      <c r="X3" s="7">
        <f t="shared" ref="X3:AK3" si="0">_xlfn.RANK.EQ(E3,$D3:$R3,1)</f>
        <v>4</v>
      </c>
      <c r="Y3" s="7">
        <f t="shared" si="0"/>
        <v>7</v>
      </c>
      <c r="Z3" s="7">
        <f t="shared" si="0"/>
        <v>6</v>
      </c>
      <c r="AA3" s="7">
        <f t="shared" si="0"/>
        <v>9</v>
      </c>
      <c r="AB3" s="7">
        <f t="shared" si="0"/>
        <v>3</v>
      </c>
      <c r="AC3" s="7">
        <f t="shared" si="0"/>
        <v>2</v>
      </c>
      <c r="AD3" s="7">
        <f t="shared" si="0"/>
        <v>5</v>
      </c>
      <c r="AE3" s="7">
        <f t="shared" si="0"/>
        <v>8</v>
      </c>
      <c r="AF3" s="7" t="e">
        <f t="shared" si="0"/>
        <v>#N/A</v>
      </c>
      <c r="AG3" s="7" t="e">
        <f t="shared" si="0"/>
        <v>#N/A</v>
      </c>
      <c r="AH3" s="7" t="e">
        <f t="shared" si="0"/>
        <v>#N/A</v>
      </c>
      <c r="AI3" s="7" t="e">
        <f t="shared" si="0"/>
        <v>#N/A</v>
      </c>
      <c r="AJ3" s="7" t="e">
        <f t="shared" si="0"/>
        <v>#N/A</v>
      </c>
      <c r="AK3" s="7" t="e">
        <f t="shared" si="0"/>
        <v>#N/A</v>
      </c>
    </row>
    <row r="4" x14ac:dyDescent="0.3">
      <c r="A4" s="21"/>
      <c r="B4" s="16" t="s">
        <v>295</v>
      </c>
      <c r="C4" s="10" t="s">
        <v>306</v>
      </c>
      <c r="D4" s="9">
        <v>90262.404508558699</v>
      </c>
      <c r="E4" s="9">
        <v>1139131978.9871271</v>
      </c>
      <c r="F4" s="9">
        <v>233117.80246531751</v>
      </c>
      <c r="G4" s="9">
        <v>66902156.168966986</v>
      </c>
      <c r="H4" s="9">
        <v>57008.965289822343</v>
      </c>
      <c r="I4" s="9">
        <v>13074317.550360775</v>
      </c>
      <c r="J4" s="9">
        <v>1879273184.79878</v>
      </c>
      <c r="K4" s="9">
        <v>2764.9413054537235</v>
      </c>
      <c r="L4" s="9">
        <v>7917.5424764631034</v>
      </c>
      <c r="M4" s="9">
        <v>94378102.955654189</v>
      </c>
      <c r="N4" s="9"/>
      <c r="O4" s="9"/>
      <c r="P4" s="9"/>
      <c r="Q4" s="9"/>
      <c r="R4" s="9"/>
      <c r="S4" s="4"/>
      <c r="T4" s="4" t="s">
        <v>11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x14ac:dyDescent="0.3">
      <c r="A5" s="17"/>
      <c r="B5" s="18" t="s">
        <v>295</v>
      </c>
      <c r="C5" s="5" t="s">
        <v>307</v>
      </c>
      <c r="D5" s="6">
        <v>1.1833333333333333</v>
      </c>
      <c r="E5" s="6">
        <v>0.035937499999999997</v>
      </c>
      <c r="F5" s="6">
        <v>0.16666666666666666</v>
      </c>
      <c r="G5" s="6">
        <v>0.10260416666666666</v>
      </c>
      <c r="H5" s="6">
        <v>0.18124999999999999</v>
      </c>
      <c r="I5" s="6">
        <v>0.14583333333333334</v>
      </c>
      <c r="J5" s="6">
        <v>11.4859375</v>
      </c>
      <c r="K5" s="6">
        <v>0.33750000000000002</v>
      </c>
      <c r="L5" s="6">
        <v>0.33802083333333333</v>
      </c>
      <c r="M5" s="6">
        <v>0.10833333333333334</v>
      </c>
      <c r="N5" s="6"/>
      <c r="O5" s="6"/>
      <c r="P5" s="6"/>
      <c r="Q5" s="6"/>
      <c r="R5" s="6"/>
      <c r="S5" s="5"/>
      <c r="T5" s="5" t="s">
        <v>12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ht="14.4" customHeight="true" x14ac:dyDescent="0.3">
      <c r="A6" s="21" t="s">
        <v>18</v>
      </c>
      <c r="B6" s="20" t="s">
        <v>296</v>
      </c>
      <c r="C6" s="2" t="s">
        <v>308</v>
      </c>
      <c r="D6" s="3">
        <v>1761.7326625755265</v>
      </c>
      <c r="E6" s="3">
        <v>2562.2267298484467</v>
      </c>
      <c r="F6" s="3">
        <v>2001.4734909149302</v>
      </c>
      <c r="G6" s="3">
        <v>1757.343869817299</v>
      </c>
      <c r="H6" s="3">
        <v>1431.0794424439985</v>
      </c>
      <c r="I6" s="3">
        <v>1694.6503666455289</v>
      </c>
      <c r="J6" s="3">
        <v>2516.6503259021406</v>
      </c>
      <c r="K6" s="3">
        <v>1693.3981480829609</v>
      </c>
      <c r="L6" s="3">
        <v>1932.2760765904318</v>
      </c>
      <c r="M6" s="3">
        <v>1701.1871846909962</v>
      </c>
      <c r="N6" s="3"/>
      <c r="O6" s="3"/>
      <c r="P6" s="3"/>
      <c r="Q6" s="3"/>
      <c r="R6" s="3"/>
      <c r="S6" s="2" t="s">
        <v>1</v>
      </c>
      <c r="T6" s="2" t="s">
        <v>10</v>
      </c>
      <c r="W6" s="7">
        <f t="shared" ref="W6" si="1">_xlfn.RANK.EQ(D6,$D6:$R6,1)</f>
        <v>5</v>
      </c>
      <c r="X6" s="7">
        <f t="shared" ref="X6" si="2">_xlfn.RANK.EQ(E6,$D6:$R6,1)</f>
        <v>2</v>
      </c>
      <c r="Y6" s="7">
        <f t="shared" ref="Y6" si="3">_xlfn.RANK.EQ(F6,$D6:$R6,1)</f>
        <v>6</v>
      </c>
      <c r="Z6" s="7">
        <f t="shared" ref="Z6" si="4">_xlfn.RANK.EQ(G6,$D6:$R6,1)</f>
        <v>4</v>
      </c>
      <c r="AA6" s="7">
        <f t="shared" ref="AA6" si="5">_xlfn.RANK.EQ(H6,$D6:$R6,1)</f>
        <v>8</v>
      </c>
      <c r="AB6" s="7">
        <f t="shared" ref="AB6" si="6">_xlfn.RANK.EQ(I6,$D6:$R6,1)</f>
        <v>7</v>
      </c>
      <c r="AC6" s="7">
        <f t="shared" ref="AC6" si="7">_xlfn.RANK.EQ(J6,$D6:$R6,1)</f>
        <v>9</v>
      </c>
      <c r="AD6" s="7">
        <f t="shared" ref="AD6" si="8">_xlfn.RANK.EQ(K6,$D6:$R6,1)</f>
        <v>1</v>
      </c>
      <c r="AE6" s="7">
        <f t="shared" ref="AE6" si="9">_xlfn.RANK.EQ(L6,$D6:$R6,1)</f>
        <v>3</v>
      </c>
      <c r="AF6" s="7" t="e">
        <f t="shared" ref="AF6" si="10">_xlfn.RANK.EQ(M6,$D6:$R6,1)</f>
        <v>#N/A</v>
      </c>
      <c r="AG6" s="7" t="e">
        <f t="shared" ref="AG6" si="11">_xlfn.RANK.EQ(N6,$D6:$R6,1)</f>
        <v>#N/A</v>
      </c>
      <c r="AH6" s="7" t="e">
        <f t="shared" ref="AH6" si="12">_xlfn.RANK.EQ(O6,$D6:$R6,1)</f>
        <v>#N/A</v>
      </c>
      <c r="AI6" s="7" t="e">
        <f t="shared" ref="AI6" si="13">_xlfn.RANK.EQ(P6,$D6:$R6,1)</f>
        <v>#N/A</v>
      </c>
      <c r="AJ6" s="7" t="e">
        <f t="shared" ref="AJ6" si="14">_xlfn.RANK.EQ(Q6,$D6:$R6,1)</f>
        <v>#N/A</v>
      </c>
      <c r="AK6" s="7" t="e">
        <f t="shared" ref="AK6" si="15">_xlfn.RANK.EQ(R6,$D6:$R6,1)</f>
        <v>#N/A</v>
      </c>
    </row>
    <row r="7" x14ac:dyDescent="0.3">
      <c r="A7" s="21"/>
      <c r="B7" s="16" t="s">
        <v>296</v>
      </c>
      <c r="C7" s="10" t="s">
        <v>309</v>
      </c>
      <c r="D7" s="9">
        <v>280.87438934616938</v>
      </c>
      <c r="E7" s="9">
        <v>364.97782694678403</v>
      </c>
      <c r="F7" s="9">
        <v>288.26679215777824</v>
      </c>
      <c r="G7" s="9">
        <v>307.90019903337088</v>
      </c>
      <c r="H7" s="9">
        <v>218.48319671153899</v>
      </c>
      <c r="I7" s="9">
        <v>190.13564650138201</v>
      </c>
      <c r="J7" s="9">
        <v>366.76735014211084</v>
      </c>
      <c r="K7" s="9">
        <v>310.62200163913604</v>
      </c>
      <c r="L7" s="9">
        <v>313.50984280528081</v>
      </c>
      <c r="M7" s="9">
        <v>309.56742554317958</v>
      </c>
      <c r="N7" s="9"/>
      <c r="O7" s="9"/>
      <c r="P7" s="9"/>
      <c r="Q7" s="9"/>
      <c r="R7" s="9"/>
      <c r="S7" s="4"/>
      <c r="T7" s="4" t="s">
        <v>11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x14ac:dyDescent="0.3">
      <c r="A8" s="21"/>
      <c r="B8" s="18" t="s">
        <v>296</v>
      </c>
      <c r="C8" s="5" t="s">
        <v>310</v>
      </c>
      <c r="D8" s="6">
        <v>1.3869791666666667</v>
      </c>
      <c r="E8" s="6">
        <v>0.081250000000000003</v>
      </c>
      <c r="F8" s="6">
        <v>0.20260416666666667</v>
      </c>
      <c r="G8" s="6">
        <v>0.11927083333333334</v>
      </c>
      <c r="H8" s="6">
        <v>0.22395833333333334</v>
      </c>
      <c r="I8" s="6">
        <v>0.17343749999999999</v>
      </c>
      <c r="J8" s="6">
        <v>9.4963541666666664</v>
      </c>
      <c r="K8" s="6">
        <v>0.31874999999999998</v>
      </c>
      <c r="L8" s="6">
        <v>0.34322916666666664</v>
      </c>
      <c r="M8" s="6">
        <v>0.11302083333333333</v>
      </c>
      <c r="N8" s="6"/>
      <c r="O8" s="6"/>
      <c r="P8" s="6"/>
      <c r="Q8" s="6"/>
      <c r="R8" s="6"/>
      <c r="S8" s="5"/>
      <c r="T8" s="5" t="s">
        <v>12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ht="14.4" customHeight="true" x14ac:dyDescent="0.3">
      <c r="A9" s="21"/>
      <c r="B9" s="20" t="s">
        <v>297</v>
      </c>
      <c r="C9" s="2" t="s">
        <v>311</v>
      </c>
      <c r="D9" s="3">
        <v>757.85848572673433</v>
      </c>
      <c r="E9" s="3">
        <v>783.335348346405</v>
      </c>
      <c r="F9" s="3">
        <v>777.19565553945654</v>
      </c>
      <c r="G9" s="3">
        <v>741.94306108481646</v>
      </c>
      <c r="H9" s="3">
        <v>724.7950475668606</v>
      </c>
      <c r="I9" s="3">
        <v>749.60807272480383</v>
      </c>
      <c r="J9" s="3">
        <v>759.55241540765155</v>
      </c>
      <c r="K9" s="3">
        <v>729.68368994265484</v>
      </c>
      <c r="L9" s="3">
        <v>754.9905979482138</v>
      </c>
      <c r="M9" s="3">
        <v>738.70509208509623</v>
      </c>
      <c r="N9" s="3"/>
      <c r="O9" s="3"/>
      <c r="P9" s="3"/>
      <c r="Q9" s="3"/>
      <c r="R9" s="3"/>
      <c r="S9" s="2" t="s">
        <v>2</v>
      </c>
      <c r="T9" s="2" t="s">
        <v>10</v>
      </c>
      <c r="W9" s="7">
        <f t="shared" ref="W9" si="16">_xlfn.RANK.EQ(D9,$D9:$R9,1)</f>
        <v>7</v>
      </c>
      <c r="X9" s="7">
        <f t="shared" ref="X9" si="17">_xlfn.RANK.EQ(E9,$D9:$R9,1)</f>
        <v>3</v>
      </c>
      <c r="Y9" s="7">
        <f t="shared" ref="Y9" si="18">_xlfn.RANK.EQ(F9,$D9:$R9,1)</f>
        <v>8</v>
      </c>
      <c r="Z9" s="7">
        <f t="shared" ref="Z9" si="19">_xlfn.RANK.EQ(G9,$D9:$R9,1)</f>
        <v>5</v>
      </c>
      <c r="AA9" s="7">
        <f t="shared" ref="AA9" si="20">_xlfn.RANK.EQ(H9,$D9:$R9,1)</f>
        <v>9</v>
      </c>
      <c r="AB9" s="7">
        <f t="shared" ref="AB9" si="21">_xlfn.RANK.EQ(I9,$D9:$R9,1)</f>
        <v>4</v>
      </c>
      <c r="AC9" s="7">
        <f t="shared" ref="AC9" si="22">_xlfn.RANK.EQ(J9,$D9:$R9,1)</f>
        <v>2</v>
      </c>
      <c r="AD9" s="7">
        <f t="shared" ref="AD9" si="23">_xlfn.RANK.EQ(K9,$D9:$R9,1)</f>
        <v>1</v>
      </c>
      <c r="AE9" s="7">
        <f t="shared" ref="AE9" si="24">_xlfn.RANK.EQ(L9,$D9:$R9,1)</f>
        <v>6</v>
      </c>
      <c r="AF9" s="7" t="e">
        <f t="shared" ref="AF9" si="25">_xlfn.RANK.EQ(M9,$D9:$R9,1)</f>
        <v>#N/A</v>
      </c>
      <c r="AG9" s="7" t="e">
        <f t="shared" ref="AG9" si="26">_xlfn.RANK.EQ(N9,$D9:$R9,1)</f>
        <v>#N/A</v>
      </c>
      <c r="AH9" s="7" t="e">
        <f t="shared" ref="AH9" si="27">_xlfn.RANK.EQ(O9,$D9:$R9,1)</f>
        <v>#N/A</v>
      </c>
      <c r="AI9" s="7" t="e">
        <f t="shared" ref="AI9" si="28">_xlfn.RANK.EQ(P9,$D9:$R9,1)</f>
        <v>#N/A</v>
      </c>
      <c r="AJ9" s="7" t="e">
        <f t="shared" ref="AJ9" si="29">_xlfn.RANK.EQ(Q9,$D9:$R9,1)</f>
        <v>#N/A</v>
      </c>
      <c r="AK9" s="7" t="e">
        <f t="shared" ref="AK9" si="30">_xlfn.RANK.EQ(R9,$D9:$R9,1)</f>
        <v>#N/A</v>
      </c>
    </row>
    <row r="10" x14ac:dyDescent="0.3">
      <c r="A10" s="21"/>
      <c r="B10" s="16" t="s">
        <v>297</v>
      </c>
      <c r="C10" s="10" t="s">
        <v>312</v>
      </c>
      <c r="D10" s="9">
        <v>13.889127417801628</v>
      </c>
      <c r="E10" s="9">
        <v>20.673541772368463</v>
      </c>
      <c r="F10" s="9">
        <v>18.488040876192308</v>
      </c>
      <c r="G10" s="9">
        <v>14.874904753129158</v>
      </c>
      <c r="H10" s="9">
        <v>9.716930287750408</v>
      </c>
      <c r="I10" s="9">
        <v>8.8427535966301765</v>
      </c>
      <c r="J10" s="9">
        <v>18.877767777470275</v>
      </c>
      <c r="K10" s="9">
        <v>10.686609974572709</v>
      </c>
      <c r="L10" s="9">
        <v>17.209460073225863</v>
      </c>
      <c r="M10" s="9">
        <v>8.9228689695318799</v>
      </c>
      <c r="N10" s="9"/>
      <c r="O10" s="9"/>
      <c r="P10" s="9"/>
      <c r="Q10" s="9"/>
      <c r="R10" s="9"/>
      <c r="S10" s="4"/>
      <c r="T10" s="4" t="s">
        <v>11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x14ac:dyDescent="0.3">
      <c r="A11" s="21"/>
      <c r="B11" s="18" t="s">
        <v>297</v>
      </c>
      <c r="C11" s="5" t="s">
        <v>313</v>
      </c>
      <c r="D11" s="6">
        <v>1.3604166666666666</v>
      </c>
      <c r="E11" s="6">
        <v>0.073958333333333334</v>
      </c>
      <c r="F11" s="6">
        <v>0.22291666666666668</v>
      </c>
      <c r="G11" s="6">
        <v>0.12395833333333334</v>
      </c>
      <c r="H11" s="6">
        <v>0.21875</v>
      </c>
      <c r="I11" s="6">
        <v>0.16510416666666666</v>
      </c>
      <c r="J11" s="6">
        <v>5.2104166666666663</v>
      </c>
      <c r="K11" s="6">
        <v>0.33645833333333336</v>
      </c>
      <c r="L11" s="6">
        <v>0.33958333333333335</v>
      </c>
      <c r="M11" s="6">
        <v>0.1125</v>
      </c>
      <c r="N11" s="6"/>
      <c r="O11" s="6"/>
      <c r="P11" s="6"/>
      <c r="Q11" s="6"/>
      <c r="R11" s="6"/>
      <c r="S11" s="5"/>
      <c r="T11" s="5" t="s">
        <v>12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14.4" customHeight="true" x14ac:dyDescent="0.3">
      <c r="A12" s="21"/>
      <c r="B12" s="20" t="s">
        <v>298</v>
      </c>
      <c r="C12" s="2" t="s">
        <v>314</v>
      </c>
      <c r="D12" s="3">
        <v>1902.9251223486458</v>
      </c>
      <c r="E12" s="3">
        <v>3874.773691296914</v>
      </c>
      <c r="F12" s="3">
        <v>1908.7435464748273</v>
      </c>
      <c r="G12" s="3">
        <v>1907.0747359418988</v>
      </c>
      <c r="H12" s="3">
        <v>1902.0734737482658</v>
      </c>
      <c r="I12" s="3">
        <v>1906.357369880029</v>
      </c>
      <c r="J12" s="3">
        <v>1991.3127299150171</v>
      </c>
      <c r="K12" s="3">
        <v>1907.1790353230181</v>
      </c>
      <c r="L12" s="3">
        <v>1912.8252370451012</v>
      </c>
      <c r="M12" s="3">
        <v>1904.0884703852796</v>
      </c>
      <c r="N12" s="3"/>
      <c r="O12" s="3"/>
      <c r="P12" s="3"/>
      <c r="Q12" s="3"/>
      <c r="R12" s="3"/>
      <c r="S12" s="2" t="s">
        <v>3</v>
      </c>
      <c r="T12" s="2" t="s">
        <v>10</v>
      </c>
      <c r="W12" s="7">
        <f t="shared" ref="W12" si="31">_xlfn.RANK.EQ(D12,$D12:$R12,1)</f>
        <v>4</v>
      </c>
      <c r="X12" s="7">
        <f t="shared" ref="X12" si="32">_xlfn.RANK.EQ(E12,$D12:$R12,1)</f>
        <v>3</v>
      </c>
      <c r="Y12" s="7">
        <f t="shared" ref="Y12" si="33">_xlfn.RANK.EQ(F12,$D12:$R12,1)</f>
        <v>7</v>
      </c>
      <c r="Z12" s="7">
        <f t="shared" ref="Z12" si="34">_xlfn.RANK.EQ(G12,$D12:$R12,1)</f>
        <v>5</v>
      </c>
      <c r="AA12" s="7">
        <f t="shared" ref="AA12" si="35">_xlfn.RANK.EQ(H12,$D12:$R12,1)</f>
        <v>8</v>
      </c>
      <c r="AB12" s="7">
        <f t="shared" ref="AB12" si="36">_xlfn.RANK.EQ(I12,$D12:$R12,1)</f>
        <v>1</v>
      </c>
      <c r="AC12" s="7">
        <f t="shared" ref="AC12" si="37">_xlfn.RANK.EQ(J12,$D12:$R12,1)</f>
        <v>9</v>
      </c>
      <c r="AD12" s="7">
        <f t="shared" ref="AD12" si="38">_xlfn.RANK.EQ(K12,$D12:$R12,1)</f>
        <v>2</v>
      </c>
      <c r="AE12" s="7">
        <f t="shared" ref="AE12" si="39">_xlfn.RANK.EQ(L12,$D12:$R12,1)</f>
        <v>6</v>
      </c>
      <c r="AF12" s="7" t="e">
        <f t="shared" ref="AF12" si="40">_xlfn.RANK.EQ(M12,$D12:$R12,1)</f>
        <v>#N/A</v>
      </c>
      <c r="AG12" s="7" t="e">
        <f t="shared" ref="AG12" si="41">_xlfn.RANK.EQ(N12,$D12:$R12,1)</f>
        <v>#N/A</v>
      </c>
      <c r="AH12" s="7" t="e">
        <f t="shared" ref="AH12" si="42">_xlfn.RANK.EQ(O12,$D12:$R12,1)</f>
        <v>#N/A</v>
      </c>
      <c r="AI12" s="7" t="e">
        <f t="shared" ref="AI12" si="43">_xlfn.RANK.EQ(P12,$D12:$R12,1)</f>
        <v>#N/A</v>
      </c>
      <c r="AJ12" s="7" t="e">
        <f t="shared" ref="AJ12" si="44">_xlfn.RANK.EQ(Q12,$D12:$R12,1)</f>
        <v>#N/A</v>
      </c>
      <c r="AK12" s="7" t="e">
        <f t="shared" ref="AK12" si="45">_xlfn.RANK.EQ(R12,$D12:$R12,1)</f>
        <v>#N/A</v>
      </c>
    </row>
    <row r="13" x14ac:dyDescent="0.3">
      <c r="A13" s="21"/>
      <c r="B13" s="16" t="s">
        <v>298</v>
      </c>
      <c r="C13" s="10" t="s">
        <v>315</v>
      </c>
      <c r="D13" s="9">
        <v>1.2342216209275467</v>
      </c>
      <c r="E13" s="9">
        <v>7906.7673068470267</v>
      </c>
      <c r="F13" s="9">
        <v>3.1315993106240354</v>
      </c>
      <c r="G13" s="9">
        <v>16.193467431878318</v>
      </c>
      <c r="H13" s="9">
        <v>1.0901597480122076</v>
      </c>
      <c r="I13" s="9">
        <v>3.2098439145298894</v>
      </c>
      <c r="J13" s="9">
        <v>153.84637726530352</v>
      </c>
      <c r="K13" s="9">
        <v>25.203787135833878</v>
      </c>
      <c r="L13" s="9">
        <v>4.6557497902483522</v>
      </c>
      <c r="M13" s="9">
        <v>8.277562345802334</v>
      </c>
      <c r="N13" s="9"/>
      <c r="O13" s="9"/>
      <c r="P13" s="9"/>
      <c r="Q13" s="9"/>
      <c r="R13" s="9"/>
      <c r="S13" s="4"/>
      <c r="T13" s="4" t="s">
        <v>11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x14ac:dyDescent="0.3">
      <c r="A14" s="17"/>
      <c r="B14" s="18" t="s">
        <v>298</v>
      </c>
      <c r="C14" s="5" t="s">
        <v>316</v>
      </c>
      <c r="D14" s="6">
        <v>1.3072916666666667</v>
      </c>
      <c r="E14" s="6">
        <v>0.0703125</v>
      </c>
      <c r="F14" s="6">
        <v>0.23333333333333334</v>
      </c>
      <c r="G14" s="6">
        <v>0.13020833333333334</v>
      </c>
      <c r="H14" s="6">
        <v>0.22968749999999999</v>
      </c>
      <c r="I14" s="6">
        <v>0.16250000000000001</v>
      </c>
      <c r="J14" s="6">
        <v>11.309895833333334</v>
      </c>
      <c r="K14" s="6">
        <v>0.40052083333333333</v>
      </c>
      <c r="L14" s="6">
        <v>0.39895833333333336</v>
      </c>
      <c r="M14" s="6">
        <v>0.11302083333333333</v>
      </c>
      <c r="N14" s="6"/>
      <c r="O14" s="6"/>
      <c r="P14" s="6"/>
      <c r="Q14" s="6"/>
      <c r="R14" s="6"/>
      <c r="S14" s="5"/>
      <c r="T14" s="5" t="s">
        <v>12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ht="14.4" customHeight="true" x14ac:dyDescent="0.3">
      <c r="A15" s="21" t="s">
        <v>17</v>
      </c>
      <c r="B15" s="20" t="s">
        <v>299</v>
      </c>
      <c r="C15" s="2" t="s">
        <v>317</v>
      </c>
      <c r="D15" s="3">
        <v>4385.8083269322988</v>
      </c>
      <c r="E15" s="3">
        <v>35607.111347638842</v>
      </c>
      <c r="F15" s="3">
        <v>40419.725223440546</v>
      </c>
      <c r="G15" s="3">
        <v>65443.099333072903</v>
      </c>
      <c r="H15" s="3">
        <v>13441.088196749139</v>
      </c>
      <c r="I15" s="3">
        <v>4216164.2431755243</v>
      </c>
      <c r="J15" s="3">
        <v>692560.29915408627</v>
      </c>
      <c r="K15" s="3">
        <v>7014.031684696005</v>
      </c>
      <c r="L15" s="3">
        <v>565556.75502683211</v>
      </c>
      <c r="M15" s="3">
        <v>56024.269306539842</v>
      </c>
      <c r="N15" s="3"/>
      <c r="O15" s="3"/>
      <c r="P15" s="3"/>
      <c r="Q15" s="3"/>
      <c r="R15" s="3"/>
      <c r="S15" s="2" t="s">
        <v>4</v>
      </c>
      <c r="T15" s="2" t="s">
        <v>10</v>
      </c>
      <c r="W15" s="7">
        <f t="shared" ref="W15" si="46">_xlfn.RANK.EQ(D15,$D15:$R15,1)</f>
        <v>1</v>
      </c>
      <c r="X15" s="7">
        <f t="shared" ref="X15" si="47">_xlfn.RANK.EQ(E15,$D15:$R15,1)</f>
        <v>2</v>
      </c>
      <c r="Y15" s="7">
        <f t="shared" ref="Y15" si="48">_xlfn.RANK.EQ(F15,$D15:$R15,1)</f>
        <v>7</v>
      </c>
      <c r="Z15" s="7">
        <f t="shared" ref="Z15" si="49">_xlfn.RANK.EQ(G15,$D15:$R15,1)</f>
        <v>5</v>
      </c>
      <c r="AA15" s="7">
        <f t="shared" ref="AA15" si="50">_xlfn.RANK.EQ(H15,$D15:$R15,1)</f>
        <v>8</v>
      </c>
      <c r="AB15" s="7">
        <f t="shared" ref="AB15" si="51">_xlfn.RANK.EQ(I15,$D15:$R15,1)</f>
        <v>4</v>
      </c>
      <c r="AC15" s="7">
        <f t="shared" ref="AC15" si="52">_xlfn.RANK.EQ(J15,$D15:$R15,1)</f>
        <v>6</v>
      </c>
      <c r="AD15" s="7">
        <f t="shared" ref="AD15" si="53">_xlfn.RANK.EQ(K15,$D15:$R15,1)</f>
        <v>3</v>
      </c>
      <c r="AE15" s="7">
        <f t="shared" ref="AE15" si="54">_xlfn.RANK.EQ(L15,$D15:$R15,1)</f>
        <v>9</v>
      </c>
      <c r="AF15" s="7" t="e">
        <f t="shared" ref="AF15" si="55">_xlfn.RANK.EQ(M15,$D15:$R15,1)</f>
        <v>#N/A</v>
      </c>
      <c r="AG15" s="7" t="e">
        <f t="shared" ref="AG15" si="56">_xlfn.RANK.EQ(N15,$D15:$R15,1)</f>
        <v>#N/A</v>
      </c>
      <c r="AH15" s="7" t="e">
        <f t="shared" ref="AH15" si="57">_xlfn.RANK.EQ(O15,$D15:$R15,1)</f>
        <v>#N/A</v>
      </c>
      <c r="AI15" s="7" t="e">
        <f t="shared" ref="AI15" si="58">_xlfn.RANK.EQ(P15,$D15:$R15,1)</f>
        <v>#N/A</v>
      </c>
      <c r="AJ15" s="7" t="e">
        <f t="shared" ref="AJ15" si="59">_xlfn.RANK.EQ(Q15,$D15:$R15,1)</f>
        <v>#N/A</v>
      </c>
      <c r="AK15" s="7" t="e">
        <f t="shared" ref="AK15" si="60">_xlfn.RANK.EQ(R15,$D15:$R15,1)</f>
        <v>#N/A</v>
      </c>
    </row>
    <row r="16" x14ac:dyDescent="0.3">
      <c r="A16" s="21"/>
      <c r="B16" s="16" t="s">
        <v>299</v>
      </c>
      <c r="C16" s="10" t="s">
        <v>318</v>
      </c>
      <c r="D16" s="9">
        <v>2185.8259075692158</v>
      </c>
      <c r="E16" s="9">
        <v>70602.314228658754</v>
      </c>
      <c r="F16" s="9">
        <v>43401.089238959787</v>
      </c>
      <c r="G16" s="9">
        <v>154352.82831312923</v>
      </c>
      <c r="H16" s="9">
        <v>22069.023539608388</v>
      </c>
      <c r="I16" s="9">
        <v>5058605.0894922018</v>
      </c>
      <c r="J16" s="9">
        <v>1148615.4276214906</v>
      </c>
      <c r="K16" s="9">
        <v>5557.5571043295677</v>
      </c>
      <c r="L16" s="9">
        <v>578956.25980938307</v>
      </c>
      <c r="M16" s="9">
        <v>156696.9454391989</v>
      </c>
      <c r="N16" s="9"/>
      <c r="O16" s="9"/>
      <c r="P16" s="9"/>
      <c r="Q16" s="9"/>
      <c r="R16" s="9"/>
      <c r="S16" s="4"/>
      <c r="T16" s="4" t="s">
        <v>11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x14ac:dyDescent="0.3">
      <c r="A17" s="21"/>
      <c r="B17" s="18" t="s">
        <v>299</v>
      </c>
      <c r="C17" s="5" t="s">
        <v>319</v>
      </c>
      <c r="D17" s="6">
        <v>1.34375</v>
      </c>
      <c r="E17" s="6">
        <v>0.071874999999999994</v>
      </c>
      <c r="F17" s="6">
        <v>0.22187499999999999</v>
      </c>
      <c r="G17" s="6">
        <v>0.11770833333333333</v>
      </c>
      <c r="H17" s="6">
        <v>0.20260416666666667</v>
      </c>
      <c r="I17" s="6">
        <v>0.15520833333333334</v>
      </c>
      <c r="J17" s="6">
        <v>11.528124999999999</v>
      </c>
      <c r="K17" s="6">
        <v>0.31666666666666665</v>
      </c>
      <c r="L17" s="6">
        <v>0.33906249999999999</v>
      </c>
      <c r="M17" s="6">
        <v>0.11458333333333333</v>
      </c>
      <c r="N17" s="6"/>
      <c r="O17" s="6"/>
      <c r="P17" s="6"/>
      <c r="Q17" s="6"/>
      <c r="R17" s="6"/>
      <c r="S17" s="5"/>
      <c r="T17" s="5" t="s">
        <v>12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x14ac:dyDescent="0.3">
      <c r="A18" s="21"/>
      <c r="B18" s="20" t="s">
        <v>300</v>
      </c>
      <c r="C18" s="2" t="s">
        <v>320</v>
      </c>
      <c r="D18" s="3">
        <v>1601.1652406098412</v>
      </c>
      <c r="E18" s="3">
        <v>1621.0743762990712</v>
      </c>
      <c r="F18" s="3">
        <v>1615.7242819003602</v>
      </c>
      <c r="G18" s="3">
        <v>1608.3474962348223</v>
      </c>
      <c r="H18" s="3">
        <v>1600.8099338381546</v>
      </c>
      <c r="I18" s="3">
        <v>1604.5054264785588</v>
      </c>
      <c r="J18" s="3">
        <v>1610.7658169234103</v>
      </c>
      <c r="K18" s="3">
        <v>1603.3888294287224</v>
      </c>
      <c r="L18" s="3">
        <v>1634.2148591638822</v>
      </c>
      <c r="M18" s="3">
        <v>1615.1363613292642</v>
      </c>
      <c r="N18" s="3"/>
      <c r="O18" s="3"/>
      <c r="P18" s="3"/>
      <c r="Q18" s="3"/>
      <c r="R18" s="3"/>
      <c r="S18" s="2" t="s">
        <v>5</v>
      </c>
      <c r="T18" s="2" t="s">
        <v>10</v>
      </c>
      <c r="W18" s="7">
        <f t="shared" ref="W18" si="61">_xlfn.RANK.EQ(D18,$D18:$R18,1)</f>
        <v>3</v>
      </c>
      <c r="X18" s="7">
        <f t="shared" ref="X18" si="62">_xlfn.RANK.EQ(E18,$D18:$R18,1)</f>
        <v>4</v>
      </c>
      <c r="Y18" s="7">
        <f t="shared" ref="Y18" si="63">_xlfn.RANK.EQ(F18,$D18:$R18,1)</f>
        <v>8</v>
      </c>
      <c r="Z18" s="7">
        <f t="shared" ref="Z18" si="64">_xlfn.RANK.EQ(G18,$D18:$R18,1)</f>
        <v>2</v>
      </c>
      <c r="AA18" s="7">
        <f t="shared" ref="AA18" si="65">_xlfn.RANK.EQ(H18,$D18:$R18,1)</f>
        <v>7</v>
      </c>
      <c r="AB18" s="7">
        <f t="shared" ref="AB18" si="66">_xlfn.RANK.EQ(I18,$D18:$R18,1)</f>
        <v>6</v>
      </c>
      <c r="AC18" s="7">
        <f t="shared" ref="AC18" si="67">_xlfn.RANK.EQ(J18,$D18:$R18,1)</f>
        <v>9</v>
      </c>
      <c r="AD18" s="7">
        <f t="shared" ref="AD18" si="68">_xlfn.RANK.EQ(K18,$D18:$R18,1)</f>
        <v>1</v>
      </c>
      <c r="AE18" s="7">
        <f t="shared" ref="AE18" si="69">_xlfn.RANK.EQ(L18,$D18:$R18,1)</f>
        <v>5</v>
      </c>
      <c r="AF18" s="7" t="e">
        <f t="shared" ref="AF18" si="70">_xlfn.RANK.EQ(M18,$D18:$R18,1)</f>
        <v>#N/A</v>
      </c>
      <c r="AG18" s="7" t="e">
        <f t="shared" ref="AG18" si="71">_xlfn.RANK.EQ(N18,$D18:$R18,1)</f>
        <v>#N/A</v>
      </c>
      <c r="AH18" s="7" t="e">
        <f t="shared" ref="AH18" si="72">_xlfn.RANK.EQ(O18,$D18:$R18,1)</f>
        <v>#N/A</v>
      </c>
      <c r="AI18" s="7" t="e">
        <f t="shared" ref="AI18" si="73">_xlfn.RANK.EQ(P18,$D18:$R18,1)</f>
        <v>#N/A</v>
      </c>
      <c r="AJ18" s="7" t="e">
        <f t="shared" ref="AJ18" si="74">_xlfn.RANK.EQ(Q18,$D18:$R18,1)</f>
        <v>#N/A</v>
      </c>
      <c r="AK18" s="7" t="e">
        <f t="shared" ref="AK18" si="75">_xlfn.RANK.EQ(R18,$D18:$R18,1)</f>
        <v>#N/A</v>
      </c>
    </row>
    <row r="19" x14ac:dyDescent="0.3">
      <c r="A19" s="21"/>
      <c r="B19" s="16" t="s">
        <v>300</v>
      </c>
      <c r="C19" s="10" t="s">
        <v>321</v>
      </c>
      <c r="D19" s="9">
        <v>0.38325921622299414</v>
      </c>
      <c r="E19" s="9">
        <v>18.455730456140689</v>
      </c>
      <c r="F19" s="9">
        <v>12.261168601073786</v>
      </c>
      <c r="G19" s="9">
        <v>12.872750826821987</v>
      </c>
      <c r="H19" s="9">
        <v>0.3875318656267901</v>
      </c>
      <c r="I19" s="9">
        <v>5.1283567151215133</v>
      </c>
      <c r="J19" s="9">
        <v>15.077266853695116</v>
      </c>
      <c r="K19" s="9">
        <v>10.941754731427782</v>
      </c>
      <c r="L19" s="9">
        <v>27.348436422823834</v>
      </c>
      <c r="M19" s="9">
        <v>17.839521176898593</v>
      </c>
      <c r="N19" s="9"/>
      <c r="O19" s="9"/>
      <c r="P19" s="9"/>
      <c r="Q19" s="9"/>
      <c r="R19" s="9"/>
      <c r="S19" s="4"/>
      <c r="T19" s="4" t="s">
        <v>11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x14ac:dyDescent="0.3">
      <c r="A20" s="21"/>
      <c r="B20" s="18" t="s">
        <v>300</v>
      </c>
      <c r="C20" s="5" t="s">
        <v>322</v>
      </c>
      <c r="D20" s="6">
        <v>1.2651041666666667</v>
      </c>
      <c r="E20" s="6">
        <v>0.050000000000000003</v>
      </c>
      <c r="F20" s="6">
        <v>0.20520833333333333</v>
      </c>
      <c r="G20" s="6">
        <v>0.11354166666666667</v>
      </c>
      <c r="H20" s="6">
        <v>0.20156250000000001</v>
      </c>
      <c r="I20" s="6">
        <v>0.15625</v>
      </c>
      <c r="J20" s="6">
        <v>8.9661458333333339</v>
      </c>
      <c r="K20" s="6">
        <v>0.82708333333333328</v>
      </c>
      <c r="L20" s="6">
        <v>0.42656250000000001</v>
      </c>
      <c r="M20" s="6">
        <v>0.10000000000000001</v>
      </c>
      <c r="N20" s="6"/>
      <c r="O20" s="6"/>
      <c r="P20" s="6"/>
      <c r="Q20" s="6"/>
      <c r="R20" s="6"/>
      <c r="S20" s="5"/>
      <c r="T20" s="5" t="s">
        <v>12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x14ac:dyDescent="0.3">
      <c r="A21" s="21"/>
      <c r="B21" s="20" t="s">
        <v>301</v>
      </c>
      <c r="C21" s="2" t="s">
        <v>323</v>
      </c>
      <c r="D21" s="3">
        <v>3584.4951191449045</v>
      </c>
      <c r="E21" s="3">
        <v>53660.211420417581</v>
      </c>
      <c r="F21" s="3">
        <v>12417.394038916098</v>
      </c>
      <c r="G21" s="3">
        <v>12293.09681788013</v>
      </c>
      <c r="H21" s="3">
        <v>3921.8876867515305</v>
      </c>
      <c r="I21" s="3">
        <v>2402102.4992132019</v>
      </c>
      <c r="J21" s="3">
        <v>146141.39325176738</v>
      </c>
      <c r="K21" s="3">
        <v>3853.8555767297926</v>
      </c>
      <c r="L21" s="3">
        <v>872664.50010954775</v>
      </c>
      <c r="M21" s="3">
        <v>10661.040460762946</v>
      </c>
      <c r="N21" s="3"/>
      <c r="O21" s="3"/>
      <c r="P21" s="3"/>
      <c r="Q21" s="3"/>
      <c r="R21" s="3"/>
      <c r="S21" s="2" t="s">
        <v>6</v>
      </c>
      <c r="T21" s="2" t="s">
        <v>10</v>
      </c>
      <c r="W21" s="7">
        <f t="shared" ref="W21" si="76">_xlfn.RANK.EQ(D21,$D21:$R21,1)</f>
        <v>1</v>
      </c>
      <c r="X21" s="7">
        <f t="shared" ref="X21" si="77">_xlfn.RANK.EQ(E21,$D21:$R21,1)</f>
        <v>2</v>
      </c>
      <c r="Y21" s="7">
        <f t="shared" ref="Y21" si="78">_xlfn.RANK.EQ(F21,$D21:$R21,1)</f>
        <v>7</v>
      </c>
      <c r="Z21" s="7">
        <f t="shared" ref="Z21" si="79">_xlfn.RANK.EQ(G21,$D21:$R21,1)</f>
        <v>4</v>
      </c>
      <c r="AA21" s="7">
        <f t="shared" ref="AA21" si="80">_xlfn.RANK.EQ(H21,$D21:$R21,1)</f>
        <v>6</v>
      </c>
      <c r="AB21" s="7">
        <f t="shared" ref="AB21" si="81">_xlfn.RANK.EQ(I21,$D21:$R21,1)</f>
        <v>5</v>
      </c>
      <c r="AC21" s="7">
        <f t="shared" ref="AC21" si="82">_xlfn.RANK.EQ(J21,$D21:$R21,1)</f>
        <v>8</v>
      </c>
      <c r="AD21" s="7">
        <f t="shared" ref="AD21" si="83">_xlfn.RANK.EQ(K21,$D21:$R21,1)</f>
        <v>3</v>
      </c>
      <c r="AE21" s="7">
        <f t="shared" ref="AE21" si="84">_xlfn.RANK.EQ(L21,$D21:$R21,1)</f>
        <v>9</v>
      </c>
      <c r="AF21" s="7" t="e">
        <f t="shared" ref="AF21" si="85">_xlfn.RANK.EQ(M21,$D21:$R21,1)</f>
        <v>#N/A</v>
      </c>
      <c r="AG21" s="7" t="e">
        <f t="shared" ref="AG21" si="86">_xlfn.RANK.EQ(N21,$D21:$R21,1)</f>
        <v>#N/A</v>
      </c>
      <c r="AH21" s="7" t="e">
        <f t="shared" ref="AH21" si="87">_xlfn.RANK.EQ(O21,$D21:$R21,1)</f>
        <v>#N/A</v>
      </c>
      <c r="AI21" s="7" t="e">
        <f t="shared" ref="AI21" si="88">_xlfn.RANK.EQ(P21,$D21:$R21,1)</f>
        <v>#N/A</v>
      </c>
      <c r="AJ21" s="7" t="e">
        <f t="shared" ref="AJ21" si="89">_xlfn.RANK.EQ(Q21,$D21:$R21,1)</f>
        <v>#N/A</v>
      </c>
      <c r="AK21" s="7" t="e">
        <f t="shared" ref="AK21" si="90">_xlfn.RANK.EQ(R21,$D21:$R21,1)</f>
        <v>#N/A</v>
      </c>
    </row>
    <row r="22" x14ac:dyDescent="0.3">
      <c r="A22" s="21"/>
      <c r="B22" s="16" t="s">
        <v>301</v>
      </c>
      <c r="C22" s="10" t="s">
        <v>324</v>
      </c>
      <c r="D22" s="9">
        <v>722.64764583157114</v>
      </c>
      <c r="E22" s="9">
        <v>122789.57603726463</v>
      </c>
      <c r="F22" s="9">
        <v>12490.740256019935</v>
      </c>
      <c r="G22" s="9">
        <v>6429.8339374902598</v>
      </c>
      <c r="H22" s="9">
        <v>2613.7576786374175</v>
      </c>
      <c r="I22" s="9">
        <v>3143488.5519269886</v>
      </c>
      <c r="J22" s="9">
        <v>643105.82593669172</v>
      </c>
      <c r="K22" s="9">
        <v>5481.705944087551</v>
      </c>
      <c r="L22" s="9">
        <v>1246721.4982196386</v>
      </c>
      <c r="M22" s="9">
        <v>6836.8270365106873</v>
      </c>
      <c r="N22" s="9"/>
      <c r="O22" s="9"/>
      <c r="P22" s="9"/>
      <c r="Q22" s="9"/>
      <c r="R22" s="9"/>
      <c r="S22" s="4"/>
      <c r="T22" s="4" t="s">
        <v>11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x14ac:dyDescent="0.3">
      <c r="A23" s="17"/>
      <c r="B23" s="18" t="s">
        <v>301</v>
      </c>
      <c r="C23" s="5" t="s">
        <v>325</v>
      </c>
      <c r="D23" s="6">
        <v>1.4458333333333333</v>
      </c>
      <c r="E23" s="6">
        <v>0.055208333333333331</v>
      </c>
      <c r="F23" s="6">
        <v>0.22760416666666666</v>
      </c>
      <c r="G23" s="6">
        <v>0.12135416666666667</v>
      </c>
      <c r="H23" s="6">
        <v>0.23749999999999999</v>
      </c>
      <c r="I23" s="6">
        <v>0.17239583333333333</v>
      </c>
      <c r="J23" s="6">
        <v>12.739062499999999</v>
      </c>
      <c r="K23" s="6">
        <v>0.38177083333333334</v>
      </c>
      <c r="L23" s="6">
        <v>0.37968750000000001</v>
      </c>
      <c r="M23" s="6">
        <v>0.11302083333333333</v>
      </c>
      <c r="N23" s="6"/>
      <c r="O23" s="6"/>
      <c r="P23" s="6"/>
      <c r="Q23" s="6"/>
      <c r="R23" s="6"/>
      <c r="S23" s="5"/>
      <c r="T23" s="5" t="s">
        <v>12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ht="14.4" customHeight="true" x14ac:dyDescent="0.3">
      <c r="A24" s="21" t="s">
        <v>19</v>
      </c>
      <c r="B24" s="20" t="s">
        <v>302</v>
      </c>
      <c r="C24" s="2" t="s">
        <v>326</v>
      </c>
      <c r="D24" s="3">
        <v>2305.8649107705223</v>
      </c>
      <c r="E24" s="3">
        <v>2451.5864254561511</v>
      </c>
      <c r="F24" s="3">
        <v>2309.1606094634317</v>
      </c>
      <c r="G24" s="3">
        <v>2320.5578774656019</v>
      </c>
      <c r="H24" s="3">
        <v>2298.0281925520349</v>
      </c>
      <c r="I24" s="3">
        <v>2429.3765342593333</v>
      </c>
      <c r="J24" s="3">
        <v>2632.0242871232854</v>
      </c>
      <c r="K24" s="3">
        <v>2302.7335093339366</v>
      </c>
      <c r="L24" s="3">
        <v>2469.656222355537</v>
      </c>
      <c r="M24" s="3">
        <v>2314.111310003424</v>
      </c>
      <c r="N24" s="3"/>
      <c r="O24" s="3"/>
      <c r="P24" s="3"/>
      <c r="Q24" s="3"/>
      <c r="R24" s="3"/>
      <c r="S24" s="2" t="s">
        <v>7</v>
      </c>
      <c r="T24" s="2" t="s">
        <v>10</v>
      </c>
      <c r="W24" s="7">
        <f t="shared" ref="W24" si="91">_xlfn.RANK.EQ(D24,$D24:$R24,1)</f>
        <v>3</v>
      </c>
      <c r="X24" s="7">
        <f t="shared" ref="X24" si="92">_xlfn.RANK.EQ(E24,$D24:$R24,1)</f>
        <v>1</v>
      </c>
      <c r="Y24" s="7">
        <f t="shared" ref="Y24" si="93">_xlfn.RANK.EQ(F24,$D24:$R24,1)</f>
        <v>8</v>
      </c>
      <c r="Z24" s="7">
        <f t="shared" ref="Z24" si="94">_xlfn.RANK.EQ(G24,$D24:$R24,1)</f>
        <v>4</v>
      </c>
      <c r="AA24" s="7">
        <f t="shared" ref="AA24" si="95">_xlfn.RANK.EQ(H24,$D24:$R24,1)</f>
        <v>9</v>
      </c>
      <c r="AB24" s="7">
        <f t="shared" ref="AB24" si="96">_xlfn.RANK.EQ(I24,$D24:$R24,1)</f>
        <v>7</v>
      </c>
      <c r="AC24" s="7">
        <f t="shared" ref="AC24" si="97">_xlfn.RANK.EQ(J24,$D24:$R24,1)</f>
        <v>2</v>
      </c>
      <c r="AD24" s="7">
        <f t="shared" ref="AD24" si="98">_xlfn.RANK.EQ(K24,$D24:$R24,1)</f>
        <v>6</v>
      </c>
      <c r="AE24" s="7">
        <f t="shared" ref="AE24" si="99">_xlfn.RANK.EQ(L24,$D24:$R24,1)</f>
        <v>5</v>
      </c>
      <c r="AF24" s="7" t="e">
        <f t="shared" ref="AF24" si="100">_xlfn.RANK.EQ(M24,$D24:$R24,1)</f>
        <v>#N/A</v>
      </c>
      <c r="AG24" s="7" t="e">
        <f t="shared" ref="AG24" si="101">_xlfn.RANK.EQ(N24,$D24:$R24,1)</f>
        <v>#N/A</v>
      </c>
      <c r="AH24" s="7" t="e">
        <f t="shared" ref="AH24" si="102">_xlfn.RANK.EQ(O24,$D24:$R24,1)</f>
        <v>#N/A</v>
      </c>
      <c r="AI24" s="7" t="e">
        <f t="shared" ref="AI24" si="103">_xlfn.RANK.EQ(P24,$D24:$R24,1)</f>
        <v>#N/A</v>
      </c>
      <c r="AJ24" s="7" t="e">
        <f t="shared" ref="AJ24" si="104">_xlfn.RANK.EQ(Q24,$D24:$R24,1)</f>
        <v>#N/A</v>
      </c>
      <c r="AK24" s="7" t="e">
        <f t="shared" ref="AK24" si="105">_xlfn.RANK.EQ(R24,$D24:$R24,1)</f>
        <v>#N/A</v>
      </c>
    </row>
    <row r="25" x14ac:dyDescent="0.3">
      <c r="A25" s="21"/>
      <c r="B25" s="16" t="s">
        <v>302</v>
      </c>
      <c r="C25" s="10" t="s">
        <v>327</v>
      </c>
      <c r="D25" s="9">
        <v>15.406214527008457</v>
      </c>
      <c r="E25" s="9">
        <v>94.545394902628203</v>
      </c>
      <c r="F25" s="9">
        <v>17.870134600497401</v>
      </c>
      <c r="G25" s="9">
        <v>69.951715902907637</v>
      </c>
      <c r="H25" s="9">
        <v>15.166820891335087</v>
      </c>
      <c r="I25" s="9">
        <v>359.84074567434953</v>
      </c>
      <c r="J25" s="9">
        <v>653.24413858673188</v>
      </c>
      <c r="K25" s="9">
        <v>1.9792749493722388</v>
      </c>
      <c r="L25" s="9">
        <v>429.61844785638618</v>
      </c>
      <c r="M25" s="9">
        <v>18.40132667053367</v>
      </c>
      <c r="N25" s="9"/>
      <c r="O25" s="9"/>
      <c r="P25" s="9"/>
      <c r="Q25" s="9"/>
      <c r="R25" s="9"/>
      <c r="S25" s="4"/>
      <c r="T25" s="4" t="s">
        <v>11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x14ac:dyDescent="0.3">
      <c r="A26" s="21"/>
      <c r="B26" s="18" t="s">
        <v>302</v>
      </c>
      <c r="C26" s="5" t="s">
        <v>328</v>
      </c>
      <c r="D26" s="6">
        <v>1.8989583333333333</v>
      </c>
      <c r="E26" s="6">
        <v>0.19635416666666666</v>
      </c>
      <c r="F26" s="6">
        <v>0.30260416666666667</v>
      </c>
      <c r="G26" s="6">
        <v>0.15885416666666666</v>
      </c>
      <c r="H26" s="6">
        <v>0.25937500000000002</v>
      </c>
      <c r="I26" s="6">
        <v>0.203125</v>
      </c>
      <c r="J26" s="6">
        <v>7.4484374999999998</v>
      </c>
      <c r="K26" s="6">
        <v>0.44843749999999999</v>
      </c>
      <c r="L26" s="6">
        <v>0.38958333333333334</v>
      </c>
      <c r="M26" s="6">
        <v>0.16041666666666668</v>
      </c>
      <c r="N26" s="6"/>
      <c r="O26" s="6"/>
      <c r="P26" s="6"/>
      <c r="Q26" s="6"/>
      <c r="R26" s="6"/>
      <c r="S26" s="5"/>
      <c r="T26" s="5" t="s">
        <v>12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x14ac:dyDescent="0.3">
      <c r="A27" s="21"/>
      <c r="B27" s="20" t="s">
        <v>303</v>
      </c>
      <c r="C27" s="2" t="s">
        <v>329</v>
      </c>
      <c r="D27" s="3">
        <v>2533.268561953143</v>
      </c>
      <c r="E27" s="3">
        <v>2788.0349773483317</v>
      </c>
      <c r="F27" s="3">
        <v>2812.4041086173293</v>
      </c>
      <c r="G27" s="3">
        <v>2741.055827337394</v>
      </c>
      <c r="H27" s="3">
        <v>2733.9692220227803</v>
      </c>
      <c r="I27" s="3">
        <v>2767.4097915110688</v>
      </c>
      <c r="J27" s="3">
        <v>2801.7997639215678</v>
      </c>
      <c r="K27" s="3">
        <v>2749.5011022353806</v>
      </c>
      <c r="L27" s="3">
        <v>2822.4410914949344</v>
      </c>
      <c r="M27" s="3">
        <v>2733.507832488282</v>
      </c>
      <c r="N27" s="3"/>
      <c r="O27" s="3"/>
      <c r="P27" s="3"/>
      <c r="Q27" s="3"/>
      <c r="R27" s="3"/>
      <c r="S27" s="2" t="s">
        <v>8</v>
      </c>
      <c r="T27" s="2" t="s">
        <v>10</v>
      </c>
      <c r="W27" s="7">
        <f t="shared" ref="W27" si="106">_xlfn.RANK.EQ(D27,$D27:$R27,1)</f>
        <v>5</v>
      </c>
      <c r="X27" s="7">
        <f t="shared" ref="X27" si="107">_xlfn.RANK.EQ(E27,$D27:$R27,1)</f>
        <v>3</v>
      </c>
      <c r="Y27" s="7">
        <f t="shared" ref="Y27" si="108">_xlfn.RANK.EQ(F27,$D27:$R27,1)</f>
        <v>9</v>
      </c>
      <c r="Z27" s="7">
        <f t="shared" ref="Z27" si="109">_xlfn.RANK.EQ(G27,$D27:$R27,1)</f>
        <v>4</v>
      </c>
      <c r="AA27" s="7">
        <f t="shared" ref="AA27" si="110">_xlfn.RANK.EQ(H27,$D27:$R27,1)</f>
        <v>8</v>
      </c>
      <c r="AB27" s="7">
        <f t="shared" ref="AB27" si="111">_xlfn.RANK.EQ(I27,$D27:$R27,1)</f>
        <v>6</v>
      </c>
      <c r="AC27" s="7">
        <f t="shared" ref="AC27" si="112">_xlfn.RANK.EQ(J27,$D27:$R27,1)</f>
        <v>1</v>
      </c>
      <c r="AD27" s="7">
        <f t="shared" ref="AD27" si="113">_xlfn.RANK.EQ(K27,$D27:$R27,1)</f>
        <v>2</v>
      </c>
      <c r="AE27" s="7">
        <f t="shared" ref="AE27" si="114">_xlfn.RANK.EQ(L27,$D27:$R27,1)</f>
        <v>7</v>
      </c>
      <c r="AF27" s="7" t="e">
        <f t="shared" ref="AF27" si="115">_xlfn.RANK.EQ(M27,$D27:$R27,1)</f>
        <v>#N/A</v>
      </c>
      <c r="AG27" s="7" t="e">
        <f t="shared" ref="AG27" si="116">_xlfn.RANK.EQ(N27,$D27:$R27,1)</f>
        <v>#N/A</v>
      </c>
      <c r="AH27" s="7" t="e">
        <f t="shared" ref="AH27" si="117">_xlfn.RANK.EQ(O27,$D27:$R27,1)</f>
        <v>#N/A</v>
      </c>
      <c r="AI27" s="7" t="e">
        <f t="shared" ref="AI27" si="118">_xlfn.RANK.EQ(P27,$D27:$R27,1)</f>
        <v>#N/A</v>
      </c>
      <c r="AJ27" s="7" t="e">
        <f t="shared" ref="AJ27" si="119">_xlfn.RANK.EQ(Q27,$D27:$R27,1)</f>
        <v>#N/A</v>
      </c>
      <c r="AK27" s="7" t="e">
        <f t="shared" ref="AK27" si="120">_xlfn.RANK.EQ(R27,$D27:$R27,1)</f>
        <v>#N/A</v>
      </c>
    </row>
    <row r="28" x14ac:dyDescent="0.3">
      <c r="A28" s="21"/>
      <c r="B28" s="16" t="s">
        <v>303</v>
      </c>
      <c r="C28" s="10" t="s">
        <v>330</v>
      </c>
      <c r="D28" s="9">
        <v>92.840077108977653</v>
      </c>
      <c r="E28" s="9">
        <v>65.55390653719472</v>
      </c>
      <c r="F28" s="9">
        <v>117.60458624003165</v>
      </c>
      <c r="G28" s="9">
        <v>63.792303224263208</v>
      </c>
      <c r="H28" s="9">
        <v>44.948368383438662</v>
      </c>
      <c r="I28" s="9">
        <v>16.197965598153576</v>
      </c>
      <c r="J28" s="9">
        <v>24.08281616294467</v>
      </c>
      <c r="K28" s="9">
        <v>8.0234111509456305</v>
      </c>
      <c r="L28" s="9">
        <v>95.487949095086918</v>
      </c>
      <c r="M28" s="9">
        <v>78.724776698430105</v>
      </c>
      <c r="N28" s="9"/>
      <c r="O28" s="9"/>
      <c r="P28" s="9"/>
      <c r="Q28" s="9"/>
      <c r="R28" s="9"/>
      <c r="S28" s="4"/>
      <c r="T28" s="4" t="s">
        <v>11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x14ac:dyDescent="0.3">
      <c r="A29" s="21"/>
      <c r="B29" s="18" t="s">
        <v>303</v>
      </c>
      <c r="C29" s="5" t="s">
        <v>331</v>
      </c>
      <c r="D29" s="6">
        <v>2.1322916666666667</v>
      </c>
      <c r="E29" s="6">
        <v>0.26197916666666665</v>
      </c>
      <c r="F29" s="6">
        <v>0.33802083333333333</v>
      </c>
      <c r="G29" s="6">
        <v>0.16614583333333333</v>
      </c>
      <c r="H29" s="6">
        <v>0.27031250000000001</v>
      </c>
      <c r="I29" s="6">
        <v>0.20208333333333334</v>
      </c>
      <c r="J29" s="6">
        <v>14.0625</v>
      </c>
      <c r="K29" s="6">
        <v>0.38124999999999998</v>
      </c>
      <c r="L29" s="6">
        <v>0.40052083333333333</v>
      </c>
      <c r="M29" s="6">
        <v>0.15781249999999999</v>
      </c>
      <c r="N29" s="6"/>
      <c r="O29" s="6"/>
      <c r="P29" s="6"/>
      <c r="Q29" s="6"/>
      <c r="R29" s="6"/>
      <c r="S29" s="5"/>
      <c r="T29" s="5" t="s">
        <v>12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ht="14.4" customHeight="true" x14ac:dyDescent="0.3">
      <c r="A30" s="21"/>
      <c r="B30" s="20" t="s">
        <v>304</v>
      </c>
      <c r="C30" s="2" t="s">
        <v>332</v>
      </c>
      <c r="D30" s="3">
        <v>2929.9691876430684</v>
      </c>
      <c r="E30" s="3">
        <v>3028.0800041666357</v>
      </c>
      <c r="F30" s="3">
        <v>2917.2949276113995</v>
      </c>
      <c r="G30" s="3">
        <v>2940.3090595374824</v>
      </c>
      <c r="H30" s="3">
        <v>2919.9785285631456</v>
      </c>
      <c r="I30" s="3">
        <v>2940.9288932637232</v>
      </c>
      <c r="J30" s="3">
        <v>3001.7390681443094</v>
      </c>
      <c r="K30" s="3">
        <v>2933.7003210141365</v>
      </c>
      <c r="L30" s="3">
        <v>2933.0708879191448</v>
      </c>
      <c r="M30" s="3">
        <v>2939.6701921053968</v>
      </c>
      <c r="N30" s="3"/>
      <c r="O30" s="3"/>
      <c r="P30" s="3"/>
      <c r="Q30" s="3"/>
      <c r="R30" s="3"/>
      <c r="S30" s="2" t="s">
        <v>9</v>
      </c>
      <c r="T30" s="2" t="s">
        <v>10</v>
      </c>
      <c r="W30" s="7">
        <f t="shared" ref="W30" si="121">_xlfn.RANK.EQ(D30,$D30:$R30,1)</f>
        <v>7</v>
      </c>
      <c r="X30" s="7">
        <f t="shared" ref="X30" si="122">_xlfn.RANK.EQ(E30,$D30:$R30,1)</f>
        <v>4</v>
      </c>
      <c r="Y30" s="7">
        <f t="shared" ref="Y30" si="123">_xlfn.RANK.EQ(F30,$D30:$R30,1)</f>
        <v>3</v>
      </c>
      <c r="Z30" s="7">
        <f t="shared" ref="Z30" si="124">_xlfn.RANK.EQ(G30,$D30:$R30,1)</f>
        <v>5</v>
      </c>
      <c r="AA30" s="7">
        <f t="shared" ref="AA30" si="125">_xlfn.RANK.EQ(H30,$D30:$R30,1)</f>
        <v>9</v>
      </c>
      <c r="AB30" s="7">
        <f t="shared" ref="AB30" si="126">_xlfn.RANK.EQ(I30,$D30:$R30,1)</f>
        <v>2</v>
      </c>
      <c r="AC30" s="7">
        <f t="shared" ref="AC30" si="127">_xlfn.RANK.EQ(J30,$D30:$R30,1)</f>
        <v>8</v>
      </c>
      <c r="AD30" s="7">
        <f t="shared" ref="AD30" si="128">_xlfn.RANK.EQ(K30,$D30:$R30,1)</f>
        <v>1</v>
      </c>
      <c r="AE30" s="7">
        <f t="shared" ref="AE30" si="129">_xlfn.RANK.EQ(L30,$D30:$R30,1)</f>
        <v>6</v>
      </c>
      <c r="AF30" s="7" t="e">
        <f t="shared" ref="AF30" si="130">_xlfn.RANK.EQ(M30,$D30:$R30,1)</f>
        <v>#N/A</v>
      </c>
      <c r="AG30" s="7" t="e">
        <f t="shared" ref="AG30" si="131">_xlfn.RANK.EQ(N30,$D30:$R30,1)</f>
        <v>#N/A</v>
      </c>
      <c r="AH30" s="7" t="e">
        <f t="shared" ref="AH30" si="132">_xlfn.RANK.EQ(O30,$D30:$R30,1)</f>
        <v>#N/A</v>
      </c>
      <c r="AI30" s="7" t="e">
        <f t="shared" ref="AI30" si="133">_xlfn.RANK.EQ(P30,$D30:$R30,1)</f>
        <v>#N/A</v>
      </c>
      <c r="AJ30" s="7" t="e">
        <f t="shared" ref="AJ30" si="134">_xlfn.RANK.EQ(Q30,$D30:$R30,1)</f>
        <v>#N/A</v>
      </c>
      <c r="AK30" s="7" t="e">
        <f t="shared" ref="AK30" si="135">_xlfn.RANK.EQ(R30,$D30:$R30,1)</f>
        <v>#N/A</v>
      </c>
    </row>
    <row r="31" x14ac:dyDescent="0.3">
      <c r="A31" s="21"/>
      <c r="B31" s="16" t="s">
        <v>304</v>
      </c>
      <c r="C31" s="10" t="s">
        <v>333</v>
      </c>
      <c r="D31" s="9">
        <v>22.576083890647009</v>
      </c>
      <c r="E31" s="9">
        <v>86.696530371447295</v>
      </c>
      <c r="F31" s="9">
        <v>60.452782268672117</v>
      </c>
      <c r="G31" s="9">
        <v>22.577652539882934</v>
      </c>
      <c r="H31" s="9">
        <v>24.626683219461395</v>
      </c>
      <c r="I31" s="9">
        <v>20.474326862605981</v>
      </c>
      <c r="J31" s="9">
        <v>74.470211763214508</v>
      </c>
      <c r="K31" s="9">
        <v>27.005915647153426</v>
      </c>
      <c r="L31" s="9">
        <v>22.254970399424813</v>
      </c>
      <c r="M31" s="9">
        <v>20.927779772675454</v>
      </c>
      <c r="N31" s="9"/>
      <c r="O31" s="9"/>
      <c r="P31" s="9"/>
      <c r="Q31" s="9"/>
      <c r="R31" s="9"/>
      <c r="S31" s="4"/>
      <c r="T31" s="4" t="s">
        <v>11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x14ac:dyDescent="0.3">
      <c r="A32" s="17"/>
      <c r="B32" s="18" t="s">
        <v>304</v>
      </c>
      <c r="C32" s="5" t="s">
        <v>334</v>
      </c>
      <c r="D32" s="6">
        <v>1.8671875</v>
      </c>
      <c r="E32" s="6">
        <v>0.18854166666666666</v>
      </c>
      <c r="F32" s="6">
        <v>0.28593750000000001</v>
      </c>
      <c r="G32" s="6">
        <v>0.15729166666666666</v>
      </c>
      <c r="H32" s="6">
        <v>0.25729166666666664</v>
      </c>
      <c r="I32" s="6">
        <v>0.19843749999999999</v>
      </c>
      <c r="J32" s="6">
        <v>5.2479166666666668</v>
      </c>
      <c r="K32" s="6">
        <v>0.43177083333333333</v>
      </c>
      <c r="L32" s="6">
        <v>0.4375</v>
      </c>
      <c r="M32" s="6">
        <v>0.15520833333333334</v>
      </c>
      <c r="N32" s="6"/>
      <c r="O32" s="6"/>
      <c r="P32" s="6"/>
      <c r="Q32" s="6"/>
      <c r="R32" s="6"/>
      <c r="S32" s="5"/>
      <c r="T32" s="5" t="s">
        <v>12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ht="32.4" customHeight="true" x14ac:dyDescent="0.3">
      <c r="A33" s="19" t="s">
        <v>21</v>
      </c>
      <c r="B33" s="20"/>
      <c r="C33" s="20"/>
      <c r="D33" s="7">
        <f>COUNTIF(W3:W32,1)</f>
        <v>3</v>
      </c>
      <c r="E33" s="7">
        <f t="shared" ref="E33:R33" si="136">COUNTIF(X3:X32,1)</f>
        <v>1</v>
      </c>
      <c r="F33" s="7">
        <f t="shared" si="136"/>
        <v>0</v>
      </c>
      <c r="G33" s="7">
        <f t="shared" si="136"/>
        <v>0</v>
      </c>
      <c r="H33" s="7">
        <f t="shared" si="136"/>
        <v>0</v>
      </c>
      <c r="I33" s="7">
        <f t="shared" si="136"/>
        <v>1</v>
      </c>
      <c r="J33" s="7">
        <f t="shared" si="136"/>
        <v>1</v>
      </c>
      <c r="K33" s="7">
        <f t="shared" si="136"/>
        <v>4</v>
      </c>
      <c r="L33" s="7">
        <f t="shared" si="136"/>
        <v>0</v>
      </c>
      <c r="M33" s="7">
        <f t="shared" si="136"/>
        <v>0</v>
      </c>
      <c r="N33" s="7">
        <f t="shared" si="136"/>
        <v>0</v>
      </c>
      <c r="O33" s="7">
        <f t="shared" si="136"/>
        <v>0</v>
      </c>
      <c r="P33" s="7">
        <f t="shared" si="136"/>
        <v>0</v>
      </c>
      <c r="Q33" s="7">
        <f t="shared" si="136"/>
        <v>0</v>
      </c>
      <c r="R33" s="7">
        <f t="shared" si="136"/>
        <v>0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ht="32.4" customHeight="true" x14ac:dyDescent="0.3">
      <c r="A34" s="21" t="s">
        <v>22</v>
      </c>
      <c r="B34" s="16"/>
      <c r="C34" s="16"/>
      <c r="D34" s="7">
        <f>_xlfn.RANK.EQ(D33,$D33:$R33,0)</f>
        <v>2</v>
      </c>
      <c r="E34" s="7">
        <f t="shared" ref="E34:R34" si="137">_xlfn.RANK.EQ(E33,$D33:$R33,0)</f>
        <v>3</v>
      </c>
      <c r="F34" s="7">
        <f t="shared" si="137"/>
        <v>6</v>
      </c>
      <c r="G34" s="7">
        <f t="shared" si="137"/>
        <v>6</v>
      </c>
      <c r="H34" s="7">
        <f t="shared" si="137"/>
        <v>6</v>
      </c>
      <c r="I34" s="7">
        <f t="shared" si="137"/>
        <v>3</v>
      </c>
      <c r="J34" s="7">
        <f t="shared" si="137"/>
        <v>3</v>
      </c>
      <c r="K34" s="7">
        <f t="shared" si="137"/>
        <v>1</v>
      </c>
      <c r="L34" s="7">
        <f t="shared" si="137"/>
        <v>6</v>
      </c>
      <c r="M34" s="7">
        <f t="shared" si="137"/>
        <v>6</v>
      </c>
      <c r="N34" s="7">
        <f t="shared" si="137"/>
        <v>6</v>
      </c>
      <c r="O34" s="7">
        <f t="shared" si="137"/>
        <v>6</v>
      </c>
      <c r="P34" s="7">
        <f t="shared" si="137"/>
        <v>6</v>
      </c>
      <c r="Q34" s="7">
        <f t="shared" si="137"/>
        <v>6</v>
      </c>
      <c r="R34" s="7">
        <f t="shared" si="137"/>
        <v>6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ht="32.4" customHeight="true" x14ac:dyDescent="0.3">
      <c r="A35" s="15" t="s">
        <v>23</v>
      </c>
      <c r="B35" s="16"/>
      <c r="C35" s="16"/>
      <c r="D35" s="8">
        <f>AVERAGE(W3:W32)</f>
        <v>3.7</v>
      </c>
      <c r="E35" s="8">
        <f t="shared" ref="E35:R35" si="138">AVERAGE(X3:X32)</f>
        <v>2.8</v>
      </c>
      <c r="F35" s="8">
        <f t="shared" si="138"/>
        <v>7</v>
      </c>
      <c r="G35" s="8">
        <f t="shared" si="138"/>
        <v>4.4000000000000004</v>
      </c>
      <c r="H35" s="8">
        <f t="shared" si="138"/>
        <v>8.1</v>
      </c>
      <c r="I35" s="8">
        <f t="shared" si="138"/>
        <v>4.5</v>
      </c>
      <c r="J35" s="8">
        <f t="shared" si="138"/>
        <v>5.6</v>
      </c>
      <c r="K35" s="8">
        <f t="shared" si="138"/>
        <v>2.5</v>
      </c>
      <c r="L35" s="8">
        <f t="shared" si="138"/>
        <v>6.4</v>
      </c>
      <c r="M35" s="8" t="e">
        <f t="shared" si="138"/>
        <v>#N/A</v>
      </c>
      <c r="N35" s="8" t="e">
        <f t="shared" si="138"/>
        <v>#N/A</v>
      </c>
      <c r="O35" s="8" t="e">
        <f t="shared" si="138"/>
        <v>#N/A</v>
      </c>
      <c r="P35" s="8" t="e">
        <f t="shared" si="138"/>
        <v>#N/A</v>
      </c>
      <c r="Q35" s="8" t="e">
        <f t="shared" si="138"/>
        <v>#N/A</v>
      </c>
      <c r="R35" s="8" t="e">
        <f t="shared" si="138"/>
        <v>#N/A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ht="32.4" customHeight="true" x14ac:dyDescent="0.3">
      <c r="A36" s="17" t="s">
        <v>24</v>
      </c>
      <c r="B36" s="18"/>
      <c r="C36" s="18"/>
      <c r="D36" s="5" t="e">
        <f>_xlfn.RANK.EQ(D35,$D35:$R35,1)</f>
        <v>#N/A</v>
      </c>
      <c r="E36" s="5" t="e">
        <f t="shared" ref="E36:R36" si="139">_xlfn.RANK.EQ(E35,$D35:$R35,1)</f>
        <v>#N/A</v>
      </c>
      <c r="F36" s="5" t="e">
        <f t="shared" si="139"/>
        <v>#N/A</v>
      </c>
      <c r="G36" s="5" t="e">
        <f t="shared" si="139"/>
        <v>#N/A</v>
      </c>
      <c r="H36" s="5" t="e">
        <f t="shared" si="139"/>
        <v>#N/A</v>
      </c>
      <c r="I36" s="5" t="e">
        <f t="shared" si="139"/>
        <v>#N/A</v>
      </c>
      <c r="J36" s="5" t="e">
        <f t="shared" si="139"/>
        <v>#N/A</v>
      </c>
      <c r="K36" s="5" t="e">
        <f t="shared" si="139"/>
        <v>#N/A</v>
      </c>
      <c r="L36" s="5" t="e">
        <f t="shared" si="139"/>
        <v>#N/A</v>
      </c>
      <c r="M36" s="5" t="e">
        <f t="shared" si="139"/>
        <v>#N/A</v>
      </c>
      <c r="N36" s="5" t="e">
        <f t="shared" si="139"/>
        <v>#N/A</v>
      </c>
      <c r="O36" s="5" t="e">
        <f t="shared" si="139"/>
        <v>#N/A</v>
      </c>
      <c r="P36" s="5" t="e">
        <f t="shared" si="139"/>
        <v>#N/A</v>
      </c>
      <c r="Q36" s="5" t="e">
        <f t="shared" si="139"/>
        <v>#N/A</v>
      </c>
      <c r="R36" s="5" t="e">
        <f t="shared" si="139"/>
        <v>#N/A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x14ac:dyDescent="0.3"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x14ac:dyDescent="0.3"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x14ac:dyDescent="0.3"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x14ac:dyDescent="0.3"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x14ac:dyDescent="0.3"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x14ac:dyDescent="0.3"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</sheetData>
  <mergeCells count="9">
    <mergeCell ref="A34:C34"/>
    <mergeCell ref="A1:R1"/>
    <mergeCell ref="A35:C35"/>
    <mergeCell ref="A36:C36"/>
    <mergeCell ref="A33:C33"/>
    <mergeCell ref="A3:A5"/>
    <mergeCell ref="A6:A14"/>
    <mergeCell ref="A15:A23"/>
    <mergeCell ref="A24:A32"/>
  </mergeCells>
  <phoneticPr fontId="3" type="noConversion"/>
  <conditionalFormatting sqref="D3:R3">
    <cfRule type="top10" dxfId="14" priority="10" bottom="true" rank="1"/>
  </conditionalFormatting>
  <conditionalFormatting sqref="D6:R6">
    <cfRule type="top10" dxfId="13" priority="9" bottom="true" rank="1"/>
  </conditionalFormatting>
  <conditionalFormatting sqref="D9:R9">
    <cfRule type="top10" dxfId="12" priority="8" bottom="true" rank="1"/>
  </conditionalFormatting>
  <conditionalFormatting sqref="D12:R12">
    <cfRule type="top10" dxfId="11" priority="7" bottom="true" rank="1"/>
  </conditionalFormatting>
  <conditionalFormatting sqref="D15:R15">
    <cfRule type="top10" dxfId="10" priority="6" bottom="true" rank="1"/>
  </conditionalFormatting>
  <conditionalFormatting sqref="D18:R18">
    <cfRule type="top10" dxfId="9" priority="5" bottom="true" rank="1"/>
  </conditionalFormatting>
  <conditionalFormatting sqref="D21:R21">
    <cfRule type="top10" dxfId="8" priority="4" bottom="true" rank="1"/>
  </conditionalFormatting>
  <conditionalFormatting sqref="D24:R24">
    <cfRule type="top10" dxfId="7" priority="3" bottom="true" rank="1"/>
  </conditionalFormatting>
  <conditionalFormatting sqref="D27:R27">
    <cfRule type="top10" dxfId="6" priority="2" bottom="true" rank="1"/>
  </conditionalFormatting>
  <conditionalFormatting sqref="D30:R30">
    <cfRule type="top10" dxfId="5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I14" sqref="I14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8.21875" bestFit="true" customWidth="true"/>
  </cols>
  <sheetData>
    <row r="1" ht="15" thickBot="true" x14ac:dyDescent="0.35">
      <c r="A1" s="24" t="s">
        <v>136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x14ac:dyDescent="0.3">
      <c r="A2" s="5" t="s">
        <v>341</v>
      </c>
      <c r="B2" s="5" t="s">
        <v>352</v>
      </c>
      <c r="C2" s="5" t="s">
        <v>353</v>
      </c>
      <c r="D2" s="5" t="s">
        <v>354</v>
      </c>
      <c r="E2" s="5" t="s">
        <v>355</v>
      </c>
      <c r="F2" s="5" t="s">
        <v>356</v>
      </c>
      <c r="G2" s="5" t="s">
        <v>206</v>
      </c>
      <c r="H2" s="5" t="s">
        <v>207</v>
      </c>
      <c r="I2" s="5" t="s">
        <v>208</v>
      </c>
      <c r="J2" s="5" t="s">
        <v>209</v>
      </c>
      <c r="K2" s="5"/>
      <c r="L2" s="5"/>
      <c r="M2" s="5"/>
      <c r="N2" s="5"/>
      <c r="O2" s="5"/>
    </row>
    <row r="3" x14ac:dyDescent="0.3">
      <c r="A3" s="12" t="s">
        <v>342</v>
      </c>
      <c r="B3" s="3">
        <v>2.1889715095904212e-07</v>
      </c>
      <c r="C3" s="3">
        <v>1.3083837250142624e-07</v>
      </c>
      <c r="D3" s="3">
        <v>0.2161648236186704</v>
      </c>
      <c r="E3" s="3">
        <v>2.6820017860485687e-06</v>
      </c>
      <c r="F3" s="3">
        <v>1.3799283013075222e-09</v>
      </c>
      <c r="G3" s="3">
        <v>0.0011978036481605013</v>
      </c>
      <c r="H3" s="3">
        <v>0.0057276651012643518</v>
      </c>
      <c r="I3" s="3">
        <v>6.6901151085992906e-10</v>
      </c>
      <c r="J3" s="3">
        <v>0.13742385095737797</v>
      </c>
      <c r="K3" s="3">
        <v>0.1418161401746505</v>
      </c>
      <c r="L3" s="3"/>
      <c r="M3" s="3"/>
      <c r="N3" s="3"/>
      <c r="O3" s="3"/>
    </row>
    <row r="4" x14ac:dyDescent="0.3">
      <c r="A4" s="14" t="s">
        <v>343</v>
      </c>
      <c r="B4" s="9">
        <v>4.4803179325815717e-10</v>
      </c>
      <c r="C4" s="9">
        <v>0.0024623313475112406</v>
      </c>
      <c r="D4" s="9">
        <v>0.94819086424985888</v>
      </c>
      <c r="E4" s="9">
        <v>1.2855859015019077e-06</v>
      </c>
      <c r="F4" s="9">
        <v>0.27235214540764507</v>
      </c>
      <c r="G4" s="9">
        <v>3.4317787748673193e-09</v>
      </c>
      <c r="H4" s="9">
        <v>0.29754099566575876</v>
      </c>
      <c r="I4" s="9">
        <v>0.072645108317689153</v>
      </c>
      <c r="J4" s="9">
        <v>0.33657331677424218</v>
      </c>
      <c r="K4" s="9">
        <v>0.15376059575224688</v>
      </c>
      <c r="L4" s="9"/>
      <c r="M4" s="9"/>
      <c r="N4" s="9"/>
      <c r="O4" s="9"/>
    </row>
    <row r="5" x14ac:dyDescent="0.3">
      <c r="A5" s="14" t="s">
        <v>344</v>
      </c>
      <c r="B5" s="9">
        <v>2.6527351037113006e-06</v>
      </c>
      <c r="C5" s="9">
        <v>5.8031603953854227e-05</v>
      </c>
      <c r="D5" s="9">
        <v>0.0001224863622196173</v>
      </c>
      <c r="E5" s="9">
        <v>7.0179025604860374e-12</v>
      </c>
      <c r="F5" s="9">
        <v>0.023955082741937979</v>
      </c>
      <c r="G5" s="9">
        <v>0.084636891544115078</v>
      </c>
      <c r="H5" s="9">
        <v>2.9293524574012334e-07</v>
      </c>
      <c r="I5" s="9">
        <v>0.35110883398405623</v>
      </c>
      <c r="J5" s="9">
        <v>0.00058095582841388911</v>
      </c>
      <c r="K5" s="9">
        <v>0.91594410428897355</v>
      </c>
      <c r="L5" s="9"/>
      <c r="M5" s="9"/>
      <c r="N5" s="9"/>
      <c r="O5" s="9"/>
    </row>
    <row r="6" x14ac:dyDescent="0.3">
      <c r="A6" s="14" t="s">
        <v>345</v>
      </c>
      <c r="B6" s="9">
        <v>0.18243141238960336</v>
      </c>
      <c r="C6" s="9">
        <v>7.0351604203922469e-10</v>
      </c>
      <c r="D6" s="9">
        <v>0.17438584908976129</v>
      </c>
      <c r="E6" s="9">
        <v>0.013699432030284935</v>
      </c>
      <c r="F6" s="9">
        <v>5.1117800044162682e-06</v>
      </c>
      <c r="G6" s="9">
        <v>0.004027536986552979</v>
      </c>
      <c r="H6" s="9">
        <v>0.43645421298643072</v>
      </c>
      <c r="I6" s="9">
        <v>1.9935593709620699e-11</v>
      </c>
      <c r="J6" s="9">
        <v>0.7175027955586557</v>
      </c>
      <c r="K6" s="9">
        <v>4.1354845616925544E-4</v>
      </c>
      <c r="L6" s="9"/>
      <c r="M6" s="9"/>
      <c r="N6" s="9"/>
      <c r="O6" s="9"/>
    </row>
    <row r="7" x14ac:dyDescent="0.3">
      <c r="A7" s="14" t="s">
        <v>346</v>
      </c>
      <c r="B7" s="9">
        <v>0.022185101158955747</v>
      </c>
      <c r="C7" s="9">
        <v>7.6498185490455866e-05</v>
      </c>
      <c r="D7" s="9">
        <v>0.039052625844442683</v>
      </c>
      <c r="E7" s="9">
        <v>0.033586223175251791</v>
      </c>
      <c r="F7" s="9">
        <v>8.5920504111825475e-05</v>
      </c>
      <c r="G7" s="9">
        <v>0.002609762873297815</v>
      </c>
      <c r="H7" s="9">
        <v>2.2356492904098773e-05</v>
      </c>
      <c r="I7" s="9">
        <v>1.005782798306339e-05</v>
      </c>
      <c r="J7" s="9">
        <v>0.068358449644441197</v>
      </c>
      <c r="K7" s="9">
        <v>1.1554906664827683E-2</v>
      </c>
      <c r="L7" s="9"/>
      <c r="M7" s="9"/>
      <c r="N7" s="9"/>
      <c r="O7" s="9"/>
    </row>
    <row r="8" x14ac:dyDescent="0.3">
      <c r="A8" s="14" t="s">
        <v>347</v>
      </c>
      <c r="B8" s="9">
        <v>1.8738732166419479e-06</v>
      </c>
      <c r="C8" s="9">
        <v>4.5382680961396384e-07</v>
      </c>
      <c r="D8" s="9">
        <v>0.0048594834947701922</v>
      </c>
      <c r="E8" s="9">
        <v>4.4974541139696848e-05</v>
      </c>
      <c r="F8" s="9">
        <v>0.0016904691497201907</v>
      </c>
      <c r="G8" s="9">
        <v>0.0025049532193828807</v>
      </c>
      <c r="H8" s="9">
        <v>0.34006658057359629</v>
      </c>
      <c r="I8" s="9">
        <v>3.8448777490603429e-07</v>
      </c>
      <c r="J8" s="9">
        <v>0.00024559157852933384</v>
      </c>
      <c r="K8" s="9">
        <v>2.0383264409110039E-5</v>
      </c>
      <c r="L8" s="9"/>
      <c r="M8" s="9"/>
      <c r="N8" s="9"/>
      <c r="O8" s="9"/>
    </row>
    <row r="9" x14ac:dyDescent="0.3">
      <c r="A9" s="14" t="s">
        <v>348</v>
      </c>
      <c r="B9" s="9">
        <v>0.033388048063853697</v>
      </c>
      <c r="C9" s="9">
        <v>0.00046433684333776245</v>
      </c>
      <c r="D9" s="9">
        <v>8.2091766302829078e-08</v>
      </c>
      <c r="E9" s="9">
        <v>0.5053741709714461</v>
      </c>
      <c r="F9" s="9">
        <v>0.00024531465294299498</v>
      </c>
      <c r="G9" s="9">
        <v>0.23017308907259715</v>
      </c>
      <c r="H9" s="9">
        <v>0.11497356888132082</v>
      </c>
      <c r="I9" s="9">
        <v>0.00064370942840439151</v>
      </c>
      <c r="J9" s="9">
        <v>2.0992561221956883e-07</v>
      </c>
      <c r="K9" s="9">
        <v>0.83375747784617182</v>
      </c>
      <c r="L9" s="9"/>
      <c r="M9" s="9"/>
      <c r="N9" s="9"/>
      <c r="O9" s="9"/>
    </row>
    <row r="10" x14ac:dyDescent="0.3">
      <c r="A10" s="14" t="s">
        <v>349</v>
      </c>
      <c r="B10" s="9">
        <v>2.581479664900262e-09</v>
      </c>
      <c r="C10" s="9">
        <v>0.47261944376219767</v>
      </c>
      <c r="D10" s="9">
        <v>0.26690725659853209</v>
      </c>
      <c r="E10" s="9">
        <v>0.057189109356283505</v>
      </c>
      <c r="F10" s="9">
        <v>0.069971411063777689</v>
      </c>
      <c r="G10" s="9">
        <v>0.010081484313785933</v>
      </c>
      <c r="H10" s="9">
        <v>0.97597683973627147</v>
      </c>
      <c r="I10" s="9">
        <v>0.04156901245121096</v>
      </c>
      <c r="J10" s="9">
        <v>0.0045381058211398711</v>
      </c>
      <c r="K10" s="9">
        <v>5.6531292517103104E-4</v>
      </c>
      <c r="L10" s="9"/>
      <c r="M10" s="9"/>
      <c r="N10" s="9"/>
      <c r="O10" s="9"/>
    </row>
    <row r="11" x14ac:dyDescent="0.3">
      <c r="A11" s="14" t="s">
        <v>350</v>
      </c>
      <c r="B11" s="9">
        <v>8.5849437505028211e-14</v>
      </c>
      <c r="C11" s="9">
        <v>3.6381718275044227e-11</v>
      </c>
      <c r="D11" s="9">
        <v>7.2014436142648583e-10</v>
      </c>
      <c r="E11" s="9">
        <v>4.5596993100012211e-12</v>
      </c>
      <c r="F11" s="9">
        <v>3.9760564698978155e-14</v>
      </c>
      <c r="G11" s="9">
        <v>0.0002042397819860926</v>
      </c>
      <c r="H11" s="9">
        <v>0.41476004824478496</v>
      </c>
      <c r="I11" s="9">
        <v>6.8351593221188766e-08</v>
      </c>
      <c r="J11" s="9">
        <v>0.8680195583780006</v>
      </c>
      <c r="K11" s="9">
        <v>1.2528688443166635E-5</v>
      </c>
      <c r="L11" s="9"/>
      <c r="M11" s="9"/>
      <c r="N11" s="9"/>
      <c r="O11" s="9"/>
    </row>
    <row r="12" x14ac:dyDescent="0.3">
      <c r="A12" s="13" t="s">
        <v>351</v>
      </c>
      <c r="B12" s="11">
        <v>2.9802851929528887e-07</v>
      </c>
      <c r="C12" s="11">
        <v>0.26889971308628935</v>
      </c>
      <c r="D12" s="11">
        <v>0.1201018771574891</v>
      </c>
      <c r="E12" s="11">
        <v>0.10315311424136897</v>
      </c>
      <c r="F12" s="11">
        <v>0.012375650944838678</v>
      </c>
      <c r="G12" s="11">
        <v>0.00016953498271731287</v>
      </c>
      <c r="H12" s="11">
        <v>0.68413280121127873</v>
      </c>
      <c r="I12" s="11">
        <v>0.58424845152113081</v>
      </c>
      <c r="J12" s="11">
        <v>0.60169987119374135</v>
      </c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4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activeCell="B3" sqref="B3:O12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8.5546875" bestFit="true" customWidth="true"/>
  </cols>
  <sheetData>
    <row r="1" ht="15" thickBot="true" x14ac:dyDescent="0.35">
      <c r="A1" s="24" t="s">
        <v>137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x14ac:dyDescent="0.3">
      <c r="A2" s="5" t="s">
        <v>357</v>
      </c>
      <c r="B2" s="5" t="s">
        <v>368</v>
      </c>
      <c r="C2" s="5" t="s">
        <v>369</v>
      </c>
      <c r="D2" s="5" t="s">
        <v>370</v>
      </c>
      <c r="E2" s="5" t="s">
        <v>371</v>
      </c>
      <c r="F2" s="5" t="s">
        <v>372</v>
      </c>
      <c r="G2" s="5" t="s">
        <v>226</v>
      </c>
      <c r="H2" s="5" t="s">
        <v>227</v>
      </c>
      <c r="I2" s="5" t="s">
        <v>228</v>
      </c>
      <c r="J2" s="5" t="s">
        <v>229</v>
      </c>
      <c r="K2" s="5"/>
      <c r="L2" s="5"/>
      <c r="M2" s="5"/>
      <c r="N2" s="5"/>
      <c r="O2" s="5"/>
    </row>
    <row r="3" x14ac:dyDescent="0.3">
      <c r="A3" s="2" t="s">
        <v>358</v>
      </c>
      <c r="B3" s="25">
        <v>1</v>
      </c>
      <c r="C3" s="25">
        <v>1</v>
      </c>
      <c r="D3" s="25">
        <v>0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0</v>
      </c>
      <c r="K3" s="25">
        <v>0</v>
      </c>
      <c r="L3" s="25"/>
      <c r="M3" s="25"/>
      <c r="N3" s="25"/>
      <c r="O3" s="25"/>
    </row>
    <row r="4" x14ac:dyDescent="0.3">
      <c r="A4" s="10" t="s">
        <v>359</v>
      </c>
      <c r="B4" s="26">
        <v>1</v>
      </c>
      <c r="C4" s="26">
        <v>1</v>
      </c>
      <c r="D4" s="26">
        <v>0</v>
      </c>
      <c r="E4" s="26">
        <v>1</v>
      </c>
      <c r="F4" s="26">
        <v>0</v>
      </c>
      <c r="G4" s="26">
        <v>1</v>
      </c>
      <c r="H4" s="26">
        <v>0</v>
      </c>
      <c r="I4" s="26">
        <v>0</v>
      </c>
      <c r="J4" s="26">
        <v>0</v>
      </c>
      <c r="K4" s="26">
        <v>0</v>
      </c>
      <c r="L4" s="26"/>
      <c r="M4" s="26"/>
      <c r="N4" s="26"/>
      <c r="O4" s="26"/>
    </row>
    <row r="5" x14ac:dyDescent="0.3">
      <c r="A5" s="10" t="s">
        <v>360</v>
      </c>
      <c r="B5" s="26">
        <v>1</v>
      </c>
      <c r="C5" s="26">
        <v>1</v>
      </c>
      <c r="D5" s="26">
        <v>1</v>
      </c>
      <c r="E5" s="26">
        <v>1</v>
      </c>
      <c r="F5" s="26">
        <v>1</v>
      </c>
      <c r="G5" s="26">
        <v>0</v>
      </c>
      <c r="H5" s="26">
        <v>1</v>
      </c>
      <c r="I5" s="26">
        <v>0</v>
      </c>
      <c r="J5" s="26">
        <v>1</v>
      </c>
      <c r="K5" s="26">
        <v>0</v>
      </c>
      <c r="L5" s="26"/>
      <c r="M5" s="26"/>
      <c r="N5" s="26"/>
      <c r="O5" s="26"/>
    </row>
    <row r="6" x14ac:dyDescent="0.3">
      <c r="A6" s="10" t="s">
        <v>361</v>
      </c>
      <c r="B6" s="26">
        <v>0</v>
      </c>
      <c r="C6" s="26">
        <v>1</v>
      </c>
      <c r="D6" s="26">
        <v>0</v>
      </c>
      <c r="E6" s="26">
        <v>1</v>
      </c>
      <c r="F6" s="26">
        <v>1</v>
      </c>
      <c r="G6" s="26">
        <v>1</v>
      </c>
      <c r="H6" s="26">
        <v>0</v>
      </c>
      <c r="I6" s="26">
        <v>1</v>
      </c>
      <c r="J6" s="26">
        <v>0</v>
      </c>
      <c r="K6" s="26">
        <v>1</v>
      </c>
      <c r="L6" s="26"/>
      <c r="M6" s="26"/>
      <c r="N6" s="26"/>
      <c r="O6" s="26"/>
    </row>
    <row r="7" x14ac:dyDescent="0.3">
      <c r="A7" s="10" t="s">
        <v>362</v>
      </c>
      <c r="B7" s="26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0</v>
      </c>
      <c r="K7" s="26">
        <v>1</v>
      </c>
      <c r="L7" s="26"/>
      <c r="M7" s="26"/>
      <c r="N7" s="26"/>
      <c r="O7" s="26"/>
    </row>
    <row r="8" x14ac:dyDescent="0.3">
      <c r="A8" s="10" t="s">
        <v>363</v>
      </c>
      <c r="B8" s="26">
        <v>1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0</v>
      </c>
      <c r="I8" s="26">
        <v>1</v>
      </c>
      <c r="J8" s="26">
        <v>1</v>
      </c>
      <c r="K8" s="26">
        <v>1</v>
      </c>
      <c r="L8" s="26"/>
      <c r="M8" s="26"/>
      <c r="N8" s="26"/>
      <c r="O8" s="26"/>
    </row>
    <row r="9" x14ac:dyDescent="0.3">
      <c r="A9" s="10" t="s">
        <v>364</v>
      </c>
      <c r="B9" s="26">
        <v>1</v>
      </c>
      <c r="C9" s="26">
        <v>1</v>
      </c>
      <c r="D9" s="26">
        <v>1</v>
      </c>
      <c r="E9" s="26">
        <v>0</v>
      </c>
      <c r="F9" s="26">
        <v>1</v>
      </c>
      <c r="G9" s="26">
        <v>0</v>
      </c>
      <c r="H9" s="26">
        <v>0</v>
      </c>
      <c r="I9" s="26">
        <v>1</v>
      </c>
      <c r="J9" s="26">
        <v>1</v>
      </c>
      <c r="K9" s="26">
        <v>0</v>
      </c>
      <c r="L9" s="26"/>
      <c r="M9" s="26"/>
      <c r="N9" s="26"/>
      <c r="O9" s="26"/>
    </row>
    <row r="10" x14ac:dyDescent="0.3">
      <c r="A10" s="10" t="s">
        <v>365</v>
      </c>
      <c r="B10" s="26">
        <v>1</v>
      </c>
      <c r="C10" s="26">
        <v>0</v>
      </c>
      <c r="D10" s="26">
        <v>0</v>
      </c>
      <c r="E10" s="26">
        <v>0</v>
      </c>
      <c r="F10" s="26">
        <v>0</v>
      </c>
      <c r="G10" s="26">
        <v>1</v>
      </c>
      <c r="H10" s="26">
        <v>0</v>
      </c>
      <c r="I10" s="26">
        <v>1</v>
      </c>
      <c r="J10" s="26">
        <v>1</v>
      </c>
      <c r="K10" s="26">
        <v>1</v>
      </c>
      <c r="L10" s="26"/>
      <c r="M10" s="26"/>
      <c r="N10" s="26"/>
      <c r="O10" s="26"/>
    </row>
    <row r="11" x14ac:dyDescent="0.3">
      <c r="A11" s="10" t="s">
        <v>366</v>
      </c>
      <c r="B11" s="26">
        <v>1</v>
      </c>
      <c r="C11" s="26">
        <v>1</v>
      </c>
      <c r="D11" s="26">
        <v>1</v>
      </c>
      <c r="E11" s="26">
        <v>1</v>
      </c>
      <c r="F11" s="26">
        <v>1</v>
      </c>
      <c r="G11" s="26">
        <v>1</v>
      </c>
      <c r="H11" s="26">
        <v>0</v>
      </c>
      <c r="I11" s="26">
        <v>1</v>
      </c>
      <c r="J11" s="26">
        <v>0</v>
      </c>
      <c r="K11" s="26">
        <v>1</v>
      </c>
      <c r="L11" s="26"/>
      <c r="M11" s="26"/>
      <c r="N11" s="26"/>
      <c r="O11" s="26"/>
    </row>
    <row r="12" x14ac:dyDescent="0.3">
      <c r="A12" s="5" t="s">
        <v>367</v>
      </c>
      <c r="B12" s="27">
        <v>1</v>
      </c>
      <c r="C12" s="27">
        <v>0</v>
      </c>
      <c r="D12" s="27">
        <v>0</v>
      </c>
      <c r="E12" s="27">
        <v>0</v>
      </c>
      <c r="F12" s="27">
        <v>1</v>
      </c>
      <c r="G12" s="27">
        <v>1</v>
      </c>
      <c r="H12" s="27">
        <v>0</v>
      </c>
      <c r="I12" s="27">
        <v>0</v>
      </c>
      <c r="J12" s="27">
        <v>0</v>
      </c>
      <c r="K12" s="27"/>
      <c r="L12" s="27"/>
      <c r="M12" s="27"/>
      <c r="N12" s="27"/>
      <c r="O12" s="27"/>
    </row>
  </sheetData>
  <mergeCells count="1">
    <mergeCell ref="A1:O1"/>
  </mergeCells>
  <conditionalFormatting sqref="B3:O12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activeCell="E14" sqref="E14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8" max="8" width="15.37890625" bestFit="true" customWidth="true"/>
    <col min="10" max="10" width="15.37890625" customWidth="true"/>
  </cols>
  <sheetData>
    <row r="1" ht="15" thickBot="true" x14ac:dyDescent="0.35">
      <c r="A1" s="24" t="s">
        <v>120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x14ac:dyDescent="0.3">
      <c r="A2" s="13" t="s">
        <v>373</v>
      </c>
      <c r="B2" s="13" t="s">
        <v>384</v>
      </c>
      <c r="C2" s="13" t="s">
        <v>385</v>
      </c>
      <c r="D2" s="13" t="s">
        <v>386</v>
      </c>
      <c r="E2" s="13" t="s">
        <v>387</v>
      </c>
      <c r="F2" s="13" t="s">
        <v>388</v>
      </c>
      <c r="G2" s="13" t="s">
        <v>246</v>
      </c>
      <c r="H2" s="13" t="s">
        <v>247</v>
      </c>
      <c r="I2" s="13" t="s">
        <v>248</v>
      </c>
      <c r="J2" s="13" t="s">
        <v>249</v>
      </c>
      <c r="K2" s="13"/>
      <c r="L2" s="13"/>
      <c r="M2" s="13"/>
      <c r="N2" s="13"/>
      <c r="O2" s="13"/>
    </row>
    <row r="3" x14ac:dyDescent="0.3">
      <c r="A3" s="12" t="s">
        <v>374</v>
      </c>
      <c r="B3" s="3">
        <v>1.7343976283205826e-06</v>
      </c>
      <c r="C3" s="3">
        <v>4.7292023374470689e-06</v>
      </c>
      <c r="D3" s="3">
        <v>0.051930665029697204</v>
      </c>
      <c r="E3" s="3">
        <v>2.3704477025504914e-05</v>
      </c>
      <c r="F3" s="3">
        <v>1.7343976283205826e-06</v>
      </c>
      <c r="G3" s="3">
        <v>1.7343976283205826e-06</v>
      </c>
      <c r="H3" s="3">
        <v>0.00026134309226671595</v>
      </c>
      <c r="I3" s="3">
        <v>1.9209211049031476e-06</v>
      </c>
      <c r="J3" s="3">
        <v>1.7343976283205826e-06</v>
      </c>
      <c r="K3" s="3"/>
      <c r="L3" s="3"/>
      <c r="M3" s="3"/>
      <c r="N3" s="3"/>
      <c r="O3" s="3"/>
    </row>
    <row r="4" x14ac:dyDescent="0.3">
      <c r="A4" s="14" t="s">
        <v>375</v>
      </c>
      <c r="B4" s="9">
        <v>2.6033283895389329e-06</v>
      </c>
      <c r="C4" s="9">
        <v>0.004681835234144679</v>
      </c>
      <c r="D4" s="9">
        <v>0.65833052408813408</v>
      </c>
      <c r="E4" s="9">
        <v>4.0715116266282652e-05</v>
      </c>
      <c r="F4" s="9">
        <v>0.39333437219927975</v>
      </c>
      <c r="G4" s="9">
        <v>5.216493447033382e-06</v>
      </c>
      <c r="H4" s="9">
        <v>0.42843002854580692</v>
      </c>
      <c r="I4" s="9">
        <v>0.04276668801695313</v>
      </c>
      <c r="J4" s="9">
        <v>0.24519030932096381</v>
      </c>
      <c r="K4" s="9"/>
      <c r="L4" s="9"/>
      <c r="M4" s="9"/>
      <c r="N4" s="9"/>
      <c r="O4" s="9"/>
    </row>
    <row r="5" x14ac:dyDescent="0.3">
      <c r="A5" s="14" t="s">
        <v>376</v>
      </c>
      <c r="B5" s="9">
        <v>3.405256723280547e-05</v>
      </c>
      <c r="C5" s="9">
        <v>0.00026134309226671595</v>
      </c>
      <c r="D5" s="9">
        <v>0.00045335631776461944</v>
      </c>
      <c r="E5" s="9">
        <v>1.7343976283205826e-06</v>
      </c>
      <c r="F5" s="9">
        <v>0.018518974697467733</v>
      </c>
      <c r="G5" s="9">
        <v>0.14703957864345266</v>
      </c>
      <c r="H5" s="9">
        <v>6.9837831474771065e-06</v>
      </c>
      <c r="I5" s="9">
        <v>0.30861485052601773</v>
      </c>
      <c r="J5" s="9">
        <v>0.0010356813035458732</v>
      </c>
      <c r="K5" s="9"/>
      <c r="L5" s="9"/>
      <c r="M5" s="9"/>
      <c r="N5" s="9"/>
      <c r="O5" s="9"/>
    </row>
    <row r="6" x14ac:dyDescent="0.3">
      <c r="A6" s="14" t="s">
        <v>377</v>
      </c>
      <c r="B6" s="9">
        <v>1.7343976283205826e-06</v>
      </c>
      <c r="C6" s="9">
        <v>1.7343976283205826e-06</v>
      </c>
      <c r="D6" s="9">
        <v>0.12543823902980825</v>
      </c>
      <c r="E6" s="9">
        <v>0.0098421424016931561</v>
      </c>
      <c r="F6" s="9">
        <v>7.6908593028485401e-06</v>
      </c>
      <c r="G6" s="9">
        <v>3.8821823860608705e-06</v>
      </c>
      <c r="H6" s="9">
        <v>0.017518393579685074</v>
      </c>
      <c r="I6" s="9">
        <v>1.7343976283205826e-06</v>
      </c>
      <c r="J6" s="9">
        <v>0.58571156934686908</v>
      </c>
      <c r="K6" s="9"/>
      <c r="L6" s="9"/>
      <c r="M6" s="9"/>
      <c r="N6" s="9"/>
      <c r="O6" s="9"/>
    </row>
    <row r="7" x14ac:dyDescent="0.3">
      <c r="A7" s="14" t="s">
        <v>378</v>
      </c>
      <c r="B7" s="9">
        <v>0.00089443006474615428</v>
      </c>
      <c r="C7" s="9">
        <v>2.6033283895389329e-06</v>
      </c>
      <c r="D7" s="9">
        <v>0.0011138009078172097</v>
      </c>
      <c r="E7" s="9">
        <v>0.00071570338462489361</v>
      </c>
      <c r="F7" s="9">
        <v>1.7343976283205826e-06</v>
      </c>
      <c r="G7" s="9">
        <v>1.7343976283205826e-06</v>
      </c>
      <c r="H7" s="9">
        <v>2.6033283895389329e-06</v>
      </c>
      <c r="I7" s="9">
        <v>1.7343976283205826e-06</v>
      </c>
      <c r="J7" s="9">
        <v>1.7343976283205826e-06</v>
      </c>
      <c r="K7" s="9"/>
      <c r="L7" s="9"/>
      <c r="M7" s="9"/>
      <c r="N7" s="9"/>
      <c r="O7" s="9"/>
    </row>
    <row r="8" x14ac:dyDescent="0.3">
      <c r="A8" s="14" t="s">
        <v>379</v>
      </c>
      <c r="B8" s="9">
        <v>1.9209211049031476e-06</v>
      </c>
      <c r="C8" s="9">
        <v>8.4660816903838918e-06</v>
      </c>
      <c r="D8" s="9">
        <v>0.006835856425301233</v>
      </c>
      <c r="E8" s="9">
        <v>0.00020515292261877847</v>
      </c>
      <c r="F8" s="9">
        <v>1.9209211049031476e-06</v>
      </c>
      <c r="G8" s="9">
        <v>1.4935639298398709e-05</v>
      </c>
      <c r="H8" s="9">
        <v>0.02430754157326102</v>
      </c>
      <c r="I8" s="9">
        <v>1.9209211049031476e-06</v>
      </c>
      <c r="J8" s="9">
        <v>2.8434237746031882e-05</v>
      </c>
      <c r="K8" s="9"/>
      <c r="L8" s="9"/>
      <c r="M8" s="9"/>
      <c r="N8" s="9"/>
      <c r="O8" s="9"/>
    </row>
    <row r="9" x14ac:dyDescent="0.3">
      <c r="A9" s="14" t="s">
        <v>380</v>
      </c>
      <c r="B9" s="9">
        <v>2.6033283895389329e-06</v>
      </c>
      <c r="C9" s="9">
        <v>3.7242647279456522e-05</v>
      </c>
      <c r="D9" s="9">
        <v>2.6033283895389329e-06</v>
      </c>
      <c r="E9" s="9">
        <v>0.62884300205410726</v>
      </c>
      <c r="F9" s="9">
        <v>1.7343976283205826e-06</v>
      </c>
      <c r="G9" s="9">
        <v>1.7343976283205826e-06</v>
      </c>
      <c r="H9" s="9">
        <v>0.00014772761748882258</v>
      </c>
      <c r="I9" s="9">
        <v>1.7343976283205826e-06</v>
      </c>
      <c r="J9" s="9">
        <v>1.7343976283205826e-06</v>
      </c>
      <c r="K9" s="9"/>
      <c r="L9" s="9"/>
      <c r="M9" s="9"/>
      <c r="N9" s="9"/>
      <c r="O9" s="9"/>
    </row>
    <row r="10" x14ac:dyDescent="0.3">
      <c r="A10" s="14" t="s">
        <v>381</v>
      </c>
      <c r="B10" s="9">
        <v>2.3534209951215406e-06</v>
      </c>
      <c r="C10" s="9">
        <v>0.0060350064738120468</v>
      </c>
      <c r="D10" s="9">
        <v>0.14703957864345266</v>
      </c>
      <c r="E10" s="9">
        <v>3.1123151153729202e-05</v>
      </c>
      <c r="F10" s="9">
        <v>9.7110489760716314e-05</v>
      </c>
      <c r="G10" s="9">
        <v>8.4660816903838918e-06</v>
      </c>
      <c r="H10" s="9">
        <v>0.057096495243157366</v>
      </c>
      <c r="I10" s="9">
        <v>1.972948451580373e-05</v>
      </c>
      <c r="J10" s="9">
        <v>0.00033172583107638008</v>
      </c>
      <c r="K10" s="9"/>
      <c r="L10" s="9"/>
      <c r="M10" s="9"/>
      <c r="N10" s="9"/>
      <c r="O10" s="9"/>
    </row>
    <row r="11" x14ac:dyDescent="0.3">
      <c r="A11" s="14" t="s">
        <v>382</v>
      </c>
      <c r="B11" s="9">
        <v>1.7343976283205826e-06</v>
      </c>
      <c r="C11" s="9">
        <v>3.8821823860608705e-06</v>
      </c>
      <c r="D11" s="9">
        <v>8.4660816903838918e-06</v>
      </c>
      <c r="E11" s="9">
        <v>7.6908593028485401e-06</v>
      </c>
      <c r="F11" s="9">
        <v>2.3534209951215406e-06</v>
      </c>
      <c r="G11" s="9">
        <v>4.7292023374470689e-06</v>
      </c>
      <c r="H11" s="9">
        <v>0.023038144695472388</v>
      </c>
      <c r="I11" s="9">
        <v>1.7343976283205826e-06</v>
      </c>
      <c r="J11" s="9">
        <v>0.61431456378858695</v>
      </c>
      <c r="K11" s="9"/>
      <c r="L11" s="9"/>
      <c r="M11" s="9"/>
      <c r="N11" s="9"/>
      <c r="O11" s="9"/>
    </row>
    <row r="12" x14ac:dyDescent="0.3">
      <c r="A12" s="13" t="s">
        <v>383</v>
      </c>
      <c r="B12" s="11">
        <v>2.3534209951215406e-06</v>
      </c>
      <c r="C12" s="11">
        <v>0.82901303169467</v>
      </c>
      <c r="D12" s="11">
        <v>0.13590778549641164</v>
      </c>
      <c r="E12" s="11">
        <v>0.32857107356103721</v>
      </c>
      <c r="F12" s="11">
        <v>0.0019645813713265515</v>
      </c>
      <c r="G12" s="11">
        <v>1.972948451580373e-05</v>
      </c>
      <c r="H12" s="11">
        <v>0.92625508730761219</v>
      </c>
      <c r="I12" s="11">
        <v>0.99179456443409042</v>
      </c>
      <c r="J12" s="11">
        <v>0.39333437219927975</v>
      </c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2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activeCell="H17" sqref="H17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2" bestFit="true" customWidth="true"/>
  </cols>
  <sheetData>
    <row r="1" ht="15" thickBot="true" x14ac:dyDescent="0.35">
      <c r="A1" s="24" t="s">
        <v>138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x14ac:dyDescent="0.3">
      <c r="A2" s="5" t="s">
        <v>389</v>
      </c>
      <c r="B2" s="5" t="s">
        <v>400</v>
      </c>
      <c r="C2" s="5" t="s">
        <v>401</v>
      </c>
      <c r="D2" s="5" t="s">
        <v>402</v>
      </c>
      <c r="E2" s="5" t="s">
        <v>403</v>
      </c>
      <c r="F2" s="5" t="s">
        <v>404</v>
      </c>
      <c r="G2" s="5" t="s">
        <v>266</v>
      </c>
      <c r="H2" s="5" t="s">
        <v>267</v>
      </c>
      <c r="I2" s="5" t="s">
        <v>268</v>
      </c>
      <c r="J2" s="5" t="s">
        <v>269</v>
      </c>
      <c r="K2" s="5"/>
      <c r="L2" s="5"/>
      <c r="M2" s="5"/>
      <c r="N2" s="5"/>
      <c r="O2" s="5"/>
    </row>
    <row r="3" x14ac:dyDescent="0.3">
      <c r="A3" s="2" t="s">
        <v>390</v>
      </c>
      <c r="B3" s="25">
        <v>1</v>
      </c>
      <c r="C3" s="25">
        <v>1</v>
      </c>
      <c r="D3" s="25">
        <v>0</v>
      </c>
      <c r="E3" s="25">
        <v>1</v>
      </c>
      <c r="F3" s="25">
        <v>1</v>
      </c>
      <c r="G3" s="25">
        <v>1</v>
      </c>
      <c r="H3" s="25">
        <v>1</v>
      </c>
      <c r="I3" s="25">
        <v>1</v>
      </c>
      <c r="J3" s="25">
        <v>1</v>
      </c>
      <c r="K3" s="25">
        <v>0</v>
      </c>
      <c r="L3" s="25"/>
      <c r="M3" s="25"/>
      <c r="N3" s="25"/>
      <c r="O3" s="25"/>
    </row>
    <row r="4" x14ac:dyDescent="0.3">
      <c r="A4" s="10" t="s">
        <v>391</v>
      </c>
      <c r="B4" s="26">
        <v>1</v>
      </c>
      <c r="C4" s="26">
        <v>1</v>
      </c>
      <c r="D4" s="26">
        <v>0</v>
      </c>
      <c r="E4" s="26">
        <v>1</v>
      </c>
      <c r="F4" s="26">
        <v>0</v>
      </c>
      <c r="G4" s="26">
        <v>1</v>
      </c>
      <c r="H4" s="26">
        <v>0</v>
      </c>
      <c r="I4" s="26">
        <v>1</v>
      </c>
      <c r="J4" s="26">
        <v>0</v>
      </c>
      <c r="K4" s="26">
        <v>0</v>
      </c>
      <c r="L4" s="26"/>
      <c r="M4" s="26"/>
      <c r="N4" s="26"/>
      <c r="O4" s="26"/>
    </row>
    <row r="5" x14ac:dyDescent="0.3">
      <c r="A5" s="10" t="s">
        <v>392</v>
      </c>
      <c r="B5" s="26">
        <v>1</v>
      </c>
      <c r="C5" s="26">
        <v>1</v>
      </c>
      <c r="D5" s="26">
        <v>1</v>
      </c>
      <c r="E5" s="26">
        <v>1</v>
      </c>
      <c r="F5" s="26">
        <v>1</v>
      </c>
      <c r="G5" s="26">
        <v>0</v>
      </c>
      <c r="H5" s="26">
        <v>1</v>
      </c>
      <c r="I5" s="26">
        <v>0</v>
      </c>
      <c r="J5" s="26">
        <v>1</v>
      </c>
      <c r="K5" s="26">
        <v>0</v>
      </c>
      <c r="L5" s="26"/>
      <c r="M5" s="26"/>
      <c r="N5" s="26"/>
      <c r="O5" s="26"/>
    </row>
    <row r="6" x14ac:dyDescent="0.3">
      <c r="A6" s="10" t="s">
        <v>393</v>
      </c>
      <c r="B6" s="26">
        <v>1</v>
      </c>
      <c r="C6" s="26">
        <v>1</v>
      </c>
      <c r="D6" s="26">
        <v>0</v>
      </c>
      <c r="E6" s="26">
        <v>1</v>
      </c>
      <c r="F6" s="26">
        <v>1</v>
      </c>
      <c r="G6" s="26">
        <v>1</v>
      </c>
      <c r="H6" s="26">
        <v>1</v>
      </c>
      <c r="I6" s="26">
        <v>1</v>
      </c>
      <c r="J6" s="26">
        <v>0</v>
      </c>
      <c r="K6" s="26">
        <v>1</v>
      </c>
      <c r="L6" s="26"/>
      <c r="M6" s="26"/>
      <c r="N6" s="26"/>
      <c r="O6" s="26"/>
    </row>
    <row r="7" x14ac:dyDescent="0.3">
      <c r="A7" s="10" t="s">
        <v>394</v>
      </c>
      <c r="B7" s="26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1</v>
      </c>
      <c r="K7" s="26">
        <v>1</v>
      </c>
      <c r="L7" s="26"/>
      <c r="M7" s="26"/>
      <c r="N7" s="26"/>
      <c r="O7" s="26"/>
    </row>
    <row r="8" x14ac:dyDescent="0.3">
      <c r="A8" s="10" t="s">
        <v>395</v>
      </c>
      <c r="B8" s="26">
        <v>1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/>
      <c r="M8" s="26"/>
      <c r="N8" s="26"/>
      <c r="O8" s="26"/>
    </row>
    <row r="9" x14ac:dyDescent="0.3">
      <c r="A9" s="10" t="s">
        <v>396</v>
      </c>
      <c r="B9" s="26">
        <v>1</v>
      </c>
      <c r="C9" s="26">
        <v>1</v>
      </c>
      <c r="D9" s="26">
        <v>1</v>
      </c>
      <c r="E9" s="26">
        <v>0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0</v>
      </c>
      <c r="L9" s="26"/>
      <c r="M9" s="26"/>
      <c r="N9" s="26"/>
      <c r="O9" s="26"/>
    </row>
    <row r="10" x14ac:dyDescent="0.3">
      <c r="A10" s="10" t="s">
        <v>397</v>
      </c>
      <c r="B10" s="26">
        <v>1</v>
      </c>
      <c r="C10" s="26">
        <v>1</v>
      </c>
      <c r="D10" s="26">
        <v>0</v>
      </c>
      <c r="E10" s="26">
        <v>1</v>
      </c>
      <c r="F10" s="26">
        <v>1</v>
      </c>
      <c r="G10" s="26">
        <v>1</v>
      </c>
      <c r="H10" s="26">
        <v>0</v>
      </c>
      <c r="I10" s="26">
        <v>1</v>
      </c>
      <c r="J10" s="26">
        <v>1</v>
      </c>
      <c r="K10" s="26">
        <v>1</v>
      </c>
      <c r="L10" s="26"/>
      <c r="M10" s="26"/>
      <c r="N10" s="26"/>
      <c r="O10" s="26"/>
    </row>
    <row r="11" x14ac:dyDescent="0.3">
      <c r="A11" s="10" t="s">
        <v>398</v>
      </c>
      <c r="B11" s="26">
        <v>1</v>
      </c>
      <c r="C11" s="26"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0</v>
      </c>
      <c r="K11" s="26">
        <v>1</v>
      </c>
      <c r="L11" s="26"/>
      <c r="M11" s="26"/>
      <c r="N11" s="26"/>
      <c r="O11" s="26"/>
    </row>
    <row r="12" x14ac:dyDescent="0.3">
      <c r="A12" s="5" t="s">
        <v>399</v>
      </c>
      <c r="B12" s="27">
        <v>1</v>
      </c>
      <c r="C12" s="27">
        <v>0</v>
      </c>
      <c r="D12" s="27">
        <v>0</v>
      </c>
      <c r="E12" s="27">
        <v>0</v>
      </c>
      <c r="F12" s="27">
        <v>1</v>
      </c>
      <c r="G12" s="27">
        <v>1</v>
      </c>
      <c r="H12" s="27">
        <v>0</v>
      </c>
      <c r="I12" s="27">
        <v>0</v>
      </c>
      <c r="J12" s="27">
        <v>0</v>
      </c>
      <c r="K12" s="27"/>
      <c r="L12" s="27"/>
      <c r="M12" s="27"/>
      <c r="N12" s="27"/>
      <c r="O12" s="27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activeCell="M3" sqref="M3"/>
    </sheetView>
  </sheetViews>
  <sheetFormatPr defaultRowHeight="14.4" x14ac:dyDescent="0.3"/>
  <cols>
    <col min="1" max="1" width="8.15625" style="7" bestFit="true" customWidth="true"/>
    <col min="2" max="2" width="16.82421875" style="7" bestFit="true" customWidth="true"/>
    <col min="3" max="3" width="17.48828125" style="7" bestFit="true" customWidth="true"/>
    <col min="4" max="4" width="18.046875" style="7" bestFit="true" customWidth="true"/>
    <col min="5" max="5" width="16.93359375" style="7" bestFit="true" customWidth="true"/>
    <col min="6" max="6" width="16.046875" style="7" bestFit="true" customWidth="true"/>
    <col min="7" max="7" width="14.046875" style="7" bestFit="true" customWidth="true"/>
    <col min="9" max="9" width="14.37890625" style="7" bestFit="true" customWidth="true"/>
    <col min="10" max="10" width="15.37890625" style="7" bestFit="true" customWidth="true"/>
    <col min="12" max="16384" width="8.88671875" style="7"/>
    <col min="8" max="8" width="15.37890625" style="7" bestFit="true" customWidth="true"/>
    <col min="11" max="11" width="4" style="7" bestFit="true" customWidth="true"/>
  </cols>
  <sheetData>
    <row r="1" ht="15" thickBot="true" x14ac:dyDescent="0.35">
      <c r="A1" s="24" t="s">
        <v>139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x14ac:dyDescent="0.3">
      <c r="A2" s="5" t="s">
        <v>405</v>
      </c>
      <c r="B2" s="5" t="s">
        <v>416</v>
      </c>
      <c r="C2" s="5" t="s">
        <v>417</v>
      </c>
      <c r="D2" s="5" t="s">
        <v>418</v>
      </c>
      <c r="E2" s="5" t="s">
        <v>419</v>
      </c>
      <c r="F2" s="5" t="s">
        <v>420</v>
      </c>
      <c r="G2" s="5" t="s">
        <v>286</v>
      </c>
      <c r="H2" s="5" t="s">
        <v>287</v>
      </c>
      <c r="I2" s="5" t="s">
        <v>288</v>
      </c>
      <c r="J2" s="5" t="s">
        <v>289</v>
      </c>
      <c r="K2" s="5"/>
      <c r="L2" s="5"/>
      <c r="M2" s="5"/>
      <c r="N2" s="5"/>
      <c r="O2" s="5"/>
    </row>
    <row r="3" x14ac:dyDescent="0.3">
      <c r="A3" s="2" t="s">
        <v>406</v>
      </c>
      <c r="B3" s="2">
        <v>0</v>
      </c>
      <c r="C3" s="2">
        <v>10</v>
      </c>
      <c r="D3" s="2">
        <v>138</v>
      </c>
      <c r="E3" s="2">
        <v>438</v>
      </c>
      <c r="F3" s="2">
        <v>0</v>
      </c>
      <c r="G3" s="2">
        <v>0</v>
      </c>
      <c r="H3" s="2">
        <v>55</v>
      </c>
      <c r="I3" s="2">
        <v>1</v>
      </c>
      <c r="J3" s="2">
        <v>0</v>
      </c>
      <c r="K3" s="2">
        <v>161</v>
      </c>
      <c r="L3" s="2"/>
      <c r="M3" s="2"/>
      <c r="N3" s="2"/>
      <c r="O3" s="2"/>
    </row>
    <row r="4" x14ac:dyDescent="0.3">
      <c r="A4" s="10" t="s">
        <v>407</v>
      </c>
      <c r="B4" s="10">
        <v>4</v>
      </c>
      <c r="C4" s="10">
        <v>95</v>
      </c>
      <c r="D4" s="10">
        <v>211</v>
      </c>
      <c r="E4" s="10">
        <v>432</v>
      </c>
      <c r="F4" s="10">
        <v>274</v>
      </c>
      <c r="G4" s="10">
        <v>11</v>
      </c>
      <c r="H4" s="10">
        <v>271</v>
      </c>
      <c r="I4" s="10">
        <v>134</v>
      </c>
      <c r="J4" s="10">
        <v>289</v>
      </c>
      <c r="K4" s="10">
        <v>169</v>
      </c>
      <c r="L4" s="10"/>
      <c r="M4" s="10"/>
      <c r="N4" s="10"/>
      <c r="O4" s="10"/>
    </row>
    <row r="5" x14ac:dyDescent="0.3">
      <c r="A5" s="10" t="s">
        <v>408</v>
      </c>
      <c r="B5" s="10">
        <v>31</v>
      </c>
      <c r="C5" s="10">
        <v>55</v>
      </c>
      <c r="D5" s="10">
        <v>403</v>
      </c>
      <c r="E5" s="10">
        <v>465</v>
      </c>
      <c r="F5" s="10">
        <v>347</v>
      </c>
      <c r="G5" s="10">
        <v>162</v>
      </c>
      <c r="H5" s="10">
        <v>451</v>
      </c>
      <c r="I5" s="10">
        <v>183</v>
      </c>
      <c r="J5" s="10">
        <v>392</v>
      </c>
      <c r="K5" s="10">
        <v>243</v>
      </c>
      <c r="L5" s="10"/>
      <c r="M5" s="10"/>
      <c r="N5" s="10"/>
      <c r="O5" s="10"/>
    </row>
    <row r="6" x14ac:dyDescent="0.3">
      <c r="A6" s="10" t="s">
        <v>409</v>
      </c>
      <c r="B6" s="10">
        <v>0</v>
      </c>
      <c r="C6" s="10">
        <v>0</v>
      </c>
      <c r="D6" s="10">
        <v>158</v>
      </c>
      <c r="E6" s="10">
        <v>358</v>
      </c>
      <c r="F6" s="10">
        <v>15</v>
      </c>
      <c r="G6" s="10">
        <v>8</v>
      </c>
      <c r="H6" s="10">
        <v>348</v>
      </c>
      <c r="I6" s="10">
        <v>0</v>
      </c>
      <c r="J6" s="10">
        <v>259</v>
      </c>
      <c r="K6" s="10">
        <v>0</v>
      </c>
      <c r="L6" s="10"/>
      <c r="M6" s="10"/>
      <c r="N6" s="10"/>
      <c r="O6" s="10"/>
    </row>
    <row r="7" x14ac:dyDescent="0.3">
      <c r="A7" s="10" t="s">
        <v>410</v>
      </c>
      <c r="B7" s="10">
        <v>71</v>
      </c>
      <c r="C7" s="10">
        <v>4</v>
      </c>
      <c r="D7" s="10">
        <v>74</v>
      </c>
      <c r="E7" s="10">
        <v>68</v>
      </c>
      <c r="F7" s="10">
        <v>0</v>
      </c>
      <c r="G7" s="10">
        <v>0</v>
      </c>
      <c r="H7" s="10">
        <v>4</v>
      </c>
      <c r="I7" s="10">
        <v>0</v>
      </c>
      <c r="J7" s="10">
        <v>0</v>
      </c>
      <c r="K7" s="10">
        <v>0</v>
      </c>
      <c r="L7" s="10"/>
      <c r="M7" s="10"/>
      <c r="N7" s="10"/>
      <c r="O7" s="10"/>
    </row>
    <row r="8" x14ac:dyDescent="0.3">
      <c r="A8" s="10" t="s">
        <v>411</v>
      </c>
      <c r="B8" s="10">
        <v>1</v>
      </c>
      <c r="C8" s="10">
        <v>16</v>
      </c>
      <c r="D8" s="10">
        <v>101</v>
      </c>
      <c r="E8" s="10">
        <v>413</v>
      </c>
      <c r="F8" s="10">
        <v>1</v>
      </c>
      <c r="G8" s="10">
        <v>22</v>
      </c>
      <c r="H8" s="10">
        <v>123</v>
      </c>
      <c r="I8" s="10">
        <v>1</v>
      </c>
      <c r="J8" s="10">
        <v>29</v>
      </c>
      <c r="K8" s="10">
        <v>0</v>
      </c>
      <c r="L8" s="10"/>
      <c r="M8" s="10"/>
      <c r="N8" s="10"/>
      <c r="O8" s="10"/>
    </row>
    <row r="9" x14ac:dyDescent="0.3">
      <c r="A9" s="10" t="s">
        <v>412</v>
      </c>
      <c r="B9" s="10">
        <v>4</v>
      </c>
      <c r="C9" s="10">
        <v>32</v>
      </c>
      <c r="D9" s="10">
        <v>4</v>
      </c>
      <c r="E9" s="10">
        <v>256</v>
      </c>
      <c r="F9" s="10">
        <v>0</v>
      </c>
      <c r="G9" s="10">
        <v>0</v>
      </c>
      <c r="H9" s="10">
        <v>48</v>
      </c>
      <c r="I9" s="10">
        <v>0</v>
      </c>
      <c r="J9" s="10">
        <v>0</v>
      </c>
      <c r="K9" s="10">
        <v>229</v>
      </c>
      <c r="L9" s="10"/>
      <c r="M9" s="10"/>
      <c r="N9" s="10"/>
      <c r="O9" s="10"/>
    </row>
    <row r="10" x14ac:dyDescent="0.3">
      <c r="A10" s="10" t="s">
        <v>413</v>
      </c>
      <c r="B10" s="10">
        <v>3</v>
      </c>
      <c r="C10" s="10">
        <v>99</v>
      </c>
      <c r="D10" s="10">
        <v>162</v>
      </c>
      <c r="E10" s="10">
        <v>435</v>
      </c>
      <c r="F10" s="10">
        <v>43</v>
      </c>
      <c r="G10" s="10">
        <v>16</v>
      </c>
      <c r="H10" s="10">
        <v>325</v>
      </c>
      <c r="I10" s="10">
        <v>25</v>
      </c>
      <c r="J10" s="10">
        <v>58</v>
      </c>
      <c r="K10" s="10">
        <v>39</v>
      </c>
      <c r="L10" s="10"/>
      <c r="M10" s="10"/>
      <c r="N10" s="10"/>
      <c r="O10" s="10"/>
    </row>
    <row r="11" x14ac:dyDescent="0.3">
      <c r="A11" s="10" t="s">
        <v>414</v>
      </c>
      <c r="B11" s="10">
        <v>0</v>
      </c>
      <c r="C11" s="10">
        <v>8</v>
      </c>
      <c r="D11" s="10">
        <v>16</v>
      </c>
      <c r="E11" s="10">
        <v>15</v>
      </c>
      <c r="F11" s="10">
        <v>3</v>
      </c>
      <c r="G11" s="10">
        <v>10</v>
      </c>
      <c r="H11" s="10">
        <v>343</v>
      </c>
      <c r="I11" s="10">
        <v>0</v>
      </c>
      <c r="J11" s="10">
        <v>257</v>
      </c>
      <c r="K11" s="10">
        <v>24</v>
      </c>
      <c r="L11" s="10"/>
      <c r="M11" s="10"/>
      <c r="N11" s="10"/>
      <c r="O11" s="10"/>
    </row>
    <row r="12" x14ac:dyDescent="0.3">
      <c r="A12" s="5" t="s">
        <v>415</v>
      </c>
      <c r="B12" s="5">
        <v>3</v>
      </c>
      <c r="C12" s="5">
        <v>222</v>
      </c>
      <c r="D12" s="5">
        <v>160</v>
      </c>
      <c r="E12" s="5">
        <v>280</v>
      </c>
      <c r="F12" s="5">
        <v>82</v>
      </c>
      <c r="G12" s="5">
        <v>25</v>
      </c>
      <c r="H12" s="5">
        <v>228</v>
      </c>
      <c r="I12" s="5">
        <v>233</v>
      </c>
      <c r="J12" s="5">
        <v>191</v>
      </c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421</v>
      </c>
    </row>
    <row r="2" x14ac:dyDescent="0.3">
      <c r="A2" s="0" t="s">
        <v>422</v>
      </c>
    </row>
    <row r="3" x14ac:dyDescent="0.3">
      <c r="A3" s="0" t="s">
        <v>423</v>
      </c>
    </row>
    <row r="4" x14ac:dyDescent="0.3">
      <c r="A4" s="0" t="s">
        <v>424</v>
      </c>
    </row>
    <row r="5" x14ac:dyDescent="0.3">
      <c r="A5" s="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2025-08-15T20:10:54Z</dcterms:modified>
</cp:coreProperties>
</file>