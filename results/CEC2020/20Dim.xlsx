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New folder\CEC2020\"/>
    </mc:Choice>
  </mc:AlternateContent>
  <xr:revisionPtr revIDLastSave="0" documentId="13_ncr:1_{0EB6A3AE-6718-4FC2-85B4-6DB96493675D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2" r:id="rId1"/>
    <sheet name="TTest_p" sheetId="4" r:id="rId2"/>
    <sheet name="TTest_h" sheetId="5" r:id="rId3"/>
    <sheet name="Wilcoxon_p" sheetId="6" r:id="rId4"/>
    <sheet name="Wilcoxon_h" sheetId="7" r:id="rId5"/>
    <sheet name="Wilcoxon_stat" sheetId="8" r:id="rId6"/>
    <sheet name="Explanation" sheetId="9" r:id="rId7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<sst xmlns="http://schemas.openxmlformats.org/spreadsheetml/2006/main" count="553" uniqueCount="426">
  <si>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</si>
  <si>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</si>
  <si>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</si>
  <si>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</si>
  <si>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</si>
  <si>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</si>
  <si>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</si>
  <si>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</si>
  <si>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</si>
  <si>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</si>
  <si>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</si>
  <si>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</si>
  <si>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</si>
  <si>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Unimodal
Functions</t>
  </si>
  <si>
    <t>Functions</t>
  </si>
  <si>
    <t>Column1</t>
  </si>
  <si>
    <t>Column2</t>
  </si>
  <si>
    <t>Hybrid
Function</t>
  </si>
  <si>
    <t>Basic
Functions</t>
  </si>
  <si>
    <t>Composition
Function</t>
  </si>
  <si>
    <t>Comparison of optimization results for the CEC benchmark functions 2020 (20 Dim)</t>
  </si>
  <si>
    <t>Total number of 
best answers</t>
  </si>
  <si>
    <t>Rank by total number of 
best answers</t>
  </si>
  <si>
    <t>Average rating in the set</t>
  </si>
  <si>
    <t>Rank based on 
the average in the set</t>
  </si>
  <si>
    <t>Function</t>
  </si>
  <si>
    <t>F1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</si>
  <si>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</si>
  <si>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</si>
  <si>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</si>
  <si>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</si>
  <si>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</si>
  <si>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</si>
  <si>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</si>
  <si>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</si>
  <si>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</si>
  <si>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</si>
  <si>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</si>
  <si>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</si>
  <si>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</si>
  <si>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</si>
  <si>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</si>
  <si>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</si>
  <si>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</si>
  <si>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</si>
  <si>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</si>
  <si>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</si>
  <si>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</si>
  <si>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</si>
  <si>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</si>
  <si>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</si>
  <si>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</si>
  <si>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</si>
  <si>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</si>
  <si>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</si>
  <si>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</si>
  <si>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</si>
  <si>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</si>
  <si>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</si>
  <si>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</si>
  <si>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</si>
  <si>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</si>
  <si>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</si>
  <si>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</si>
  <si>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</si>
  <si>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</si>
  <si>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</si>
  <si>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</si>
  <si>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</si>
  <si>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</si>
  <si>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</si>
  <si>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</si>
  <si>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</si>
  <si>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</si>
  <si>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</si>
  <si>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</si>
  <si>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</si>
  <si>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</si>
  <si>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</si>
  <si>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</si>
  <si>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</si>
  <si>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</si>
  <si>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</si>
  <si>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</si>
  <si>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</si>
  <si>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</si>
  <si>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</si>
  <si>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</si>
  <si>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</si>
  <si>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</si>
  <si>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</si>
  <si>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</si>
  <si>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</si>
  <si>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</si>
  <si>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</si>
  <si>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</si>
  <si>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</si>
  <si>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</si>
  <si>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</si>
  <si>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</si>
  <si>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</si>
  <si>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</si>
  <si>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</si>
  <si>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</si>
  <si>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</si>
  <si>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</si>
  <si>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</si>
  <si>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</si>
  <si>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</si>
  <si>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</si>
  <si>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</si>
  <si>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</si>
  <si>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MADFOA vs WHO</t>
  </si>
  <si>
    <t>MADFOA vs SBO</t>
  </si>
  <si>
    <t>MADFOA vs CSA</t>
  </si>
  <si>
    <t>MADFOA vs LEA</t>
  </si>
  <si>
    <t>MADFOA vs SSA</t>
  </si>
  <si>
    <t>MADFOA vs GSA</t>
  </si>
  <si>
    <t>MADFOA vs PSO</t>
  </si>
  <si>
    <t>MADFOA vs GA</t>
  </si>
  <si>
    <t>P-value of the Wilcoxon analysis for the CEC benchmark functions 2020 (20 Dim)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</si>
  <si>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</si>
  <si>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</si>
  <si>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</si>
  <si>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</si>
  <si>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</si>
  <si>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</si>
  <si>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</si>
  <si>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</si>
  <si>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</si>
  <si>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</si>
  <si>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</si>
  <si>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</si>
  <si>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</si>
  <si>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</si>
  <si>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</si>
  <si>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P-value of the T-test analysis for the CEC benchmark functions 2020 (20 Dim)</t>
  </si>
  <si>
    <t>H-value of the T-test analysis for the CEC benchmark functions 2020 (20 Dim)</t>
  </si>
  <si>
    <t>H-value of the Wilcoxon analysis for the CEC benchmark functions 2020 (20 Dim)</t>
  </si>
  <si>
    <t>State of the Wilcoxon analysis for the CEC benchmark functions 2020 (20 Dim)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</si>
  <si>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</si>
  <si>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</si>
  <si>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</si>
  <si>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</si>
  <si>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</si>
  <si>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</si>
  <si>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</si>
  <si>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</si>
  <si>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</si>
  <si>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</si>
  <si>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</si>
  <si>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</si>
  <si>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</si>
  <si>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</si>
  <si>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</si>
  <si>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</si>
  <si>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</si>
  <si>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</si>
  <si>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</si>
  <si>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</si>
  <si>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</si>
  <si>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</si>
  <si>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</si>
  <si>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</si>
  <si>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</si>
  <si>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</si>
  <si>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</si>
  <si>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</si>
  <si>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</si>
  <si>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</si>
  <si>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</si>
  <si>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</si>
  <si>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</si>
  <si>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</si>
  <si>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</si>
  <si>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</si>
  <si>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</si>
  <si>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</si>
  <si>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</si>
  <si>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</si>
  <si>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MADFOA</t>
  </si>
  <si>
    <t>SSA</t>
  </si>
  <si>
    <t>GSA</t>
  </si>
  <si>
    <t>PSO</t>
  </si>
  <si>
    <t>GA</t>
  </si>
  <si>
    <t>CSA</t>
  </si>
  <si>
    <t>LEA</t>
  </si>
  <si>
    <t>WHO</t>
  </si>
  <si>
    <t>SBO</t>
  </si>
  <si>
    <t>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</si>
  <si>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</si>
  <si>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</si>
  <si>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</si>
  <si>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</si>
  <si>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</si>
  <si>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</si>
  <si>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</si>
  <si>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</si>
  <si>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</si>
  <si>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</si>
  <si>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</si>
  <si>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</si>
  <si>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</si>
  <si>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</si>
  <si>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</si>
  <si>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</si>
  <si>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</si>
  <si>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</si>
  <si>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</si>
  <si>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</si>
  <si>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</si>
  <si>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</si>
  <si>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</si>
  <si>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</si>
  <si>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</si>
  <si>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</si>
  <si>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</si>
  <si>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</si>
  <si>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</si>
  <si>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</si>
  <si>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</si>
  <si>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</si>
  <si>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</si>
  <si>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</si>
  <si>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</si>
  <si>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</si>
  <si>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</si>
  <si>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</si>
  <si>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</si>
  <si>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</si>
  <si>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</si>
  <si>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</si>
  <si>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</si>
  <si>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</si>
  <si>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</si>
  <si>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</si>
  <si>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</si>
  <si>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</si>
  <si>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</si>
  <si>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</si>
  <si>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</si>
  <si>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</si>
  <si>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</si>
  <si>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</si>
  <si>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</si>
  <si>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</si>
  <si>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</si>
  <si>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</si>
  <si>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</si>
  <si>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</si>
  <si>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</si>
  <si>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</si>
  <si>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</si>
  <si>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</si>
  <si>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</si>
  <si>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</si>
  <si>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</si>
  <si>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</si>
  <si>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</si>
  <si>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</si>
  <si>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</si>
  <si>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</si>
  <si>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</si>
  <si>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</si>
  <si>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</si>
  <si>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</si>
  <si>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</si>
  <si>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</si>
  <si>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</si>
  <si>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</si>
  <si>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</si>
  <si>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</si>
  <si>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</si>
  <si>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</si>
  <si>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</si>
  <si>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</si>
  <si>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</si>
  <si>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</si>
  <si>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</si>
  <si>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</si>
  <si>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</si>
  <si>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MADFOA vs SSA</t>
  </si>
  <si>
    <t>MADFOA vs GSA</t>
  </si>
  <si>
    <t>MADFOA vs PSO</t>
  </si>
  <si>
    <t>MADFOA vs GA</t>
  </si>
  <si>
    <t>MADFOA vs CSA</t>
  </si>
  <si>
    <t>MADFOA vs LEA</t>
  </si>
  <si>
    <t>MADFOA vs WHO</t>
  </si>
  <si>
    <t>MADFOA vs SBO</t>
  </si>
  <si>
    <t>MADFOA vs GWO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</si>
  <si>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</si>
  <si>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</si>
  <si>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</si>
  <si>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</si>
  <si>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</si>
  <si>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</si>
  <si>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</si>
  <si>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</si>
  <si>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</si>
  <si>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</si>
  <si>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</si>
  <si>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</si>
  <si>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</si>
  <si>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</si>
  <si>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</si>
  <si>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</si>
  <si>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</si>
  <si>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</si>
  <si>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</si>
  <si>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</si>
  <si>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</si>
  <si>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</si>
  <si>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</si>
  <si>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</si>
  <si>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</si>
  <si>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</si>
  <si>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</si>
  <si>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</si>
  <si>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</si>
  <si>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</si>
  <si>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</si>
  <si>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</si>
  <si>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</si>
  <si>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</si>
  <si>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</si>
  <si>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</si>
  <si>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</si>
  <si>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</si>
  <si>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</si>
  <si>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</si>
  <si>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</si>
  <si>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</si>
  <si>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Mean</t>
  </si>
  <si>
    <t>Std</t>
  </si>
  <si>
    <t>CPU</t>
  </si>
  <si>
    <t>SFOOLMBES</t>
  </si>
  <si>
    <t>SFO</t>
  </si>
  <si>
    <t>HHO</t>
  </si>
  <si>
    <t>GWO</t>
  </si>
  <si>
    <t>PSO</t>
  </si>
  <si>
    <t>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</si>
  <si>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</si>
  <si>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</si>
  <si>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</si>
  <si>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</si>
  <si>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</si>
  <si>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</si>
  <si>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</si>
  <si>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</si>
  <si>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</si>
  <si>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</si>
  <si>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</si>
  <si>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</si>
  <si>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</si>
  <si>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</si>
  <si>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</si>
  <si>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</si>
  <si>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</si>
  <si>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</si>
  <si>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</si>
  <si>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</si>
  <si>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</si>
  <si>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</si>
  <si>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</si>
  <si>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</si>
  <si>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</si>
  <si>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</si>
  <si>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</si>
  <si>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</si>
  <si>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</si>
  <si>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</si>
  <si>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</si>
  <si>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</si>
  <si>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</si>
  <si>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</si>
  <si>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</si>
  <si>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</si>
  <si>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</si>
  <si>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</si>
  <si>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</si>
  <si>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</si>
  <si>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</si>
  <si>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</si>
  <si>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</si>
  <si>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</si>
  <si>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</si>
  <si>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</si>
  <si>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</si>
  <si>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</si>
  <si>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</si>
  <si>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</si>
  <si>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</si>
  <si>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</si>
  <si>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</si>
  <si>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</si>
  <si>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</si>
  <si>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</si>
  <si>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</si>
  <si>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</si>
  <si>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</si>
  <si>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</si>
  <si>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</si>
  <si>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</si>
  <si>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</si>
  <si>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</si>
  <si>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Function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</si>
  <si>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</si>
  <si>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</si>
  <si>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</si>
  <si>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</si>
  <si>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</si>
  <si>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</si>
  <si>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</si>
  <si>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</si>
  <si>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</si>
  <si>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</si>
  <si>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SFOOLMBES vs SFO</t>
  </si>
  <si>
    <t>SFOOLMBES vs HHO</t>
  </si>
  <si>
    <t>SFOOLMBES vs GWO</t>
  </si>
  <si>
    <t>SFOOLMBES vs PSO</t>
  </si>
  <si>
    <t>SFOOLMBES vs GA</t>
  </si>
  <si>
    <t>Conclusions: Mean, Std, CPU per function and algorithm</t>
  </si>
  <si>
    <t>Raw data: per-algorithm time series in separate files</t>
  </si>
  <si>
    <t>TTest_p: p-values of paired t-test (first vs others)</t>
  </si>
  <si>
    <t>TTest_h: hReject flags of paired t-test</t>
  </si>
  <si>
    <t>Wilcoxon_p/h/stat: p-values, hFlags, and signed-rank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</si>
</sst>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/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true" applyBorder="true" applyAlignment="true">
      <alignment horizontal="left" vertical="top"/>
    </xf>
    <xf numFmtId="0" fontId="0" fillId="0" borderId="3" xfId="0" applyBorder="true" applyAlignment="true">
      <alignment horizontal="left" vertical="top"/>
    </xf>
    <xf numFmtId="11" fontId="0" fillId="0" borderId="3" xfId="0" applyNumberForma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164" fontId="0" fillId="0" borderId="4" xfId="0" applyNumberFormat="true" applyBorder="true" applyAlignment="true">
      <alignment horizontal="left" vertical="top"/>
    </xf>
    <xf numFmtId="0" fontId="0" fillId="0" borderId="0" xfId="0" applyAlignment="true">
      <alignment horizontal="left" vertical="top"/>
    </xf>
    <xf numFmtId="11" fontId="0" fillId="0" borderId="5" xfId="0" applyNumberFormat="true" applyBorder="true" applyAlignment="true">
      <alignment horizontal="left" vertical="top"/>
    </xf>
    <xf numFmtId="2" fontId="0" fillId="0" borderId="0" xfId="0" applyNumberFormat="true" applyAlignment="true">
      <alignment horizontal="left" vertical="top"/>
    </xf>
    <xf numFmtId="11" fontId="0" fillId="0" borderId="6" xfId="0" applyNumberFormat="true" applyBorder="true" applyAlignment="true">
      <alignment horizontal="left" vertical="top"/>
    </xf>
    <xf numFmtId="0" fontId="0" fillId="0" borderId="6" xfId="0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0" fillId="0" borderId="3" xfId="0" applyBorder="true"/>
    <xf numFmtId="0" fontId="0" fillId="0" borderId="4" xfId="0" applyBorder="true"/>
    <xf numFmtId="0" fontId="0" fillId="0" borderId="6" xfId="0" applyBorder="true"/>
    <xf numFmtId="0" fontId="1" fillId="0" borderId="6" xfId="0" applyFont="true" applyBorder="true" applyAlignment="true">
      <alignment horizontal="left" vertical="top"/>
    </xf>
    <xf numFmtId="0" fontId="0" fillId="0" borderId="6" xfId="0" applyBorder="true" applyAlignment="true">
      <alignment horizontal="left" vertical="top"/>
    </xf>
    <xf numFmtId="0" fontId="1" fillId="0" borderId="4" xfId="0" applyFont="true" applyBorder="true" applyAlignment="true">
      <alignment horizontal="left" vertical="top" wrapText="true"/>
    </xf>
    <xf numFmtId="0" fontId="0" fillId="0" borderId="4" xfId="0" applyBorder="true" applyAlignment="true">
      <alignment horizontal="left" vertical="top"/>
    </xf>
    <xf numFmtId="0" fontId="1" fillId="0" borderId="3" xfId="0" applyFont="true" applyBorder="true" applyAlignment="true">
      <alignment horizontal="left" vertical="top" wrapText="true"/>
    </xf>
    <xf numFmtId="0" fontId="0" fillId="0" borderId="3" xfId="0" applyBorder="true" applyAlignment="true">
      <alignment horizontal="left" vertical="top"/>
    </xf>
    <xf numFmtId="0" fontId="1" fillId="0" borderId="1" xfId="0" applyFont="true" applyBorder="true" applyAlignment="true">
      <alignment horizontal="left" vertical="top" wrapText="true"/>
    </xf>
    <xf numFmtId="0" fontId="1" fillId="0" borderId="6" xfId="0" applyFont="true" applyBorder="true" applyAlignment="true">
      <alignment horizontal="left" vertical="top" wrapText="true"/>
    </xf>
    <xf numFmtId="11" fontId="2" fillId="0" borderId="7" xfId="0" applyNumberFormat="true" applyFont="true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0" fontId="2" fillId="0" borderId="7" xfId="0" applyFont="true" applyBorder="true" applyAlignment="true">
      <alignment horizontal="left" vertical="top"/>
    </xf>
    <xf numFmtId="1" fontId="0" fillId="0" borderId="3" xfId="0" applyNumberFormat="true" applyBorder="true" applyAlignment="true">
      <alignment horizontal="left" vertical="top"/>
    </xf>
    <xf numFmtId="1" fontId="0" fillId="0" borderId="6" xfId="0" applyNumberFormat="true" applyBorder="true" applyAlignment="true">
      <alignment horizontal="left" vertical="top"/>
    </xf>
    <xf numFmtId="1" fontId="0" fillId="0" borderId="4" xfId="0" applyNumberFormat="true" applyBorder="true" applyAlignment="true">
      <alignment horizontal="left" vertical="top"/>
    </xf>
    <xf numFmtId="22" fontId="0" fillId="0" borderId="8" xfId="0" applyNumberFormat="true"/>
  </cellXfs>
  <cellStyles count="1">
    <cellStyle name="Normal" xfId="0" builtinId="0"/>
  </cellStyles>
  <dxfs count="19"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false" shrinkToFit="false" readingOrder="0"/>
    </dxf>
    <dxf>
      <alignment horizontal="left" vertical="top" textRotation="0" indent="0" justifyLastLine="false" shrinkToFit="false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1" name="Table1" displayName="Table1" ref="S2:T32" totalsRowShown="false" headerRowDxfId="18" dataDxfId="17" tableBorderDxfId="16" mc:Ignorable="xr xr3" xr:uid="{00000000-000C-0000-FFFF-FFFF00000000}">
  <autoFilter ref="S2:T32" xr:uid="{00000000-0009-0000-0100-000001000000}"/>
  <tableColumns count="2">
    <tableColumn id="1" name="Column1" dataDxfId="15" xr3:uid="{00000000-0010-0000-0000-000001000000}"/>
    <tableColumn id="2" name="Column2" dataDxfId="14" xr3:uid="{00000000-0010-0000-0000-000002000000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2"/>
  <sheetViews>
    <sheetView tabSelected="true" workbookViewId="0">
      <selection sqref="A1:R1"/>
    </sheetView>
  </sheetViews>
  <sheetFormatPr defaultRowHeight="14.4" x14ac:dyDescent="0.3"/>
  <cols>
    <col min="1" max="1" width="11.33203125" style="7" bestFit="true" customWidth="true"/>
    <col min="2" max="2" width="4.046875" style="7" bestFit="true" customWidth="true"/>
    <col min="3" max="3" width="5.82421875" style="7" bestFit="true" customWidth="true"/>
    <col min="4" max="4" width="11.15625" style="7" bestFit="true" customWidth="true"/>
    <col min="13" max="13" width="8.7109375" style="7" bestFit="true" customWidth="true"/>
    <col min="19" max="20" width="10.44140625" style="7" customWidth="true"/>
    <col min="21" max="22" width="8.88671875" style="7"/>
    <col min="23" max="31" width="10.33203125" bestFit="true" customWidth="true"/>
    <col min="32" max="33" width="11.33203125" bestFit="true" customWidth="true"/>
    <col min="34" max="37" width="11.33203125" style="7" bestFit="true" customWidth="true"/>
    <col min="38" max="16384" width="8.88671875" style="7"/>
    <col min="5" max="5" width="8.7109375" style="7" bestFit="true" customWidth="true"/>
    <col min="6" max="6" width="8.7109375" style="7" bestFit="true" customWidth="true"/>
    <col min="7" max="7" width="8.7109375" style="7" bestFit="true" customWidth="true"/>
    <col min="8" max="8" width="8.7109375" style="7" bestFit="true" customWidth="true"/>
    <col min="9" max="9" width="8.7109375" style="7" bestFit="true" customWidth="true"/>
    <col min="10" max="10" width="8.7109375" style="7" bestFit="true" customWidth="true"/>
    <col min="11" max="11" width="8.7109375" style="7" bestFit="true" customWidth="true"/>
    <col min="12" max="12" width="8.7109375" style="7" bestFit="true" customWidth="true"/>
    <col min="14" max="18" width="11.33203125" style="7" bestFit="true" customWidth="true"/>
  </cols>
  <sheetData>
    <row r="1" ht="15" thickBot="true" x14ac:dyDescent="0.35">
      <c r="A1" s="24" t="s">
        <v>20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x14ac:dyDescent="0.3">
      <c r="A2" s="25" t="s">
        <v>14</v>
      </c>
      <c r="B2" s="25"/>
      <c r="C2" s="25"/>
      <c r="D2" s="1" t="s">
        <v>335</v>
      </c>
      <c r="E2" s="1" t="s">
        <v>336</v>
      </c>
      <c r="F2" s="1" t="s">
        <v>337</v>
      </c>
      <c r="G2" s="1" t="s">
        <v>338</v>
      </c>
      <c r="H2" s="1" t="s">
        <v>339</v>
      </c>
      <c r="I2" s="1" t="s">
        <v>340</v>
      </c>
      <c r="J2" s="1" t="s">
        <v>186</v>
      </c>
      <c r="K2" s="1" t="s">
        <v>187</v>
      </c>
      <c r="L2" s="1" t="s">
        <v>188</v>
      </c>
      <c r="M2" s="1" t="s">
        <v>189</v>
      </c>
      <c r="N2" s="1" t="s">
        <v>131</v>
      </c>
      <c r="O2" s="1" t="s">
        <v>132</v>
      </c>
      <c r="P2" s="1" t="s">
        <v>133</v>
      </c>
      <c r="Q2" s="1" t="s">
        <v>134</v>
      </c>
      <c r="R2" s="1" t="s">
        <v>135</v>
      </c>
      <c r="S2" s="4" t="s">
        <v>15</v>
      </c>
      <c r="T2" s="4" t="s">
        <v>16</v>
      </c>
      <c r="W2" s="1" t="s">
        <v>121</v>
      </c>
      <c r="X2" s="1" t="s">
        <v>122</v>
      </c>
      <c r="Y2" s="1" t="s">
        <v>123</v>
      </c>
      <c r="Z2" s="1" t="s">
        <v>124</v>
      </c>
      <c r="AA2" s="1" t="s">
        <v>125</v>
      </c>
      <c r="AB2" s="1" t="s">
        <v>126</v>
      </c>
      <c r="AC2" s="1" t="s">
        <v>127</v>
      </c>
      <c r="AD2" s="1" t="s">
        <v>128</v>
      </c>
      <c r="AE2" s="1" t="s">
        <v>129</v>
      </c>
      <c r="AF2" s="1" t="s">
        <v>130</v>
      </c>
      <c r="AG2" s="1" t="s">
        <v>131</v>
      </c>
      <c r="AH2" s="1" t="s">
        <v>132</v>
      </c>
      <c r="AI2" s="1" t="s">
        <v>133</v>
      </c>
      <c r="AJ2" s="1" t="s">
        <v>134</v>
      </c>
      <c r="AK2" s="1" t="s">
        <v>135</v>
      </c>
    </row>
    <row r="3" ht="14.4" customHeight="true" x14ac:dyDescent="0.3">
      <c r="A3" s="20" t="s">
        <v>13</v>
      </c>
      <c r="B3" s="21" t="s">
        <v>295</v>
      </c>
      <c r="C3" s="2" t="s">
        <v>305</v>
      </c>
      <c r="D3" s="3">
        <v>2659746.1390511743</v>
      </c>
      <c r="E3" s="3">
        <v>15435629995.405485</v>
      </c>
      <c r="F3" s="3">
        <v>6303478.0424831174</v>
      </c>
      <c r="G3" s="3">
        <v>923313974.44672644</v>
      </c>
      <c r="H3" s="3">
        <v>11652.597605618395</v>
      </c>
      <c r="I3" s="3">
        <v>56709409.781761266</v>
      </c>
      <c r="J3" s="3">
        <v>5612638007.431118</v>
      </c>
      <c r="K3" s="3">
        <v>21302818.063970231</v>
      </c>
      <c r="L3" s="3">
        <v>55200.112041864231</v>
      </c>
      <c r="M3" s="3">
        <v>844528615.49502492</v>
      </c>
      <c r="N3" s="3"/>
      <c r="O3" s="3"/>
      <c r="P3" s="3"/>
      <c r="Q3" s="3"/>
      <c r="R3" s="3"/>
      <c r="S3" s="2" t="s">
        <v>0</v>
      </c>
      <c r="T3" s="2" t="s">
        <v>10</v>
      </c>
      <c r="W3" s="7">
        <f>_xlfn.RANK.EQ(D3,$D3:$R3,1)</f>
        <v>1</v>
      </c>
      <c r="X3" s="7">
        <f t="shared" ref="X3:AK3" si="0">_xlfn.RANK.EQ(E3,$D3:$R3,1)</f>
        <v>3</v>
      </c>
      <c r="Y3" s="7">
        <f t="shared" si="0"/>
        <v>4</v>
      </c>
      <c r="Z3" s="7">
        <f t="shared" si="0"/>
        <v>6</v>
      </c>
      <c r="AA3" s="7">
        <f t="shared" si="0"/>
        <v>9</v>
      </c>
      <c r="AB3" s="7">
        <f t="shared" si="0"/>
        <v>2</v>
      </c>
      <c r="AC3" s="7">
        <f t="shared" si="0"/>
        <v>8</v>
      </c>
      <c r="AD3" s="7">
        <f t="shared" si="0"/>
        <v>5</v>
      </c>
      <c r="AE3" s="7">
        <f t="shared" si="0"/>
        <v>7</v>
      </c>
      <c r="AF3" s="7" t="e">
        <f t="shared" si="0"/>
        <v>#N/A</v>
      </c>
      <c r="AG3" s="7" t="e">
        <f t="shared" si="0"/>
        <v>#N/A</v>
      </c>
      <c r="AH3" s="7" t="e">
        <f t="shared" si="0"/>
        <v>#N/A</v>
      </c>
      <c r="AI3" s="7" t="e">
        <f t="shared" si="0"/>
        <v>#N/A</v>
      </c>
      <c r="AJ3" s="7" t="e">
        <f t="shared" si="0"/>
        <v>#N/A</v>
      </c>
      <c r="AK3" s="7" t="e">
        <f t="shared" si="0"/>
        <v>#N/A</v>
      </c>
    </row>
    <row r="4" x14ac:dyDescent="0.3">
      <c r="A4" s="22"/>
      <c r="B4" s="17" t="s">
        <v>295</v>
      </c>
      <c r="C4" s="4" t="s">
        <v>306</v>
      </c>
      <c r="D4" s="8">
        <v>958782.37267033663</v>
      </c>
      <c r="E4" s="10">
        <v>5008589826.0087776</v>
      </c>
      <c r="F4" s="10">
        <v>1928762.6526444652</v>
      </c>
      <c r="G4" s="10">
        <v>843855795.29373145</v>
      </c>
      <c r="H4" s="10">
        <v>16114.838957454283</v>
      </c>
      <c r="I4" s="8">
        <v>29702764.683469087</v>
      </c>
      <c r="J4" s="8">
        <v>3436532961.5376959</v>
      </c>
      <c r="K4" s="8">
        <v>116655915.56145208</v>
      </c>
      <c r="L4" s="8">
        <v>37964.786309666953</v>
      </c>
      <c r="M4" s="10">
        <v>1144814747.6317685</v>
      </c>
      <c r="N4" s="10"/>
      <c r="O4" s="10"/>
      <c r="P4" s="10"/>
      <c r="Q4" s="10"/>
      <c r="R4" s="10"/>
      <c r="S4" s="4"/>
      <c r="T4" s="4" t="s">
        <v>11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x14ac:dyDescent="0.3">
      <c r="A5" s="18"/>
      <c r="B5" s="19" t="s">
        <v>295</v>
      </c>
      <c r="C5" s="5" t="s">
        <v>307</v>
      </c>
      <c r="D5" s="6">
        <v>1.2875000000000001</v>
      </c>
      <c r="E5" s="6">
        <v>0.051562499999999997</v>
      </c>
      <c r="F5" s="6">
        <v>0.20000000000000001</v>
      </c>
      <c r="G5" s="6">
        <v>0.14374999999999999</v>
      </c>
      <c r="H5" s="6">
        <v>0.20052083333333334</v>
      </c>
      <c r="I5" s="6">
        <v>0.16302083333333334</v>
      </c>
      <c r="J5" s="6">
        <v>7.8963541666666668</v>
      </c>
      <c r="K5" s="6">
        <v>0.33854166666666669</v>
      </c>
      <c r="L5" s="6">
        <v>0.51145833333333335</v>
      </c>
      <c r="M5" s="6">
        <v>0.14947916666666666</v>
      </c>
      <c r="N5" s="6"/>
      <c r="O5" s="6"/>
      <c r="P5" s="6"/>
      <c r="Q5" s="6"/>
      <c r="R5" s="6"/>
      <c r="S5" s="5"/>
      <c r="T5" s="5" t="s">
        <v>12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x14ac:dyDescent="0.3">
      <c r="A6" s="22" t="s">
        <v>18</v>
      </c>
      <c r="B6" s="21" t="s">
        <v>296</v>
      </c>
      <c r="C6" s="2" t="s">
        <v>308</v>
      </c>
      <c r="D6" s="3">
        <v>2616.020908441044</v>
      </c>
      <c r="E6" s="3">
        <v>4944.860911745066</v>
      </c>
      <c r="F6" s="3">
        <v>3355.1016522000864</v>
      </c>
      <c r="G6" s="3">
        <v>2811.9099082330063</v>
      </c>
      <c r="H6" s="3">
        <v>2187.0726928629856</v>
      </c>
      <c r="I6" s="3">
        <v>1830.3948194872073</v>
      </c>
      <c r="J6" s="3">
        <v>5150.1611192600922</v>
      </c>
      <c r="K6" s="3">
        <v>2698.0190114181792</v>
      </c>
      <c r="L6" s="3">
        <v>3065.1526190084023</v>
      </c>
      <c r="M6" s="3">
        <v>3123.7044047538316</v>
      </c>
      <c r="N6" s="3"/>
      <c r="O6" s="3"/>
      <c r="P6" s="3"/>
      <c r="Q6" s="3"/>
      <c r="R6" s="3"/>
      <c r="S6" s="2" t="s">
        <v>1</v>
      </c>
      <c r="T6" s="2" t="s">
        <v>10</v>
      </c>
      <c r="W6" s="7">
        <f t="shared" ref="W6" si="1">_xlfn.RANK.EQ(D6,$D6:$R6,1)</f>
        <v>3</v>
      </c>
      <c r="X6" s="7">
        <f t="shared" ref="X6" si="2">_xlfn.RANK.EQ(E6,$D6:$R6,1)</f>
        <v>4</v>
      </c>
      <c r="Y6" s="7">
        <f t="shared" ref="Y6" si="3">_xlfn.RANK.EQ(F6,$D6:$R6,1)</f>
        <v>5</v>
      </c>
      <c r="Z6" s="7">
        <f t="shared" ref="Z6" si="4">_xlfn.RANK.EQ(G6,$D6:$R6,1)</f>
        <v>7</v>
      </c>
      <c r="AA6" s="7">
        <f t="shared" ref="AA6" si="5">_xlfn.RANK.EQ(H6,$D6:$R6,1)</f>
        <v>9</v>
      </c>
      <c r="AB6" s="7">
        <f t="shared" ref="AB6" si="6">_xlfn.RANK.EQ(I6,$D6:$R6,1)</f>
        <v>6</v>
      </c>
      <c r="AC6" s="7">
        <f t="shared" ref="AC6" si="7">_xlfn.RANK.EQ(J6,$D6:$R6,1)</f>
        <v>8</v>
      </c>
      <c r="AD6" s="7">
        <f t="shared" ref="AD6" si="8">_xlfn.RANK.EQ(K6,$D6:$R6,1)</f>
        <v>2</v>
      </c>
      <c r="AE6" s="7">
        <f t="shared" ref="AE6" si="9">_xlfn.RANK.EQ(L6,$D6:$R6,1)</f>
        <v>1</v>
      </c>
      <c r="AF6" s="7" t="e">
        <f t="shared" ref="AF6" si="10">_xlfn.RANK.EQ(M6,$D6:$R6,1)</f>
        <v>#N/A</v>
      </c>
      <c r="AG6" s="7" t="e">
        <f t="shared" ref="AG6" si="11">_xlfn.RANK.EQ(N6,$D6:$R6,1)</f>
        <v>#N/A</v>
      </c>
      <c r="AH6" s="7" t="e">
        <f t="shared" ref="AH6" si="12">_xlfn.RANK.EQ(O6,$D6:$R6,1)</f>
        <v>#N/A</v>
      </c>
      <c r="AI6" s="7" t="e">
        <f t="shared" ref="AI6" si="13">_xlfn.RANK.EQ(P6,$D6:$R6,1)</f>
        <v>#N/A</v>
      </c>
      <c r="AJ6" s="7" t="e">
        <f t="shared" ref="AJ6" si="14">_xlfn.RANK.EQ(Q6,$D6:$R6,1)</f>
        <v>#N/A</v>
      </c>
      <c r="AK6" s="7" t="e">
        <f t="shared" ref="AK6" si="15">_xlfn.RANK.EQ(R6,$D6:$R6,1)</f>
        <v>#N/A</v>
      </c>
    </row>
    <row r="7" x14ac:dyDescent="0.3">
      <c r="A7" s="22"/>
      <c r="B7" s="17" t="s">
        <v>296</v>
      </c>
      <c r="C7" s="4" t="s">
        <v>309</v>
      </c>
      <c r="D7" s="8">
        <v>364.37295602536085</v>
      </c>
      <c r="E7" s="10">
        <v>529.61010420603577</v>
      </c>
      <c r="F7" s="10">
        <v>560.87518451457447</v>
      </c>
      <c r="G7" s="10">
        <v>613.72273898442063</v>
      </c>
      <c r="H7" s="10">
        <v>461.54575401064608</v>
      </c>
      <c r="I7" s="8">
        <v>207.50555351251589</v>
      </c>
      <c r="J7" s="8">
        <v>691.54686900675426</v>
      </c>
      <c r="K7" s="8">
        <v>400.51736332009057</v>
      </c>
      <c r="L7" s="8">
        <v>501.31033174317935</v>
      </c>
      <c r="M7" s="10">
        <v>766.83974398570342</v>
      </c>
      <c r="N7" s="10"/>
      <c r="O7" s="10"/>
      <c r="P7" s="10"/>
      <c r="Q7" s="10"/>
      <c r="R7" s="10"/>
      <c r="S7" s="4"/>
      <c r="T7" s="4" t="s">
        <v>11</v>
      </c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x14ac:dyDescent="0.3">
      <c r="A8" s="22"/>
      <c r="B8" s="19" t="s">
        <v>296</v>
      </c>
      <c r="C8" s="5" t="s">
        <v>310</v>
      </c>
      <c r="D8" s="6">
        <v>1.7302083333333333</v>
      </c>
      <c r="E8" s="6">
        <v>0.17499999999999999</v>
      </c>
      <c r="F8" s="6">
        <v>0.27135416666666667</v>
      </c>
      <c r="G8" s="6">
        <v>0.19114583333333332</v>
      </c>
      <c r="H8" s="6">
        <v>0.24583333333333332</v>
      </c>
      <c r="I8" s="6">
        <v>0.19583333333333333</v>
      </c>
      <c r="J8" s="6">
        <v>9.1187500000000004</v>
      </c>
      <c r="K8" s="6">
        <v>0.40625</v>
      </c>
      <c r="L8" s="6">
        <v>0.53593749999999996</v>
      </c>
      <c r="M8" s="6">
        <v>0.17604166666666668</v>
      </c>
      <c r="N8" s="6"/>
      <c r="O8" s="6"/>
      <c r="P8" s="6"/>
      <c r="Q8" s="6"/>
      <c r="R8" s="6"/>
      <c r="S8" s="5"/>
      <c r="T8" s="5" t="s">
        <v>12</v>
      </c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ht="14.4" customHeight="true" x14ac:dyDescent="0.3">
      <c r="A9" s="22"/>
      <c r="B9" s="21" t="s">
        <v>297</v>
      </c>
      <c r="C9" s="2" t="s">
        <v>311</v>
      </c>
      <c r="D9" s="3">
        <v>862.96227796558355</v>
      </c>
      <c r="E9" s="3">
        <v>971.89256813692157</v>
      </c>
      <c r="F9" s="3">
        <v>925.78606904767923</v>
      </c>
      <c r="G9" s="3">
        <v>801.3120880584471</v>
      </c>
      <c r="H9" s="3">
        <v>767.9467973953125</v>
      </c>
      <c r="I9" s="3">
        <v>778.1767003772319</v>
      </c>
      <c r="J9" s="3">
        <v>960.80028705385496</v>
      </c>
      <c r="K9" s="3">
        <v>797.75175765207746</v>
      </c>
      <c r="L9" s="3">
        <v>852.09696416251495</v>
      </c>
      <c r="M9" s="3">
        <v>789.31458724069341</v>
      </c>
      <c r="N9" s="3"/>
      <c r="O9" s="3"/>
      <c r="P9" s="3"/>
      <c r="Q9" s="3"/>
      <c r="R9" s="3"/>
      <c r="S9" s="2" t="s">
        <v>2</v>
      </c>
      <c r="T9" s="2" t="s">
        <v>10</v>
      </c>
      <c r="W9" s="7">
        <f t="shared" ref="W9" si="16">_xlfn.RANK.EQ(D9,$D9:$R9,1)</f>
        <v>4</v>
      </c>
      <c r="X9" s="7">
        <f t="shared" ref="X9" si="17">_xlfn.RANK.EQ(E9,$D9:$R9,1)</f>
        <v>3</v>
      </c>
      <c r="Y9" s="7">
        <f t="shared" ref="Y9" si="18">_xlfn.RANK.EQ(F9,$D9:$R9,1)</f>
        <v>7</v>
      </c>
      <c r="Z9" s="7">
        <f t="shared" ref="Z9" si="19">_xlfn.RANK.EQ(G9,$D9:$R9,1)</f>
        <v>8</v>
      </c>
      <c r="AA9" s="7">
        <f t="shared" ref="AA9" si="20">_xlfn.RANK.EQ(H9,$D9:$R9,1)</f>
        <v>9</v>
      </c>
      <c r="AB9" s="7">
        <f t="shared" ref="AB9" si="21">_xlfn.RANK.EQ(I9,$D9:$R9,1)</f>
        <v>5</v>
      </c>
      <c r="AC9" s="7">
        <f t="shared" ref="AC9" si="22">_xlfn.RANK.EQ(J9,$D9:$R9,1)</f>
        <v>6</v>
      </c>
      <c r="AD9" s="7">
        <f t="shared" ref="AD9" si="23">_xlfn.RANK.EQ(K9,$D9:$R9,1)</f>
        <v>1</v>
      </c>
      <c r="AE9" s="7">
        <f t="shared" ref="AE9" si="24">_xlfn.RANK.EQ(L9,$D9:$R9,1)</f>
        <v>2</v>
      </c>
      <c r="AF9" s="7" t="e">
        <f t="shared" ref="AF9" si="25">_xlfn.RANK.EQ(M9,$D9:$R9,1)</f>
        <v>#N/A</v>
      </c>
      <c r="AG9" s="7" t="e">
        <f t="shared" ref="AG9" si="26">_xlfn.RANK.EQ(N9,$D9:$R9,1)</f>
        <v>#N/A</v>
      </c>
      <c r="AH9" s="7" t="e">
        <f t="shared" ref="AH9" si="27">_xlfn.RANK.EQ(O9,$D9:$R9,1)</f>
        <v>#N/A</v>
      </c>
      <c r="AI9" s="7" t="e">
        <f t="shared" ref="AI9" si="28">_xlfn.RANK.EQ(P9,$D9:$R9,1)</f>
        <v>#N/A</v>
      </c>
      <c r="AJ9" s="7" t="e">
        <f t="shared" ref="AJ9" si="29">_xlfn.RANK.EQ(Q9,$D9:$R9,1)</f>
        <v>#N/A</v>
      </c>
      <c r="AK9" s="7" t="e">
        <f t="shared" ref="AK9" si="30">_xlfn.RANK.EQ(R9,$D9:$R9,1)</f>
        <v>#N/A</v>
      </c>
    </row>
    <row r="10" x14ac:dyDescent="0.3">
      <c r="A10" s="22"/>
      <c r="B10" s="17" t="s">
        <v>297</v>
      </c>
      <c r="C10" s="4" t="s">
        <v>312</v>
      </c>
      <c r="D10" s="8">
        <v>32.474705425949985</v>
      </c>
      <c r="E10" s="10">
        <v>37.1969545196282</v>
      </c>
      <c r="F10" s="10">
        <v>38.539020706901447</v>
      </c>
      <c r="G10" s="10">
        <v>34.600376305569988</v>
      </c>
      <c r="H10" s="10">
        <v>18.081848447284717</v>
      </c>
      <c r="I10" s="8">
        <v>12.508516711912312</v>
      </c>
      <c r="J10" s="8">
        <v>71.743642715693625</v>
      </c>
      <c r="K10" s="8">
        <v>30.348726280512725</v>
      </c>
      <c r="L10" s="8">
        <v>45.031784088249616</v>
      </c>
      <c r="M10" s="10">
        <v>31.915467088477254</v>
      </c>
      <c r="N10" s="10"/>
      <c r="O10" s="10"/>
      <c r="P10" s="10"/>
      <c r="Q10" s="10"/>
      <c r="R10" s="10"/>
      <c r="S10" s="4"/>
      <c r="T10" s="4" t="s">
        <v>11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x14ac:dyDescent="0.3">
      <c r="A11" s="22"/>
      <c r="B11" s="19" t="s">
        <v>297</v>
      </c>
      <c r="C11" s="5" t="s">
        <v>313</v>
      </c>
      <c r="D11" s="6">
        <v>1.5765625000000001</v>
      </c>
      <c r="E11" s="6">
        <v>0.13125000000000001</v>
      </c>
      <c r="F11" s="6">
        <v>0.24114583333333334</v>
      </c>
      <c r="G11" s="6">
        <v>0.20520833333333333</v>
      </c>
      <c r="H11" s="6">
        <v>0.21666666666666667</v>
      </c>
      <c r="I11" s="6">
        <v>0.17395833333333333</v>
      </c>
      <c r="J11" s="6">
        <v>5.380208333333333</v>
      </c>
      <c r="K11" s="6">
        <v>0.35468749999999999</v>
      </c>
      <c r="L11" s="6">
        <v>0.51822916666666663</v>
      </c>
      <c r="M11" s="6">
        <v>0.17864583333333334</v>
      </c>
      <c r="N11" s="6"/>
      <c r="O11" s="6"/>
      <c r="P11" s="6"/>
      <c r="Q11" s="6"/>
      <c r="R11" s="6"/>
      <c r="S11" s="5"/>
      <c r="T11" s="5" t="s">
        <v>12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ht="14.4" customHeight="true" x14ac:dyDescent="0.3">
      <c r="A12" s="22"/>
      <c r="B12" s="21" t="s">
        <v>298</v>
      </c>
      <c r="C12" s="2" t="s">
        <v>314</v>
      </c>
      <c r="D12" s="3">
        <v>1915.7917006140083</v>
      </c>
      <c r="E12" s="3">
        <v>58301.087502249298</v>
      </c>
      <c r="F12" s="3">
        <v>1926.6837779445343</v>
      </c>
      <c r="G12" s="3">
        <v>2007.2751657043964</v>
      </c>
      <c r="H12" s="3">
        <v>1906.055597034235</v>
      </c>
      <c r="I12" s="3">
        <v>1969.602957761118</v>
      </c>
      <c r="J12" s="3">
        <v>31783.931769676485</v>
      </c>
      <c r="K12" s="3">
        <v>2269.2213300042185</v>
      </c>
      <c r="L12" s="3">
        <v>1911.9490838388265</v>
      </c>
      <c r="M12" s="3">
        <v>1966.7984324657114</v>
      </c>
      <c r="N12" s="3"/>
      <c r="O12" s="3"/>
      <c r="P12" s="3"/>
      <c r="Q12" s="3"/>
      <c r="R12" s="3"/>
      <c r="S12" s="2" t="s">
        <v>3</v>
      </c>
      <c r="T12" s="2" t="s">
        <v>10</v>
      </c>
      <c r="W12" s="7">
        <f t="shared" ref="W12" si="31">_xlfn.RANK.EQ(D12,$D12:$R12,1)</f>
        <v>3</v>
      </c>
      <c r="X12" s="7">
        <f t="shared" ref="X12" si="32">_xlfn.RANK.EQ(E12,$D12:$R12,1)</f>
        <v>7</v>
      </c>
      <c r="Y12" s="7">
        <f t="shared" ref="Y12" si="33">_xlfn.RANK.EQ(F12,$D12:$R12,1)</f>
        <v>6</v>
      </c>
      <c r="Z12" s="7">
        <f t="shared" ref="Z12" si="34">_xlfn.RANK.EQ(G12,$D12:$R12,1)</f>
        <v>5</v>
      </c>
      <c r="AA12" s="7">
        <f t="shared" ref="AA12" si="35">_xlfn.RANK.EQ(H12,$D12:$R12,1)</f>
        <v>9</v>
      </c>
      <c r="AB12" s="7">
        <f t="shared" ref="AB12" si="36">_xlfn.RANK.EQ(I12,$D12:$R12,1)</f>
        <v>2</v>
      </c>
      <c r="AC12" s="7">
        <f t="shared" ref="AC12" si="37">_xlfn.RANK.EQ(J12,$D12:$R12,1)</f>
        <v>8</v>
      </c>
      <c r="AD12" s="7">
        <f t="shared" ref="AD12" si="38">_xlfn.RANK.EQ(K12,$D12:$R12,1)</f>
        <v>1</v>
      </c>
      <c r="AE12" s="7">
        <f t="shared" ref="AE12" si="39">_xlfn.RANK.EQ(L12,$D12:$R12,1)</f>
        <v>4</v>
      </c>
      <c r="AF12" s="7" t="e">
        <f t="shared" ref="AF12" si="40">_xlfn.RANK.EQ(M12,$D12:$R12,1)</f>
        <v>#N/A</v>
      </c>
      <c r="AG12" s="7" t="e">
        <f t="shared" ref="AG12" si="41">_xlfn.RANK.EQ(N12,$D12:$R12,1)</f>
        <v>#N/A</v>
      </c>
      <c r="AH12" s="7" t="e">
        <f t="shared" ref="AH12" si="42">_xlfn.RANK.EQ(O12,$D12:$R12,1)</f>
        <v>#N/A</v>
      </c>
      <c r="AI12" s="7" t="e">
        <f t="shared" ref="AI12" si="43">_xlfn.RANK.EQ(P12,$D12:$R12,1)</f>
        <v>#N/A</v>
      </c>
      <c r="AJ12" s="7" t="e">
        <f t="shared" ref="AJ12" si="44">_xlfn.RANK.EQ(Q12,$D12:$R12,1)</f>
        <v>#N/A</v>
      </c>
      <c r="AK12" s="7" t="e">
        <f t="shared" ref="AK12" si="45">_xlfn.RANK.EQ(R12,$D12:$R12,1)</f>
        <v>#N/A</v>
      </c>
    </row>
    <row r="13" x14ac:dyDescent="0.3">
      <c r="A13" s="22"/>
      <c r="B13" s="17" t="s">
        <v>298</v>
      </c>
      <c r="C13" s="4" t="s">
        <v>315</v>
      </c>
      <c r="D13" s="8">
        <v>3.7107118709837406</v>
      </c>
      <c r="E13" s="10">
        <v>130945.19541961516</v>
      </c>
      <c r="F13" s="10">
        <v>6.8837090183568108</v>
      </c>
      <c r="G13" s="10">
        <v>323.28253515535334</v>
      </c>
      <c r="H13" s="10">
        <v>2.0376584394923869</v>
      </c>
      <c r="I13" s="8">
        <v>299.9408298725395</v>
      </c>
      <c r="J13" s="8">
        <v>55042.080950826203</v>
      </c>
      <c r="K13" s="8">
        <v>1967.9097619409333</v>
      </c>
      <c r="L13" s="8">
        <v>3.3391157657360528</v>
      </c>
      <c r="M13" s="10">
        <v>166.92319366664685</v>
      </c>
      <c r="N13" s="10"/>
      <c r="O13" s="10"/>
      <c r="P13" s="10"/>
      <c r="Q13" s="10"/>
      <c r="R13" s="10"/>
      <c r="S13" s="4"/>
      <c r="T13" s="4" t="s">
        <v>11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x14ac:dyDescent="0.3">
      <c r="A14" s="18"/>
      <c r="B14" s="19" t="s">
        <v>298</v>
      </c>
      <c r="C14" s="5" t="s">
        <v>316</v>
      </c>
      <c r="D14" s="6">
        <v>1.7375</v>
      </c>
      <c r="E14" s="6">
        <v>0.1328125</v>
      </c>
      <c r="F14" s="6">
        <v>0.25572916666666667</v>
      </c>
      <c r="G14" s="6">
        <v>0.17447916666666666</v>
      </c>
      <c r="H14" s="6">
        <v>0.23177083333333334</v>
      </c>
      <c r="I14" s="6">
        <v>0.19322916666666667</v>
      </c>
      <c r="J14" s="6">
        <v>6.8583333333333334</v>
      </c>
      <c r="K14" s="6">
        <v>0.37864583333333335</v>
      </c>
      <c r="L14" s="6">
        <v>0.52656250000000004</v>
      </c>
      <c r="M14" s="6">
        <v>0.18281249999999999</v>
      </c>
      <c r="N14" s="6"/>
      <c r="O14" s="6"/>
      <c r="P14" s="6"/>
      <c r="Q14" s="6"/>
      <c r="R14" s="6"/>
      <c r="S14" s="5"/>
      <c r="T14" s="5" t="s">
        <v>12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x14ac:dyDescent="0.3">
      <c r="A15" s="22" t="s">
        <v>17</v>
      </c>
      <c r="B15" s="21" t="s">
        <v>299</v>
      </c>
      <c r="C15" s="2" t="s">
        <v>317</v>
      </c>
      <c r="D15" s="3">
        <v>107292.86655214154</v>
      </c>
      <c r="E15" s="3">
        <v>2136391.0348005081</v>
      </c>
      <c r="F15" s="3">
        <v>678708.03037845856</v>
      </c>
      <c r="G15" s="3">
        <v>1039569.9019629622</v>
      </c>
      <c r="H15" s="3">
        <v>687006.02381505037</v>
      </c>
      <c r="I15" s="3">
        <v>7165700.6254109424</v>
      </c>
      <c r="J15" s="3">
        <v>7140015.681181482</v>
      </c>
      <c r="K15" s="3">
        <v>213324.6450849621</v>
      </c>
      <c r="L15" s="3">
        <v>1068104.6259107897</v>
      </c>
      <c r="M15" s="3">
        <v>525890.75546466699</v>
      </c>
      <c r="N15" s="3"/>
      <c r="O15" s="3"/>
      <c r="P15" s="3"/>
      <c r="Q15" s="3"/>
      <c r="R15" s="3"/>
      <c r="S15" s="2" t="s">
        <v>4</v>
      </c>
      <c r="T15" s="2" t="s">
        <v>10</v>
      </c>
      <c r="W15" s="7">
        <f t="shared" ref="W15" si="46">_xlfn.RANK.EQ(D15,$D15:$R15,1)</f>
        <v>1</v>
      </c>
      <c r="X15" s="7">
        <f t="shared" ref="X15" si="47">_xlfn.RANK.EQ(E15,$D15:$R15,1)</f>
        <v>2</v>
      </c>
      <c r="Y15" s="7">
        <f t="shared" ref="Y15" si="48">_xlfn.RANK.EQ(F15,$D15:$R15,1)</f>
        <v>6</v>
      </c>
      <c r="Z15" s="7">
        <f t="shared" ref="Z15" si="49">_xlfn.RANK.EQ(G15,$D15:$R15,1)</f>
        <v>5</v>
      </c>
      <c r="AA15" s="7">
        <f t="shared" ref="AA15" si="50">_xlfn.RANK.EQ(H15,$D15:$R15,1)</f>
        <v>9</v>
      </c>
      <c r="AB15" s="7">
        <f t="shared" ref="AB15" si="51">_xlfn.RANK.EQ(I15,$D15:$R15,1)</f>
        <v>3</v>
      </c>
      <c r="AC15" s="7">
        <f t="shared" ref="AC15" si="52">_xlfn.RANK.EQ(J15,$D15:$R15,1)</f>
        <v>7</v>
      </c>
      <c r="AD15" s="7">
        <f t="shared" ref="AD15" si="53">_xlfn.RANK.EQ(K15,$D15:$R15,1)</f>
        <v>4</v>
      </c>
      <c r="AE15" s="7">
        <f t="shared" ref="AE15" si="54">_xlfn.RANK.EQ(L15,$D15:$R15,1)</f>
        <v>8</v>
      </c>
      <c r="AF15" s="7" t="e">
        <f t="shared" ref="AF15" si="55">_xlfn.RANK.EQ(M15,$D15:$R15,1)</f>
        <v>#N/A</v>
      </c>
      <c r="AG15" s="7" t="e">
        <f t="shared" ref="AG15" si="56">_xlfn.RANK.EQ(N15,$D15:$R15,1)</f>
        <v>#N/A</v>
      </c>
      <c r="AH15" s="7" t="e">
        <f t="shared" ref="AH15" si="57">_xlfn.RANK.EQ(O15,$D15:$R15,1)</f>
        <v>#N/A</v>
      </c>
      <c r="AI15" s="7" t="e">
        <f t="shared" ref="AI15" si="58">_xlfn.RANK.EQ(P15,$D15:$R15,1)</f>
        <v>#N/A</v>
      </c>
      <c r="AJ15" s="7" t="e">
        <f t="shared" ref="AJ15" si="59">_xlfn.RANK.EQ(Q15,$D15:$R15,1)</f>
        <v>#N/A</v>
      </c>
      <c r="AK15" s="7" t="e">
        <f t="shared" ref="AK15" si="60">_xlfn.RANK.EQ(R15,$D15:$R15,1)</f>
        <v>#N/A</v>
      </c>
    </row>
    <row r="16" x14ac:dyDescent="0.3">
      <c r="A16" s="22"/>
      <c r="B16" s="17" t="s">
        <v>299</v>
      </c>
      <c r="C16" s="4" t="s">
        <v>318</v>
      </c>
      <c r="D16" s="8">
        <v>55944.699811608953</v>
      </c>
      <c r="E16" s="10">
        <v>1879804.2947543308</v>
      </c>
      <c r="F16" s="10">
        <v>522884.9609640718</v>
      </c>
      <c r="G16" s="10">
        <v>1067485.1556674112</v>
      </c>
      <c r="H16" s="10">
        <v>499638.20199006022</v>
      </c>
      <c r="I16" s="8">
        <v>4869971.977829772</v>
      </c>
      <c r="J16" s="8">
        <v>5944161.8893527985</v>
      </c>
      <c r="K16" s="8">
        <v>128259.98770749227</v>
      </c>
      <c r="L16" s="8">
        <v>1028223.7357691475</v>
      </c>
      <c r="M16" s="10">
        <v>534256.67612587917</v>
      </c>
      <c r="N16" s="10"/>
      <c r="O16" s="10"/>
      <c r="P16" s="10"/>
      <c r="Q16" s="10"/>
      <c r="R16" s="10"/>
      <c r="S16" s="4"/>
      <c r="T16" s="4" t="s">
        <v>11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x14ac:dyDescent="0.3">
      <c r="A17" s="22"/>
      <c r="B17" s="19" t="s">
        <v>299</v>
      </c>
      <c r="C17" s="5" t="s">
        <v>319</v>
      </c>
      <c r="D17" s="6">
        <v>1.8130208333333333</v>
      </c>
      <c r="E17" s="6">
        <v>0.15729166666666666</v>
      </c>
      <c r="F17" s="6">
        <v>0.25729166666666664</v>
      </c>
      <c r="G17" s="6">
        <v>0.1875</v>
      </c>
      <c r="H17" s="6">
        <v>0.23906250000000001</v>
      </c>
      <c r="I17" s="6">
        <v>0.18333333333333332</v>
      </c>
      <c r="J17" s="6">
        <v>12.901562500000001</v>
      </c>
      <c r="K17" s="6">
        <v>0.38906249999999998</v>
      </c>
      <c r="L17" s="6">
        <v>0.54374999999999996</v>
      </c>
      <c r="M17" s="6">
        <v>0.18958333333333333</v>
      </c>
      <c r="N17" s="6"/>
      <c r="O17" s="6"/>
      <c r="P17" s="6"/>
      <c r="Q17" s="6"/>
      <c r="R17" s="6"/>
      <c r="S17" s="5"/>
      <c r="T17" s="5" t="s">
        <v>12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x14ac:dyDescent="0.3">
      <c r="A18" s="22"/>
      <c r="B18" s="21" t="s">
        <v>300</v>
      </c>
      <c r="C18" s="2" t="s">
        <v>320</v>
      </c>
      <c r="D18" s="3">
        <v>1768.5322202012699</v>
      </c>
      <c r="E18" s="3">
        <v>1768.5322202012699</v>
      </c>
      <c r="F18" s="3">
        <v>1768.5322202012699</v>
      </c>
      <c r="G18" s="3">
        <v>1768.5322202012699</v>
      </c>
      <c r="H18" s="3">
        <v>1768.5322202012699</v>
      </c>
      <c r="I18" s="3">
        <v>1768.5322202012699</v>
      </c>
      <c r="J18" s="3">
        <v>1834.6494343656461</v>
      </c>
      <c r="K18" s="3">
        <v>1834.6494343656461</v>
      </c>
      <c r="L18" s="3">
        <v>1834.6494343656461</v>
      </c>
      <c r="M18" s="3">
        <v>1834.6494343656461</v>
      </c>
      <c r="N18" s="3"/>
      <c r="O18" s="3"/>
      <c r="P18" s="3"/>
      <c r="Q18" s="3"/>
      <c r="R18" s="3"/>
      <c r="S18" s="2" t="s">
        <v>5</v>
      </c>
      <c r="T18" s="2" t="s">
        <v>10</v>
      </c>
      <c r="W18" s="7">
        <f t="shared" ref="W18" si="61">_xlfn.RANK.EQ(D18,$D18:$R18,1)</f>
        <v>1</v>
      </c>
      <c r="X18" s="7">
        <f t="shared" ref="X18" si="62">_xlfn.RANK.EQ(E18,$D18:$R18,1)</f>
        <v>1</v>
      </c>
      <c r="Y18" s="7">
        <f t="shared" ref="Y18" si="63">_xlfn.RANK.EQ(F18,$D18:$R18,1)</f>
        <v>1</v>
      </c>
      <c r="Z18" s="7">
        <f t="shared" ref="Z18" si="64">_xlfn.RANK.EQ(G18,$D18:$R18,1)</f>
        <v>1</v>
      </c>
      <c r="AA18" s="7">
        <f t="shared" ref="AA18" si="65">_xlfn.RANK.EQ(H18,$D18:$R18,1)</f>
        <v>1</v>
      </c>
      <c r="AB18" s="7">
        <f t="shared" ref="AB18" si="66">_xlfn.RANK.EQ(I18,$D18:$R18,1)</f>
        <v>1</v>
      </c>
      <c r="AC18" s="7">
        <f t="shared" ref="AC18" si="67">_xlfn.RANK.EQ(J18,$D18:$R18,1)</f>
        <v>1</v>
      </c>
      <c r="AD18" s="7">
        <f t="shared" ref="AD18" si="68">_xlfn.RANK.EQ(K18,$D18:$R18,1)</f>
        <v>1</v>
      </c>
      <c r="AE18" s="7">
        <f t="shared" ref="AE18" si="69">_xlfn.RANK.EQ(L18,$D18:$R18,1)</f>
        <v>1</v>
      </c>
      <c r="AF18" s="7" t="e">
        <f t="shared" ref="AF18" si="70">_xlfn.RANK.EQ(M18,$D18:$R18,1)</f>
        <v>#N/A</v>
      </c>
      <c r="AG18" s="7" t="e">
        <f t="shared" ref="AG18" si="71">_xlfn.RANK.EQ(N18,$D18:$R18,1)</f>
        <v>#N/A</v>
      </c>
      <c r="AH18" s="7" t="e">
        <f t="shared" ref="AH18" si="72">_xlfn.RANK.EQ(O18,$D18:$R18,1)</f>
        <v>#N/A</v>
      </c>
      <c r="AI18" s="7" t="e">
        <f t="shared" ref="AI18" si="73">_xlfn.RANK.EQ(P18,$D18:$R18,1)</f>
        <v>#N/A</v>
      </c>
      <c r="AJ18" s="7" t="e">
        <f t="shared" ref="AJ18" si="74">_xlfn.RANK.EQ(Q18,$D18:$R18,1)</f>
        <v>#N/A</v>
      </c>
      <c r="AK18" s="7" t="e">
        <f t="shared" ref="AK18" si="75">_xlfn.RANK.EQ(R18,$D18:$R18,1)</f>
        <v>#N/A</v>
      </c>
    </row>
    <row r="19" x14ac:dyDescent="0.3">
      <c r="A19" s="22"/>
      <c r="B19" s="17" t="s">
        <v>300</v>
      </c>
      <c r="C19" s="4" t="s">
        <v>321</v>
      </c>
      <c r="D19" s="8">
        <v>174.12579993505986</v>
      </c>
      <c r="E19" s="10">
        <v>174.12579993505986</v>
      </c>
      <c r="F19" s="10">
        <v>174.12579993505986</v>
      </c>
      <c r="G19" s="10">
        <v>174.12579993505986</v>
      </c>
      <c r="H19" s="10">
        <v>174.12579993505986</v>
      </c>
      <c r="I19" s="8">
        <v>174.12579993505986</v>
      </c>
      <c r="J19" s="8">
        <v>196.8463898445998</v>
      </c>
      <c r="K19" s="8">
        <v>196.8463898445998</v>
      </c>
      <c r="L19" s="8">
        <v>196.8463898445998</v>
      </c>
      <c r="M19" s="10">
        <v>196.8463898445998</v>
      </c>
      <c r="N19" s="10"/>
      <c r="O19" s="10"/>
      <c r="P19" s="10"/>
      <c r="Q19" s="10"/>
      <c r="R19" s="10"/>
      <c r="S19" s="4"/>
      <c r="T19" s="4" t="s">
        <v>11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x14ac:dyDescent="0.3">
      <c r="A20" s="22"/>
      <c r="B20" s="19" t="s">
        <v>300</v>
      </c>
      <c r="C20" s="5" t="s">
        <v>322</v>
      </c>
      <c r="D20" s="6">
        <v>1.2411458333333334</v>
      </c>
      <c r="E20" s="6">
        <v>0.050000000000000003</v>
      </c>
      <c r="F20" s="6">
        <v>0.21041666666666667</v>
      </c>
      <c r="G20" s="6">
        <v>0.14947916666666666</v>
      </c>
      <c r="H20" s="6">
        <v>0.203125</v>
      </c>
      <c r="I20" s="6">
        <v>0.16562499999999999</v>
      </c>
      <c r="J20" s="6">
        <v>5.5187499999999998</v>
      </c>
      <c r="K20" s="6">
        <v>0.33072916666666669</v>
      </c>
      <c r="L20" s="6">
        <v>0.55000000000000004</v>
      </c>
      <c r="M20" s="6">
        <v>0.15520833333333334</v>
      </c>
      <c r="N20" s="6"/>
      <c r="O20" s="6"/>
      <c r="P20" s="6"/>
      <c r="Q20" s="6"/>
      <c r="R20" s="6"/>
      <c r="S20" s="5"/>
      <c r="T20" s="5" t="s">
        <v>12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x14ac:dyDescent="0.3">
      <c r="A21" s="22"/>
      <c r="B21" s="21" t="s">
        <v>301</v>
      </c>
      <c r="C21" s="2" t="s">
        <v>323</v>
      </c>
      <c r="D21" s="3">
        <v>28043.695204301024</v>
      </c>
      <c r="E21" s="3">
        <v>1367919.480168215</v>
      </c>
      <c r="F21" s="3">
        <v>341181.13966708904</v>
      </c>
      <c r="G21" s="3">
        <v>322770.02290205163</v>
      </c>
      <c r="H21" s="3">
        <v>219005.52678263854</v>
      </c>
      <c r="I21" s="3">
        <v>2449551.0673541683</v>
      </c>
      <c r="J21" s="3">
        <v>4290935.0330238547</v>
      </c>
      <c r="K21" s="3">
        <v>166636.57938852912</v>
      </c>
      <c r="L21" s="3">
        <v>608940.93761303357</v>
      </c>
      <c r="M21" s="3">
        <v>235686.62182463784</v>
      </c>
      <c r="N21" s="3"/>
      <c r="O21" s="3"/>
      <c r="P21" s="3"/>
      <c r="Q21" s="3"/>
      <c r="R21" s="3"/>
      <c r="S21" s="2" t="s">
        <v>6</v>
      </c>
      <c r="T21" s="2" t="s">
        <v>10</v>
      </c>
      <c r="W21" s="7">
        <f t="shared" ref="W21" si="76">_xlfn.RANK.EQ(D21,$D21:$R21,1)</f>
        <v>1</v>
      </c>
      <c r="X21" s="7">
        <f t="shared" ref="X21" si="77">_xlfn.RANK.EQ(E21,$D21:$R21,1)</f>
        <v>2</v>
      </c>
      <c r="Y21" s="7">
        <f t="shared" ref="Y21" si="78">_xlfn.RANK.EQ(F21,$D21:$R21,1)</f>
        <v>6</v>
      </c>
      <c r="Z21" s="7">
        <f t="shared" ref="Z21" si="79">_xlfn.RANK.EQ(G21,$D21:$R21,1)</f>
        <v>5</v>
      </c>
      <c r="AA21" s="7">
        <f t="shared" ref="AA21" si="80">_xlfn.RANK.EQ(H21,$D21:$R21,1)</f>
        <v>8</v>
      </c>
      <c r="AB21" s="7">
        <f t="shared" ref="AB21" si="81">_xlfn.RANK.EQ(I21,$D21:$R21,1)</f>
        <v>3</v>
      </c>
      <c r="AC21" s="7">
        <f t="shared" ref="AC21" si="82">_xlfn.RANK.EQ(J21,$D21:$R21,1)</f>
        <v>7</v>
      </c>
      <c r="AD21" s="7">
        <f t="shared" ref="AD21" si="83">_xlfn.RANK.EQ(K21,$D21:$R21,1)</f>
        <v>4</v>
      </c>
      <c r="AE21" s="7">
        <f t="shared" ref="AE21" si="84">_xlfn.RANK.EQ(L21,$D21:$R21,1)</f>
        <v>9</v>
      </c>
      <c r="AF21" s="7" t="e">
        <f t="shared" ref="AF21" si="85">_xlfn.RANK.EQ(M21,$D21:$R21,1)</f>
        <v>#N/A</v>
      </c>
      <c r="AG21" s="7" t="e">
        <f t="shared" ref="AG21" si="86">_xlfn.RANK.EQ(N21,$D21:$R21,1)</f>
        <v>#N/A</v>
      </c>
      <c r="AH21" s="7" t="e">
        <f t="shared" ref="AH21" si="87">_xlfn.RANK.EQ(O21,$D21:$R21,1)</f>
        <v>#N/A</v>
      </c>
      <c r="AI21" s="7" t="e">
        <f t="shared" ref="AI21" si="88">_xlfn.RANK.EQ(P21,$D21:$R21,1)</f>
        <v>#N/A</v>
      </c>
      <c r="AJ21" s="7" t="e">
        <f t="shared" ref="AJ21" si="89">_xlfn.RANK.EQ(Q21,$D21:$R21,1)</f>
        <v>#N/A</v>
      </c>
      <c r="AK21" s="7" t="e">
        <f t="shared" ref="AK21" si="90">_xlfn.RANK.EQ(R21,$D21:$R21,1)</f>
        <v>#N/A</v>
      </c>
    </row>
    <row r="22" x14ac:dyDescent="0.3">
      <c r="A22" s="22"/>
      <c r="B22" s="17" t="s">
        <v>301</v>
      </c>
      <c r="C22" s="4" t="s">
        <v>324</v>
      </c>
      <c r="D22" s="8">
        <v>25825.92768790459</v>
      </c>
      <c r="E22" s="10">
        <v>1628528.7141760981</v>
      </c>
      <c r="F22" s="10">
        <v>263927.17937269126</v>
      </c>
      <c r="G22" s="10">
        <v>285261.74102302152</v>
      </c>
      <c r="H22" s="10">
        <v>214481.41766179149</v>
      </c>
      <c r="I22" s="8">
        <v>1952603.4994313559</v>
      </c>
      <c r="J22" s="8">
        <v>6554851.7979110545</v>
      </c>
      <c r="K22" s="8">
        <v>217757.03794007172</v>
      </c>
      <c r="L22" s="8">
        <v>622452.87749455182</v>
      </c>
      <c r="M22" s="10">
        <v>272188.41428339679</v>
      </c>
      <c r="N22" s="10"/>
      <c r="O22" s="10"/>
      <c r="P22" s="10"/>
      <c r="Q22" s="10"/>
      <c r="R22" s="10"/>
      <c r="S22" s="4"/>
      <c r="T22" s="4" t="s">
        <v>11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x14ac:dyDescent="0.3">
      <c r="A23" s="18"/>
      <c r="B23" s="19" t="s">
        <v>301</v>
      </c>
      <c r="C23" s="5" t="s">
        <v>325</v>
      </c>
      <c r="D23" s="6">
        <v>1.7078125</v>
      </c>
      <c r="E23" s="6">
        <v>0.13489583333333333</v>
      </c>
      <c r="F23" s="6">
        <v>0.28229166666666666</v>
      </c>
      <c r="G23" s="6">
        <v>0.1796875</v>
      </c>
      <c r="H23" s="6">
        <v>0.24479166666666666</v>
      </c>
      <c r="I23" s="6">
        <v>0.1953125</v>
      </c>
      <c r="J23" s="6">
        <v>13.026562500000001</v>
      </c>
      <c r="K23" s="6">
        <v>0.38906249999999998</v>
      </c>
      <c r="L23" s="6">
        <v>0.52812499999999996</v>
      </c>
      <c r="M23" s="6">
        <v>0.18124999999999999</v>
      </c>
      <c r="N23" s="6"/>
      <c r="O23" s="6"/>
      <c r="P23" s="6"/>
      <c r="Q23" s="6"/>
      <c r="R23" s="6"/>
      <c r="S23" s="5"/>
      <c r="T23" s="5" t="s">
        <v>12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x14ac:dyDescent="0.3">
      <c r="A24" s="22" t="s">
        <v>19</v>
      </c>
      <c r="B24" s="21" t="s">
        <v>302</v>
      </c>
      <c r="C24" s="2" t="s">
        <v>326</v>
      </c>
      <c r="D24" s="3">
        <v>2312.2941943383767</v>
      </c>
      <c r="E24" s="3">
        <v>4526.1382488008039</v>
      </c>
      <c r="F24" s="3">
        <v>3698.2954345335374</v>
      </c>
      <c r="G24" s="3">
        <v>2650.4317476778369</v>
      </c>
      <c r="H24" s="3">
        <v>4054.03568687911</v>
      </c>
      <c r="I24" s="3">
        <v>3487.0874923219872</v>
      </c>
      <c r="J24" s="3">
        <v>6005.7672592557474</v>
      </c>
      <c r="K24" s="3">
        <v>2528.6702261308442</v>
      </c>
      <c r="L24" s="3">
        <v>4014.2866877368997</v>
      </c>
      <c r="M24" s="3">
        <v>3039.0726991924594</v>
      </c>
      <c r="N24" s="3"/>
      <c r="O24" s="3"/>
      <c r="P24" s="3"/>
      <c r="Q24" s="3"/>
      <c r="R24" s="3"/>
      <c r="S24" s="2" t="s">
        <v>7</v>
      </c>
      <c r="T24" s="2" t="s">
        <v>10</v>
      </c>
      <c r="W24" s="7">
        <f t="shared" ref="W24" si="91">_xlfn.RANK.EQ(D24,$D24:$R24,1)</f>
        <v>2</v>
      </c>
      <c r="X24" s="7">
        <f t="shared" ref="X24" si="92">_xlfn.RANK.EQ(E24,$D24:$R24,1)</f>
        <v>3</v>
      </c>
      <c r="Y24" s="7">
        <f t="shared" ref="Y24" si="93">_xlfn.RANK.EQ(F24,$D24:$R24,1)</f>
        <v>7</v>
      </c>
      <c r="Z24" s="7">
        <f t="shared" ref="Z24" si="94">_xlfn.RANK.EQ(G24,$D24:$R24,1)</f>
        <v>1</v>
      </c>
      <c r="AA24" s="7">
        <f t="shared" ref="AA24" si="95">_xlfn.RANK.EQ(H24,$D24:$R24,1)</f>
        <v>9</v>
      </c>
      <c r="AB24" s="7">
        <f t="shared" ref="AB24" si="96">_xlfn.RANK.EQ(I24,$D24:$R24,1)</f>
        <v>4</v>
      </c>
      <c r="AC24" s="7">
        <f t="shared" ref="AC24" si="97">_xlfn.RANK.EQ(J24,$D24:$R24,1)</f>
        <v>8</v>
      </c>
      <c r="AD24" s="7">
        <f t="shared" ref="AD24" si="98">_xlfn.RANK.EQ(K24,$D24:$R24,1)</f>
        <v>6</v>
      </c>
      <c r="AE24" s="7">
        <f t="shared" ref="AE24" si="99">_xlfn.RANK.EQ(L24,$D24:$R24,1)</f>
        <v>5</v>
      </c>
      <c r="AF24" s="7" t="e">
        <f t="shared" ref="AF24" si="100">_xlfn.RANK.EQ(M24,$D24:$R24,1)</f>
        <v>#N/A</v>
      </c>
      <c r="AG24" s="7" t="e">
        <f t="shared" ref="AG24" si="101">_xlfn.RANK.EQ(N24,$D24:$R24,1)</f>
        <v>#N/A</v>
      </c>
      <c r="AH24" s="7" t="e">
        <f t="shared" ref="AH24" si="102">_xlfn.RANK.EQ(O24,$D24:$R24,1)</f>
        <v>#N/A</v>
      </c>
      <c r="AI24" s="7" t="e">
        <f t="shared" ref="AI24" si="103">_xlfn.RANK.EQ(P24,$D24:$R24,1)</f>
        <v>#N/A</v>
      </c>
      <c r="AJ24" s="7" t="e">
        <f t="shared" ref="AJ24" si="104">_xlfn.RANK.EQ(Q24,$D24:$R24,1)</f>
        <v>#N/A</v>
      </c>
      <c r="AK24" s="7" t="e">
        <f t="shared" ref="AK24" si="105">_xlfn.RANK.EQ(R24,$D24:$R24,1)</f>
        <v>#N/A</v>
      </c>
    </row>
    <row r="25" x14ac:dyDescent="0.3">
      <c r="A25" s="22"/>
      <c r="B25" s="17" t="s">
        <v>302</v>
      </c>
      <c r="C25" s="4" t="s">
        <v>327</v>
      </c>
      <c r="D25" s="8">
        <v>0.43730309111209392</v>
      </c>
      <c r="E25" s="10">
        <v>1209.998382175326</v>
      </c>
      <c r="F25" s="10">
        <v>1575.1931968989688</v>
      </c>
      <c r="G25" s="10">
        <v>777.58776308740812</v>
      </c>
      <c r="H25" s="10">
        <v>1753.1064579085621</v>
      </c>
      <c r="I25" s="8">
        <v>1228.0914587633342</v>
      </c>
      <c r="J25" s="8">
        <v>1572.8642291496146</v>
      </c>
      <c r="K25" s="8">
        <v>713.12177713568803</v>
      </c>
      <c r="L25" s="8">
        <v>1563.9190013127181</v>
      </c>
      <c r="M25" s="10">
        <v>1257.3005246159275</v>
      </c>
      <c r="N25" s="10"/>
      <c r="O25" s="10"/>
      <c r="P25" s="10"/>
      <c r="Q25" s="10"/>
      <c r="R25" s="10"/>
      <c r="S25" s="4"/>
      <c r="T25" s="4" t="s">
        <v>11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x14ac:dyDescent="0.3">
      <c r="A26" s="22"/>
      <c r="B26" s="19" t="s">
        <v>302</v>
      </c>
      <c r="C26" s="5" t="s">
        <v>328</v>
      </c>
      <c r="D26" s="6">
        <v>2.6932291666666668</v>
      </c>
      <c r="E26" s="6">
        <v>0.41510416666666666</v>
      </c>
      <c r="F26" s="6">
        <v>0.40625</v>
      </c>
      <c r="G26" s="6">
        <v>0.24791666666666667</v>
      </c>
      <c r="H26" s="6">
        <v>0.30989583333333331</v>
      </c>
      <c r="I26" s="6">
        <v>0.25156250000000002</v>
      </c>
      <c r="J26" s="6">
        <v>11.756770833333333</v>
      </c>
      <c r="K26" s="6">
        <v>0.421875</v>
      </c>
      <c r="L26" s="6">
        <v>0.6171875</v>
      </c>
      <c r="M26" s="6">
        <v>0.25729166666666664</v>
      </c>
      <c r="N26" s="6"/>
      <c r="O26" s="6"/>
      <c r="P26" s="6"/>
      <c r="Q26" s="6"/>
      <c r="R26" s="6"/>
      <c r="S26" s="5"/>
      <c r="T26" s="5" t="s">
        <v>12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x14ac:dyDescent="0.3">
      <c r="A27" s="22"/>
      <c r="B27" s="21" t="s">
        <v>303</v>
      </c>
      <c r="C27" s="2" t="s">
        <v>329</v>
      </c>
      <c r="D27" s="3">
        <v>2968.6690341184699</v>
      </c>
      <c r="E27" s="3">
        <v>3175.8784151038294</v>
      </c>
      <c r="F27" s="3">
        <v>3190.1489440873961</v>
      </c>
      <c r="G27" s="3">
        <v>2901.1683550709254</v>
      </c>
      <c r="H27" s="3">
        <v>2896.5582132195395</v>
      </c>
      <c r="I27" s="3">
        <v>2929.5768837254777</v>
      </c>
      <c r="J27" s="3">
        <v>3126.3390361447946</v>
      </c>
      <c r="K27" s="3">
        <v>2869.588009703155</v>
      </c>
      <c r="L27" s="3">
        <v>3239.4956013937126</v>
      </c>
      <c r="M27" s="3">
        <v>2898.2239921277701</v>
      </c>
      <c r="N27" s="3"/>
      <c r="O27" s="3"/>
      <c r="P27" s="3"/>
      <c r="Q27" s="3"/>
      <c r="R27" s="3"/>
      <c r="S27" s="2" t="s">
        <v>8</v>
      </c>
      <c r="T27" s="2" t="s">
        <v>10</v>
      </c>
      <c r="W27" s="7">
        <f t="shared" ref="W27" si="106">_xlfn.RANK.EQ(D27,$D27:$R27,1)</f>
        <v>5</v>
      </c>
      <c r="X27" s="7">
        <f t="shared" ref="X27" si="107">_xlfn.RANK.EQ(E27,$D27:$R27,1)</f>
        <v>2</v>
      </c>
      <c r="Y27" s="7">
        <f t="shared" ref="Y27" si="108">_xlfn.RANK.EQ(F27,$D27:$R27,1)</f>
        <v>8</v>
      </c>
      <c r="Z27" s="7">
        <f t="shared" ref="Z27" si="109">_xlfn.RANK.EQ(G27,$D27:$R27,1)</f>
        <v>4</v>
      </c>
      <c r="AA27" s="7">
        <f t="shared" ref="AA27" si="110">_xlfn.RANK.EQ(H27,$D27:$R27,1)</f>
        <v>7</v>
      </c>
      <c r="AB27" s="7">
        <f t="shared" ref="AB27" si="111">_xlfn.RANK.EQ(I27,$D27:$R27,1)</f>
        <v>1</v>
      </c>
      <c r="AC27" s="7">
        <f t="shared" ref="AC27" si="112">_xlfn.RANK.EQ(J27,$D27:$R27,1)</f>
        <v>9</v>
      </c>
      <c r="AD27" s="7">
        <f t="shared" ref="AD27" si="113">_xlfn.RANK.EQ(K27,$D27:$R27,1)</f>
        <v>3</v>
      </c>
      <c r="AE27" s="7">
        <f t="shared" ref="AE27" si="114">_xlfn.RANK.EQ(L27,$D27:$R27,1)</f>
        <v>6</v>
      </c>
      <c r="AF27" s="7" t="e">
        <f t="shared" ref="AF27" si="115">_xlfn.RANK.EQ(M27,$D27:$R27,1)</f>
        <v>#N/A</v>
      </c>
      <c r="AG27" s="7" t="e">
        <f t="shared" ref="AG27" si="116">_xlfn.RANK.EQ(N27,$D27:$R27,1)</f>
        <v>#N/A</v>
      </c>
      <c r="AH27" s="7" t="e">
        <f t="shared" ref="AH27" si="117">_xlfn.RANK.EQ(O27,$D27:$R27,1)</f>
        <v>#N/A</v>
      </c>
      <c r="AI27" s="7" t="e">
        <f t="shared" ref="AI27" si="118">_xlfn.RANK.EQ(P27,$D27:$R27,1)</f>
        <v>#N/A</v>
      </c>
      <c r="AJ27" s="7" t="e">
        <f t="shared" ref="AJ27" si="119">_xlfn.RANK.EQ(Q27,$D27:$R27,1)</f>
        <v>#N/A</v>
      </c>
      <c r="AK27" s="7" t="e">
        <f t="shared" ref="AK27" si="120">_xlfn.RANK.EQ(R27,$D27:$R27,1)</f>
        <v>#N/A</v>
      </c>
    </row>
    <row r="28" x14ac:dyDescent="0.3">
      <c r="A28" s="22"/>
      <c r="B28" s="17" t="s">
        <v>303</v>
      </c>
      <c r="C28" s="4" t="s">
        <v>330</v>
      </c>
      <c r="D28" s="8">
        <v>65.14826772997904</v>
      </c>
      <c r="E28" s="10">
        <v>105.67448329129439</v>
      </c>
      <c r="F28" s="10">
        <v>127.39586160723806</v>
      </c>
      <c r="G28" s="10">
        <v>44.466723177148829</v>
      </c>
      <c r="H28" s="10">
        <v>32.869930019158922</v>
      </c>
      <c r="I28" s="8">
        <v>33.146388313122252</v>
      </c>
      <c r="J28" s="8">
        <v>122.74887569399225</v>
      </c>
      <c r="K28" s="8">
        <v>30.179805294783812</v>
      </c>
      <c r="L28" s="8">
        <v>81.217293223014337</v>
      </c>
      <c r="M28" s="10">
        <v>47.27595373825551</v>
      </c>
      <c r="N28" s="10"/>
      <c r="O28" s="10"/>
      <c r="P28" s="10"/>
      <c r="Q28" s="10"/>
      <c r="R28" s="10"/>
      <c r="S28" s="4"/>
      <c r="T28" s="4" t="s">
        <v>11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x14ac:dyDescent="0.3">
      <c r="A29" s="22"/>
      <c r="B29" s="19" t="s">
        <v>303</v>
      </c>
      <c r="C29" s="5" t="s">
        <v>331</v>
      </c>
      <c r="D29" s="6">
        <v>3.09375</v>
      </c>
      <c r="E29" s="6">
        <v>0.51249999999999996</v>
      </c>
      <c r="F29" s="6">
        <v>0.46145833333333336</v>
      </c>
      <c r="G29" s="6">
        <v>0.25468750000000001</v>
      </c>
      <c r="H29" s="6">
        <v>0.31614583333333335</v>
      </c>
      <c r="I29" s="6">
        <v>0.26822916666666669</v>
      </c>
      <c r="J29" s="6">
        <v>15.238020833333334</v>
      </c>
      <c r="K29" s="6">
        <v>0.58802083333333333</v>
      </c>
      <c r="L29" s="6">
        <v>0.65937500000000004</v>
      </c>
      <c r="M29" s="6">
        <v>0.29062500000000002</v>
      </c>
      <c r="N29" s="6"/>
      <c r="O29" s="6"/>
      <c r="P29" s="6"/>
      <c r="Q29" s="6"/>
      <c r="R29" s="6"/>
      <c r="S29" s="5"/>
      <c r="T29" s="5" t="s">
        <v>12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ht="14.4" customHeight="true" x14ac:dyDescent="0.3">
      <c r="A30" s="22"/>
      <c r="B30" s="21" t="s">
        <v>304</v>
      </c>
      <c r="C30" s="2" t="s">
        <v>332</v>
      </c>
      <c r="D30" s="3">
        <v>2971.126123771533</v>
      </c>
      <c r="E30" s="3">
        <v>3832.5654877265119</v>
      </c>
      <c r="F30" s="3">
        <v>2983.4734552642444</v>
      </c>
      <c r="G30" s="3">
        <v>2993.5080354036736</v>
      </c>
      <c r="H30" s="3">
        <v>2956.2660290804797</v>
      </c>
      <c r="I30" s="3">
        <v>2992.5081882942859</v>
      </c>
      <c r="J30" s="3">
        <v>3563.9322084465402</v>
      </c>
      <c r="K30" s="3">
        <v>2966.4659942186904</v>
      </c>
      <c r="L30" s="3">
        <v>2979.9995523749985</v>
      </c>
      <c r="M30" s="3">
        <v>3000.7865148134197</v>
      </c>
      <c r="N30" s="3"/>
      <c r="O30" s="3"/>
      <c r="P30" s="3"/>
      <c r="Q30" s="3"/>
      <c r="R30" s="3"/>
      <c r="S30" s="2" t="s">
        <v>9</v>
      </c>
      <c r="T30" s="2" t="s">
        <v>10</v>
      </c>
      <c r="W30" s="7">
        <f t="shared" ref="W30" si="121">_xlfn.RANK.EQ(D30,$D30:$R30,1)</f>
        <v>4</v>
      </c>
      <c r="X30" s="7">
        <f t="shared" ref="X30" si="122">_xlfn.RANK.EQ(E30,$D30:$R30,1)</f>
        <v>5</v>
      </c>
      <c r="Y30" s="7">
        <f t="shared" ref="Y30" si="123">_xlfn.RANK.EQ(F30,$D30:$R30,1)</f>
        <v>6</v>
      </c>
      <c r="Z30" s="7">
        <f t="shared" ref="Z30" si="124">_xlfn.RANK.EQ(G30,$D30:$R30,1)</f>
        <v>1</v>
      </c>
      <c r="AA30" s="7">
        <f t="shared" ref="AA30" si="125">_xlfn.RANK.EQ(H30,$D30:$R30,1)</f>
        <v>9</v>
      </c>
      <c r="AB30" s="7">
        <f t="shared" ref="AB30" si="126">_xlfn.RANK.EQ(I30,$D30:$R30,1)</f>
        <v>3</v>
      </c>
      <c r="AC30" s="7">
        <f t="shared" ref="AC30" si="127">_xlfn.RANK.EQ(J30,$D30:$R30,1)</f>
        <v>8</v>
      </c>
      <c r="AD30" s="7">
        <f t="shared" ref="AD30" si="128">_xlfn.RANK.EQ(K30,$D30:$R30,1)</f>
        <v>2</v>
      </c>
      <c r="AE30" s="7">
        <f t="shared" ref="AE30" si="129">_xlfn.RANK.EQ(L30,$D30:$R30,1)</f>
        <v>7</v>
      </c>
      <c r="AF30" s="7" t="e">
        <f t="shared" ref="AF30" si="130">_xlfn.RANK.EQ(M30,$D30:$R30,1)</f>
        <v>#N/A</v>
      </c>
      <c r="AG30" s="7" t="e">
        <f t="shared" ref="AG30" si="131">_xlfn.RANK.EQ(N30,$D30:$R30,1)</f>
        <v>#N/A</v>
      </c>
      <c r="AH30" s="7" t="e">
        <f t="shared" ref="AH30" si="132">_xlfn.RANK.EQ(O30,$D30:$R30,1)</f>
        <v>#N/A</v>
      </c>
      <c r="AI30" s="7" t="e">
        <f t="shared" ref="AI30" si="133">_xlfn.RANK.EQ(P30,$D30:$R30,1)</f>
        <v>#N/A</v>
      </c>
      <c r="AJ30" s="7" t="e">
        <f t="shared" ref="AJ30" si="134">_xlfn.RANK.EQ(Q30,$D30:$R30,1)</f>
        <v>#N/A</v>
      </c>
      <c r="AK30" s="7" t="e">
        <f t="shared" ref="AK30" si="135">_xlfn.RANK.EQ(R30,$D30:$R30,1)</f>
        <v>#N/A</v>
      </c>
    </row>
    <row r="31" x14ac:dyDescent="0.3">
      <c r="A31" s="22"/>
      <c r="B31" s="17" t="s">
        <v>304</v>
      </c>
      <c r="C31" s="4" t="s">
        <v>333</v>
      </c>
      <c r="D31" s="8">
        <v>28.911094065249461</v>
      </c>
      <c r="E31" s="10">
        <v>351.41475067189424</v>
      </c>
      <c r="F31" s="10">
        <v>23.428791844944964</v>
      </c>
      <c r="G31" s="10">
        <v>30.98209003121455</v>
      </c>
      <c r="H31" s="10">
        <v>28.91879852790143</v>
      </c>
      <c r="I31" s="8">
        <v>33.221016738656765</v>
      </c>
      <c r="J31" s="8">
        <v>785.91593899109512</v>
      </c>
      <c r="K31" s="8">
        <v>42.389280907036387</v>
      </c>
      <c r="L31" s="8">
        <v>30.320322093221005</v>
      </c>
      <c r="M31" s="10">
        <v>37.022324561652454</v>
      </c>
      <c r="N31" s="10"/>
      <c r="O31" s="10"/>
      <c r="P31" s="10"/>
      <c r="Q31" s="10"/>
      <c r="R31" s="10"/>
      <c r="S31" s="4"/>
      <c r="T31" s="4" t="s">
        <v>11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x14ac:dyDescent="0.3">
      <c r="A32" s="18"/>
      <c r="B32" s="19" t="s">
        <v>304</v>
      </c>
      <c r="C32" s="5" t="s">
        <v>334</v>
      </c>
      <c r="D32" s="6">
        <v>2.4895833333333335</v>
      </c>
      <c r="E32" s="6">
        <v>0.36927083333333333</v>
      </c>
      <c r="F32" s="6">
        <v>0.39374999999999999</v>
      </c>
      <c r="G32" s="6">
        <v>0.22916666666666666</v>
      </c>
      <c r="H32" s="6">
        <v>0.28072916666666664</v>
      </c>
      <c r="I32" s="6">
        <v>0.25104166666666666</v>
      </c>
      <c r="J32" s="6">
        <v>6.1427083333333332</v>
      </c>
      <c r="K32" s="6">
        <v>0.48177083333333331</v>
      </c>
      <c r="L32" s="6">
        <v>0.62291666666666667</v>
      </c>
      <c r="M32" s="6">
        <v>0.25416666666666665</v>
      </c>
      <c r="N32" s="6"/>
      <c r="O32" s="6"/>
      <c r="P32" s="6"/>
      <c r="Q32" s="6"/>
      <c r="R32" s="6"/>
      <c r="S32" s="5"/>
      <c r="T32" s="5" t="s">
        <v>12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ht="32.4" customHeight="true" x14ac:dyDescent="0.3">
      <c r="A33" s="20" t="s">
        <v>21</v>
      </c>
      <c r="B33" s="21"/>
      <c r="C33" s="21"/>
      <c r="D33" s="7">
        <f>COUNTIF(W3:W32,1)</f>
        <v>4</v>
      </c>
      <c r="E33" s="7">
        <f t="shared" ref="E33:R33" si="136">COUNTIF(X3:X32,1)</f>
        <v>1</v>
      </c>
      <c r="F33" s="7">
        <f t="shared" si="136"/>
        <v>1</v>
      </c>
      <c r="G33" s="7">
        <f t="shared" si="136"/>
        <v>3</v>
      </c>
      <c r="H33" s="7">
        <f t="shared" si="136"/>
        <v>1</v>
      </c>
      <c r="I33" s="7">
        <f t="shared" si="136"/>
        <v>2</v>
      </c>
      <c r="J33" s="7">
        <f t="shared" si="136"/>
        <v>1</v>
      </c>
      <c r="K33" s="7">
        <f t="shared" si="136"/>
        <v>3</v>
      </c>
      <c r="L33" s="7">
        <f t="shared" si="136"/>
        <v>2</v>
      </c>
      <c r="M33" s="7">
        <f t="shared" si="136"/>
        <v>0</v>
      </c>
      <c r="N33" s="7">
        <f t="shared" si="136"/>
        <v>0</v>
      </c>
      <c r="O33" s="7">
        <f t="shared" si="136"/>
        <v>0</v>
      </c>
      <c r="P33" s="7">
        <f t="shared" si="136"/>
        <v>0</v>
      </c>
      <c r="Q33" s="7">
        <f t="shared" si="136"/>
        <v>0</v>
      </c>
      <c r="R33" s="7">
        <f t="shared" si="136"/>
        <v>0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ht="32.4" customHeight="true" x14ac:dyDescent="0.3">
      <c r="A34" s="23" t="s">
        <v>22</v>
      </c>
      <c r="B34" s="17"/>
      <c r="C34" s="17"/>
      <c r="D34" s="7">
        <f>_xlfn.RANK.EQ(D33,$D33:$R33,0)</f>
        <v>1</v>
      </c>
      <c r="E34" s="7">
        <f t="shared" ref="E34:R34" si="137">_xlfn.RANK.EQ(E33,$D33:$R33,0)</f>
        <v>6</v>
      </c>
      <c r="F34" s="7">
        <f t="shared" si="137"/>
        <v>6</v>
      </c>
      <c r="G34" s="7">
        <f t="shared" si="137"/>
        <v>2</v>
      </c>
      <c r="H34" s="7">
        <f t="shared" si="137"/>
        <v>6</v>
      </c>
      <c r="I34" s="7">
        <f t="shared" si="137"/>
        <v>4</v>
      </c>
      <c r="J34" s="7">
        <f t="shared" si="137"/>
        <v>6</v>
      </c>
      <c r="K34" s="7">
        <f t="shared" si="137"/>
        <v>2</v>
      </c>
      <c r="L34" s="7">
        <f t="shared" si="137"/>
        <v>4</v>
      </c>
      <c r="M34" s="7">
        <f t="shared" si="137"/>
        <v>10</v>
      </c>
      <c r="N34" s="7">
        <f t="shared" si="137"/>
        <v>10</v>
      </c>
      <c r="O34" s="7">
        <f t="shared" si="137"/>
        <v>10</v>
      </c>
      <c r="P34" s="7">
        <f t="shared" si="137"/>
        <v>10</v>
      </c>
      <c r="Q34" s="7">
        <f t="shared" si="137"/>
        <v>10</v>
      </c>
      <c r="R34" s="7">
        <f t="shared" si="137"/>
        <v>10</v>
      </c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ht="32.4" customHeight="true" x14ac:dyDescent="0.3">
      <c r="A35" s="16" t="s">
        <v>23</v>
      </c>
      <c r="B35" s="17"/>
      <c r="C35" s="17"/>
      <c r="D35" s="9">
        <f>AVERAGE(W3:W32)</f>
        <v>2.5</v>
      </c>
      <c r="E35" s="9">
        <f t="shared" ref="E35:R35" si="138">AVERAGE(X3:X32)</f>
        <v>3.2</v>
      </c>
      <c r="F35" s="9">
        <f t="shared" si="138"/>
        <v>5.6</v>
      </c>
      <c r="G35" s="9">
        <f t="shared" si="138"/>
        <v>4.3</v>
      </c>
      <c r="H35" s="9">
        <f t="shared" si="138"/>
        <v>7.9</v>
      </c>
      <c r="I35" s="9">
        <f t="shared" si="138"/>
        <v>3</v>
      </c>
      <c r="J35" s="9">
        <f t="shared" si="138"/>
        <v>7</v>
      </c>
      <c r="K35" s="9">
        <f t="shared" si="138"/>
        <v>2.9</v>
      </c>
      <c r="L35" s="9">
        <f t="shared" si="138"/>
        <v>5</v>
      </c>
      <c r="M35" s="9" t="e">
        <f t="shared" si="138"/>
        <v>#N/A</v>
      </c>
      <c r="N35" s="9" t="e">
        <f t="shared" si="138"/>
        <v>#N/A</v>
      </c>
      <c r="O35" s="9" t="e">
        <f t="shared" si="138"/>
        <v>#N/A</v>
      </c>
      <c r="P35" s="9" t="e">
        <f t="shared" si="138"/>
        <v>#N/A</v>
      </c>
      <c r="Q35" s="9" t="e">
        <f t="shared" si="138"/>
        <v>#N/A</v>
      </c>
      <c r="R35" s="9" t="e">
        <f t="shared" si="138"/>
        <v>#N/A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ht="32.4" customHeight="true" x14ac:dyDescent="0.3">
      <c r="A36" s="18" t="s">
        <v>24</v>
      </c>
      <c r="B36" s="19"/>
      <c r="C36" s="19"/>
      <c r="D36" s="5" t="e">
        <f>_xlfn.RANK.EQ(D35,$D35:$R35,1)</f>
        <v>#N/A</v>
      </c>
      <c r="E36" s="5" t="e">
        <f t="shared" ref="E36:R36" si="139">_xlfn.RANK.EQ(E35,$D35:$R35,1)</f>
        <v>#N/A</v>
      </c>
      <c r="F36" s="5" t="e">
        <f t="shared" si="139"/>
        <v>#N/A</v>
      </c>
      <c r="G36" s="5" t="e">
        <f t="shared" si="139"/>
        <v>#N/A</v>
      </c>
      <c r="H36" s="5" t="e">
        <f t="shared" si="139"/>
        <v>#N/A</v>
      </c>
      <c r="I36" s="5" t="e">
        <f t="shared" si="139"/>
        <v>#N/A</v>
      </c>
      <c r="J36" s="5" t="e">
        <f t="shared" si="139"/>
        <v>#N/A</v>
      </c>
      <c r="K36" s="5" t="e">
        <f t="shared" si="139"/>
        <v>#N/A</v>
      </c>
      <c r="L36" s="5" t="e">
        <f t="shared" si="139"/>
        <v>#N/A</v>
      </c>
      <c r="M36" s="5" t="e">
        <f t="shared" si="139"/>
        <v>#N/A</v>
      </c>
      <c r="N36" s="5" t="e">
        <f t="shared" si="139"/>
        <v>#N/A</v>
      </c>
      <c r="O36" s="5" t="e">
        <f t="shared" si="139"/>
        <v>#N/A</v>
      </c>
      <c r="P36" s="5" t="e">
        <f t="shared" si="139"/>
        <v>#N/A</v>
      </c>
      <c r="Q36" s="5" t="e">
        <f t="shared" si="139"/>
        <v>#N/A</v>
      </c>
      <c r="R36" s="5" t="e">
        <f t="shared" si="139"/>
        <v>#N/A</v>
      </c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x14ac:dyDescent="0.3"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x14ac:dyDescent="0.3"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x14ac:dyDescent="0.3"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x14ac:dyDescent="0.3"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x14ac:dyDescent="0.3"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x14ac:dyDescent="0.3"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</sheetData>
  <mergeCells count="9">
    <mergeCell ref="A34:C34"/>
    <mergeCell ref="A1:R1"/>
    <mergeCell ref="A35:C35"/>
    <mergeCell ref="A36:C36"/>
    <mergeCell ref="A33:C33"/>
    <mergeCell ref="A3:A5"/>
    <mergeCell ref="A6:A14"/>
    <mergeCell ref="A15:A23"/>
    <mergeCell ref="A24:A32"/>
  </mergeCells>
  <phoneticPr fontId="3" type="noConversion"/>
  <conditionalFormatting sqref="D3:R3">
    <cfRule type="top10" dxfId="13" priority="20" bottom="true" rank="1"/>
  </conditionalFormatting>
  <conditionalFormatting sqref="D6:R6">
    <cfRule type="top10" dxfId="12" priority="9" bottom="true" rank="1"/>
  </conditionalFormatting>
  <conditionalFormatting sqref="D9:R9">
    <cfRule type="top10" dxfId="11" priority="8" bottom="true" rank="1"/>
  </conditionalFormatting>
  <conditionalFormatting sqref="D12:R12">
    <cfRule type="top10" dxfId="10" priority="7" bottom="true" rank="1"/>
  </conditionalFormatting>
  <conditionalFormatting sqref="D15:R15">
    <cfRule type="top10" dxfId="9" priority="6" bottom="true" rank="1"/>
  </conditionalFormatting>
  <conditionalFormatting sqref="D18:R18">
    <cfRule type="top10" dxfId="8" priority="5" bottom="true" rank="1"/>
  </conditionalFormatting>
  <conditionalFormatting sqref="D21:R21">
    <cfRule type="top10" dxfId="7" priority="4" bottom="true" rank="1"/>
  </conditionalFormatting>
  <conditionalFormatting sqref="D24:R24">
    <cfRule type="top10" dxfId="6" priority="3" bottom="true" rank="1"/>
  </conditionalFormatting>
  <conditionalFormatting sqref="D27:R27">
    <cfRule type="top10" dxfId="5" priority="2" bottom="true" rank="1"/>
  </conditionalFormatting>
  <conditionalFormatting sqref="D30:R30">
    <cfRule type="top10" dxfId="4" priority="1" bottom="true" rank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8.21875" bestFit="true" customWidth="true"/>
  </cols>
  <sheetData>
    <row r="1" ht="15" thickBot="true" x14ac:dyDescent="0.35">
      <c r="A1" s="26" t="s">
        <v>136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x14ac:dyDescent="0.3">
      <c r="A2" s="5" t="s">
        <v>341</v>
      </c>
      <c r="B2" s="5" t="s">
        <v>352</v>
      </c>
      <c r="C2" s="5" t="s">
        <v>353</v>
      </c>
      <c r="D2" s="5" t="s">
        <v>354</v>
      </c>
      <c r="E2" s="5" t="s">
        <v>355</v>
      </c>
      <c r="F2" s="5" t="s">
        <v>356</v>
      </c>
      <c r="G2" s="5" t="s">
        <v>206</v>
      </c>
      <c r="H2" s="5" t="s">
        <v>207</v>
      </c>
      <c r="I2" s="5" t="s">
        <v>208</v>
      </c>
      <c r="J2" s="5" t="s">
        <v>209</v>
      </c>
      <c r="K2" s="5"/>
      <c r="L2" s="5"/>
      <c r="M2" s="5"/>
      <c r="N2" s="5"/>
      <c r="O2" s="5"/>
    </row>
    <row r="3" x14ac:dyDescent="0.3">
      <c r="A3" s="13" t="s">
        <v>342</v>
      </c>
      <c r="B3" s="3">
        <v>1.5458043570763366e-16</v>
      </c>
      <c r="C3" s="3">
        <v>1.2428874030029868e-10</v>
      </c>
      <c r="D3" s="3">
        <v>1.6939979349630099e-06</v>
      </c>
      <c r="E3" s="3">
        <v>2.9184965866874052e-15</v>
      </c>
      <c r="F3" s="3">
        <v>7.0750498509546894e-11</v>
      </c>
      <c r="G3" s="3">
        <v>7.7619257180740655e-10</v>
      </c>
      <c r="H3" s="3">
        <v>0.32551082979872692</v>
      </c>
      <c r="I3" s="3">
        <v>1.5857272424760224e-08</v>
      </c>
      <c r="J3" s="3">
        <v>0.00035832334232643566</v>
      </c>
      <c r="K3" s="3">
        <v>1.432235011505569E-8</v>
      </c>
      <c r="L3" s="3"/>
      <c r="M3" s="3"/>
      <c r="N3" s="3"/>
      <c r="O3" s="3"/>
    </row>
    <row r="4" x14ac:dyDescent="0.3">
      <c r="A4" s="15" t="s">
        <v>343</v>
      </c>
      <c r="B4" s="10">
        <v>1.0416766714647268e-17</v>
      </c>
      <c r="C4" s="10">
        <v>1.519938289910496e-06</v>
      </c>
      <c r="D4" s="10">
        <v>0.087838489117895463</v>
      </c>
      <c r="E4" s="10">
        <v>0.0015609649729245989</v>
      </c>
      <c r="F4" s="10">
        <v>8.4258726430468674e-12</v>
      </c>
      <c r="G4" s="10">
        <v>1.3577169231866605e-18</v>
      </c>
      <c r="H4" s="10">
        <v>0.0031048022409433411</v>
      </c>
      <c r="I4" s="10">
        <v>5.3379200682355147e-06</v>
      </c>
      <c r="J4" s="10">
        <v>1.2007519060256345e-05</v>
      </c>
      <c r="K4" s="10">
        <v>0.47409360505894016</v>
      </c>
      <c r="L4" s="10"/>
      <c r="M4" s="10"/>
      <c r="N4" s="10"/>
      <c r="O4" s="10"/>
    </row>
    <row r="5" x14ac:dyDescent="0.3">
      <c r="A5" s="15" t="s">
        <v>344</v>
      </c>
      <c r="B5" s="10">
        <v>4.8716804864324363e-14</v>
      </c>
      <c r="C5" s="10">
        <v>1.1139684213357637e-07</v>
      </c>
      <c r="D5" s="10">
        <v>2.1811200175170595e-07</v>
      </c>
      <c r="E5" s="10">
        <v>1.8603685952194975e-14</v>
      </c>
      <c r="F5" s="10">
        <v>3.0974710462835286e-14</v>
      </c>
      <c r="G5" s="10">
        <v>7.3915352933919254e-13</v>
      </c>
      <c r="H5" s="10">
        <v>0.24074945496188094</v>
      </c>
      <c r="I5" s="10">
        <v>7.0694274491845401e-06</v>
      </c>
      <c r="J5" s="10">
        <v>0.051205027254967977</v>
      </c>
      <c r="K5" s="10">
        <v>1.5722288047450539E-4</v>
      </c>
      <c r="L5" s="10"/>
      <c r="M5" s="10"/>
      <c r="N5" s="10"/>
      <c r="O5" s="10"/>
    </row>
    <row r="6" x14ac:dyDescent="0.3">
      <c r="A6" s="15" t="s">
        <v>345</v>
      </c>
      <c r="B6" s="10">
        <v>0.025302180231207477</v>
      </c>
      <c r="C6" s="10">
        <v>4.8948274804361582e-08</v>
      </c>
      <c r="D6" s="10">
        <v>0.13284145748152254</v>
      </c>
      <c r="E6" s="10">
        <v>2.9040766285383407e-13</v>
      </c>
      <c r="F6" s="10">
        <v>0.33374015883365094</v>
      </c>
      <c r="G6" s="10">
        <v>0.0058848247536724954</v>
      </c>
      <c r="H6" s="10">
        <v>0.32506462416087956</v>
      </c>
      <c r="I6" s="10">
        <v>0.01627019762441655</v>
      </c>
      <c r="J6" s="10">
        <v>0.068758020255110311</v>
      </c>
      <c r="K6" s="10">
        <v>4.3246451891307191E-8</v>
      </c>
      <c r="L6" s="10"/>
      <c r="M6" s="10"/>
      <c r="N6" s="10"/>
      <c r="O6" s="10"/>
    </row>
    <row r="7" x14ac:dyDescent="0.3">
      <c r="A7" s="15" t="s">
        <v>346</v>
      </c>
      <c r="B7" s="10">
        <v>1.7572120518153695e-06</v>
      </c>
      <c r="C7" s="10">
        <v>2.9930330574548426e-06</v>
      </c>
      <c r="D7" s="10">
        <v>3.5386171746370499e-05</v>
      </c>
      <c r="E7" s="10">
        <v>8.1824000975112238e-07</v>
      </c>
      <c r="F7" s="10">
        <v>9.3119377670895152e-09</v>
      </c>
      <c r="G7" s="10">
        <v>3.324606662507886e-07</v>
      </c>
      <c r="H7" s="10">
        <v>7.548615553130278e-10</v>
      </c>
      <c r="I7" s="10">
        <v>3.964028395423139e-06</v>
      </c>
      <c r="J7" s="10">
        <v>9.5351481753280706e-06</v>
      </c>
      <c r="K7" s="10"/>
      <c r="L7" s="10"/>
      <c r="M7" s="10"/>
      <c r="N7" s="10"/>
      <c r="O7" s="10"/>
    </row>
    <row r="8" x14ac:dyDescent="0.3">
      <c r="A8" s="15" t="s">
        <v>347</v>
      </c>
      <c r="B8" s="10"/>
      <c r="C8" s="10"/>
      <c r="D8" s="10"/>
      <c r="E8" s="10"/>
      <c r="F8" s="10"/>
      <c r="G8" s="10"/>
      <c r="H8" s="10"/>
      <c r="I8" s="10"/>
      <c r="J8" s="10"/>
      <c r="K8" s="10">
        <v>2.3019060072475884E-6</v>
      </c>
      <c r="L8" s="10"/>
      <c r="M8" s="10"/>
      <c r="N8" s="10"/>
      <c r="O8" s="10"/>
    </row>
    <row r="9" x14ac:dyDescent="0.3">
      <c r="A9" s="15" t="s">
        <v>348</v>
      </c>
      <c r="B9" s="10">
        <v>9.9301400124655038e-05</v>
      </c>
      <c r="C9" s="10">
        <v>5.3456038463912046e-07</v>
      </c>
      <c r="D9" s="10">
        <v>6.3699481394425697e-06</v>
      </c>
      <c r="E9" s="10">
        <v>2.4464701676747492e-05</v>
      </c>
      <c r="F9" s="10">
        <v>1.9001504938320916e-07</v>
      </c>
      <c r="G9" s="10">
        <v>0.0012253634974915288</v>
      </c>
      <c r="H9" s="10">
        <v>0.00029589212055434832</v>
      </c>
      <c r="I9" s="10">
        <v>1.0123792544282958e-05</v>
      </c>
      <c r="J9" s="10">
        <v>6.2124600210708951e-05</v>
      </c>
      <c r="K9" s="10">
        <v>3.3463685091658845E-3</v>
      </c>
      <c r="L9" s="10"/>
      <c r="M9" s="10"/>
      <c r="N9" s="10"/>
      <c r="O9" s="10"/>
    </row>
    <row r="10" x14ac:dyDescent="0.3">
      <c r="A10" s="15" t="s">
        <v>349</v>
      </c>
      <c r="B10" s="10">
        <v>6.2847302396313374e-11</v>
      </c>
      <c r="C10" s="10">
        <v>4.1873579087321725e-05</v>
      </c>
      <c r="D10" s="10">
        <v>0.023991944963370808</v>
      </c>
      <c r="E10" s="10">
        <v>7.4396743419902756e-06</v>
      </c>
      <c r="F10" s="10">
        <v>1.3029011583181712e-05</v>
      </c>
      <c r="G10" s="10">
        <v>1.5267912609042391e-13</v>
      </c>
      <c r="H10" s="10">
        <v>0.090465725071153316</v>
      </c>
      <c r="I10" s="10">
        <v>1.5873427861938964e-06</v>
      </c>
      <c r="J10" s="10">
        <v>0.0031775389490467636</v>
      </c>
      <c r="K10" s="10">
        <v>4.7619204688229055E-2</v>
      </c>
      <c r="L10" s="10"/>
      <c r="M10" s="10"/>
      <c r="N10" s="10"/>
      <c r="O10" s="10"/>
    </row>
    <row r="11" x14ac:dyDescent="0.3">
      <c r="A11" s="15" t="s">
        <v>350</v>
      </c>
      <c r="B11" s="10">
        <v>4.8278088426613375e-11</v>
      </c>
      <c r="C11" s="10">
        <v>6.6978277497866266e-10</v>
      </c>
      <c r="D11" s="10">
        <v>5.9062852905587083e-05</v>
      </c>
      <c r="E11" s="10">
        <v>1.9420080705637674e-06</v>
      </c>
      <c r="F11" s="10">
        <v>0.0087072788546883172</v>
      </c>
      <c r="G11" s="10">
        <v>3.17394198797455e-08</v>
      </c>
      <c r="H11" s="10">
        <v>0.00087611491857564209</v>
      </c>
      <c r="I11" s="10">
        <v>1.810638892932423e-18</v>
      </c>
      <c r="J11" s="10">
        <v>0.2719954200323893</v>
      </c>
      <c r="K11" s="10">
        <v>3.5080135853480527E-5</v>
      </c>
      <c r="L11" s="10"/>
      <c r="M11" s="10"/>
      <c r="N11" s="10"/>
      <c r="O11" s="10"/>
    </row>
    <row r="12" x14ac:dyDescent="0.3">
      <c r="A12" s="14" t="s">
        <v>351</v>
      </c>
      <c r="B12" s="12">
        <v>6.2861489061035494e-14</v>
      </c>
      <c r="C12" s="12">
        <v>0.099712340170373184</v>
      </c>
      <c r="D12" s="12">
        <v>0.01197803223830312</v>
      </c>
      <c r="E12" s="12">
        <v>0.074408773532978423</v>
      </c>
      <c r="F12" s="12">
        <v>0.024143550991129553</v>
      </c>
      <c r="G12" s="12">
        <v>0.00023050385634890339</v>
      </c>
      <c r="H12" s="12">
        <v>0.68567592078997985</v>
      </c>
      <c r="I12" s="12">
        <v>0.08681102928179002</v>
      </c>
      <c r="J12" s="12">
        <v>0.0018679606673186525</v>
      </c>
      <c r="K12" s="12"/>
      <c r="L12" s="12"/>
      <c r="M12" s="12"/>
      <c r="N12" s="12"/>
      <c r="O12" s="12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>
      <selection activeCell="O2" sqref="A1:O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2" bestFit="true" customWidth="true"/>
  </cols>
  <sheetData>
    <row r="1" ht="15" thickBot="true" x14ac:dyDescent="0.35">
      <c r="A1" s="26" t="s">
        <v>137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x14ac:dyDescent="0.3">
      <c r="A2" s="5" t="s">
        <v>357</v>
      </c>
      <c r="B2" s="5" t="s">
        <v>368</v>
      </c>
      <c r="C2" s="5" t="s">
        <v>369</v>
      </c>
      <c r="D2" s="5" t="s">
        <v>370</v>
      </c>
      <c r="E2" s="5" t="s">
        <v>371</v>
      </c>
      <c r="F2" s="5" t="s">
        <v>372</v>
      </c>
      <c r="G2" s="5" t="s">
        <v>226</v>
      </c>
      <c r="H2" s="5" t="s">
        <v>227</v>
      </c>
      <c r="I2" s="5" t="s">
        <v>228</v>
      </c>
      <c r="J2" s="5" t="s">
        <v>229</v>
      </c>
      <c r="K2" s="5"/>
      <c r="L2" s="5"/>
      <c r="M2" s="5"/>
      <c r="N2" s="5"/>
      <c r="O2" s="5"/>
    </row>
    <row r="3" x14ac:dyDescent="0.3">
      <c r="A3" s="2" t="s">
        <v>358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0</v>
      </c>
      <c r="I3" s="27">
        <v>1</v>
      </c>
      <c r="J3" s="27">
        <v>1</v>
      </c>
      <c r="K3" s="27">
        <v>1</v>
      </c>
      <c r="L3" s="27"/>
      <c r="M3" s="27"/>
      <c r="N3" s="27"/>
      <c r="O3" s="27"/>
    </row>
    <row r="4" x14ac:dyDescent="0.3">
      <c r="A4" s="11" t="s">
        <v>359</v>
      </c>
      <c r="B4" s="28">
        <v>1</v>
      </c>
      <c r="C4" s="28">
        <v>1</v>
      </c>
      <c r="D4" s="28">
        <v>0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0</v>
      </c>
      <c r="L4" s="28"/>
      <c r="M4" s="28"/>
      <c r="N4" s="28"/>
      <c r="O4" s="28"/>
    </row>
    <row r="5" x14ac:dyDescent="0.3">
      <c r="A5" s="11" t="s">
        <v>360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0</v>
      </c>
      <c r="I5" s="28">
        <v>1</v>
      </c>
      <c r="J5" s="28">
        <v>0</v>
      </c>
      <c r="K5" s="28">
        <v>1</v>
      </c>
      <c r="L5" s="28"/>
      <c r="M5" s="28"/>
      <c r="N5" s="28"/>
      <c r="O5" s="28"/>
    </row>
    <row r="6" x14ac:dyDescent="0.3">
      <c r="A6" s="11" t="s">
        <v>361</v>
      </c>
      <c r="B6" s="28">
        <v>1</v>
      </c>
      <c r="C6" s="28">
        <v>1</v>
      </c>
      <c r="D6" s="28">
        <v>0</v>
      </c>
      <c r="E6" s="28">
        <v>1</v>
      </c>
      <c r="F6" s="28">
        <v>0</v>
      </c>
      <c r="G6" s="28">
        <v>1</v>
      </c>
      <c r="H6" s="28">
        <v>0</v>
      </c>
      <c r="I6" s="28">
        <v>1</v>
      </c>
      <c r="J6" s="28">
        <v>0</v>
      </c>
      <c r="K6" s="28">
        <v>1</v>
      </c>
      <c r="L6" s="28"/>
      <c r="M6" s="28"/>
      <c r="N6" s="28"/>
      <c r="O6" s="28"/>
    </row>
    <row r="7" x14ac:dyDescent="0.3">
      <c r="A7" s="11" t="s">
        <v>362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/>
      <c r="L7" s="28"/>
      <c r="M7" s="28"/>
      <c r="N7" s="28"/>
      <c r="O7" s="28"/>
    </row>
    <row r="8" x14ac:dyDescent="0.3">
      <c r="A8" s="11" t="s">
        <v>363</v>
      </c>
      <c r="B8" s="28"/>
      <c r="C8" s="28"/>
      <c r="D8" s="28"/>
      <c r="E8" s="28"/>
      <c r="F8" s="28"/>
      <c r="G8" s="28"/>
      <c r="H8" s="28"/>
      <c r="I8" s="28"/>
      <c r="J8" s="28"/>
      <c r="K8" s="28">
        <v>1</v>
      </c>
      <c r="L8" s="28"/>
      <c r="M8" s="28"/>
      <c r="N8" s="28"/>
      <c r="O8" s="28"/>
    </row>
    <row r="9" x14ac:dyDescent="0.3">
      <c r="A9" s="11" t="s">
        <v>364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/>
      <c r="M9" s="28"/>
      <c r="N9" s="28"/>
      <c r="O9" s="28"/>
    </row>
    <row r="10" x14ac:dyDescent="0.3">
      <c r="A10" s="11" t="s">
        <v>365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0</v>
      </c>
      <c r="I10" s="28">
        <v>1</v>
      </c>
      <c r="J10" s="28">
        <v>1</v>
      </c>
      <c r="K10" s="28">
        <v>1</v>
      </c>
      <c r="L10" s="28"/>
      <c r="M10" s="28"/>
      <c r="N10" s="28"/>
      <c r="O10" s="28"/>
    </row>
    <row r="11" x14ac:dyDescent="0.3">
      <c r="A11" s="11" t="s">
        <v>366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0</v>
      </c>
      <c r="K11" s="28">
        <v>1</v>
      </c>
      <c r="L11" s="28"/>
      <c r="M11" s="28"/>
      <c r="N11" s="28"/>
      <c r="O11" s="28"/>
    </row>
    <row r="12" x14ac:dyDescent="0.3">
      <c r="A12" s="5" t="s">
        <v>367</v>
      </c>
      <c r="B12" s="29">
        <v>1</v>
      </c>
      <c r="C12" s="29">
        <v>0</v>
      </c>
      <c r="D12" s="29">
        <v>1</v>
      </c>
      <c r="E12" s="29">
        <v>0</v>
      </c>
      <c r="F12" s="29">
        <v>1</v>
      </c>
      <c r="G12" s="29">
        <v>1</v>
      </c>
      <c r="H12" s="29">
        <v>0</v>
      </c>
      <c r="I12" s="29">
        <v>0</v>
      </c>
      <c r="J12" s="29">
        <v>1</v>
      </c>
      <c r="K12" s="29"/>
      <c r="L12" s="29"/>
      <c r="M12" s="29"/>
      <c r="N12" s="29"/>
      <c r="O12" s="29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>
      <selection sqref="A1:XFD1048576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8" max="8" width="15.37890625" bestFit="true" customWidth="true"/>
    <col min="10" max="10" width="15.37890625" customWidth="true"/>
  </cols>
  <sheetData>
    <row r="1" ht="15" thickBot="true" x14ac:dyDescent="0.35">
      <c r="A1" s="26" t="s">
        <v>120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x14ac:dyDescent="0.3">
      <c r="A2" s="14" t="s">
        <v>373</v>
      </c>
      <c r="B2" s="14" t="s">
        <v>384</v>
      </c>
      <c r="C2" s="14" t="s">
        <v>385</v>
      </c>
      <c r="D2" s="14" t="s">
        <v>386</v>
      </c>
      <c r="E2" s="14" t="s">
        <v>387</v>
      </c>
      <c r="F2" s="14" t="s">
        <v>388</v>
      </c>
      <c r="G2" s="14" t="s">
        <v>246</v>
      </c>
      <c r="H2" s="14" t="s">
        <v>247</v>
      </c>
      <c r="I2" s="14" t="s">
        <v>248</v>
      </c>
      <c r="J2" s="14" t="s">
        <v>249</v>
      </c>
      <c r="K2" s="14"/>
      <c r="L2" s="14"/>
      <c r="M2" s="14"/>
      <c r="N2" s="14"/>
      <c r="O2" s="14"/>
    </row>
    <row r="3" x14ac:dyDescent="0.3">
      <c r="A3" s="13" t="s">
        <v>374</v>
      </c>
      <c r="B3" s="3">
        <v>1.7343976283205826e-06</v>
      </c>
      <c r="C3" s="3">
        <v>1.7343976283205826e-06</v>
      </c>
      <c r="D3" s="3">
        <v>0.00016046383716795373</v>
      </c>
      <c r="E3" s="3">
        <v>1.7343976283205826e-06</v>
      </c>
      <c r="F3" s="3">
        <v>1.7343976283205826e-06</v>
      </c>
      <c r="G3" s="3">
        <v>1.7343976283205826e-06</v>
      </c>
      <c r="H3" s="3">
        <v>0.00020515292261877847</v>
      </c>
      <c r="I3" s="3">
        <v>1.7343976283205826e-06</v>
      </c>
      <c r="J3" s="3">
        <v>1.7343976283205826e-06</v>
      </c>
      <c r="K3" s="3"/>
      <c r="L3" s="3"/>
      <c r="M3" s="3"/>
      <c r="N3" s="3"/>
      <c r="O3" s="3"/>
    </row>
    <row r="4" x14ac:dyDescent="0.3">
      <c r="A4" s="15" t="s">
        <v>375</v>
      </c>
      <c r="B4" s="10">
        <v>1.7343976283205826e-06</v>
      </c>
      <c r="C4" s="10">
        <v>3.1123151153729202e-05</v>
      </c>
      <c r="D4" s="10">
        <v>0.11092566512553102</v>
      </c>
      <c r="E4" s="10">
        <v>0.0024147041360347552</v>
      </c>
      <c r="F4" s="10">
        <v>1.7343976283205826e-06</v>
      </c>
      <c r="G4" s="10">
        <v>1.7343976283205826e-06</v>
      </c>
      <c r="H4" s="10">
        <v>0.0060350064738120468</v>
      </c>
      <c r="I4" s="10">
        <v>5.3069919380911133e-05</v>
      </c>
      <c r="J4" s="10">
        <v>4.4493372834531134e-05</v>
      </c>
      <c r="K4" s="10"/>
      <c r="L4" s="10"/>
      <c r="M4" s="10"/>
      <c r="N4" s="10"/>
      <c r="O4" s="10"/>
    </row>
    <row r="5" x14ac:dyDescent="0.3">
      <c r="A5" s="15" t="s">
        <v>376</v>
      </c>
      <c r="B5" s="10">
        <v>1.9209211049031476e-06</v>
      </c>
      <c r="C5" s="10">
        <v>7.6908593028485401e-06</v>
      </c>
      <c r="D5" s="10">
        <v>8.4660816903838918e-06</v>
      </c>
      <c r="E5" s="10">
        <v>1.7343976283205826e-06</v>
      </c>
      <c r="F5" s="10">
        <v>1.7343976283205826e-06</v>
      </c>
      <c r="G5" s="10">
        <v>1.7343976283205826e-06</v>
      </c>
      <c r="H5" s="10">
        <v>0.12044472790832518</v>
      </c>
      <c r="I5" s="10">
        <v>4.4493372834531134e-05</v>
      </c>
      <c r="J5" s="10">
        <v>0.018518974697467733</v>
      </c>
      <c r="K5" s="10"/>
      <c r="L5" s="10"/>
      <c r="M5" s="10"/>
      <c r="N5" s="10"/>
      <c r="O5" s="10"/>
    </row>
    <row r="6" x14ac:dyDescent="0.3">
      <c r="A6" s="15" t="s">
        <v>377</v>
      </c>
      <c r="B6" s="10">
        <v>1.7343976283205826e-06</v>
      </c>
      <c r="C6" s="10">
        <v>6.3391355731224854e-06</v>
      </c>
      <c r="D6" s="10">
        <v>0.015658483342200588</v>
      </c>
      <c r="E6" s="10">
        <v>1.9209211049031476e-06</v>
      </c>
      <c r="F6" s="10">
        <v>0.14703957864345266</v>
      </c>
      <c r="G6" s="10">
        <v>1.7343976283205826e-06</v>
      </c>
      <c r="H6" s="10">
        <v>0.86121251973583812</v>
      </c>
      <c r="I6" s="10">
        <v>0.0098421424016931561</v>
      </c>
      <c r="J6" s="10">
        <v>8.4660816903838918e-06</v>
      </c>
      <c r="K6" s="10"/>
      <c r="L6" s="10"/>
      <c r="M6" s="10"/>
      <c r="N6" s="10"/>
      <c r="O6" s="10"/>
    </row>
    <row r="7" x14ac:dyDescent="0.3">
      <c r="A7" s="15" t="s">
        <v>378</v>
      </c>
      <c r="B7" s="10">
        <v>1.7343976283205826e-06</v>
      </c>
      <c r="C7" s="10">
        <v>2.6033283895389329e-06</v>
      </c>
      <c r="D7" s="10">
        <v>2.3534209951215406e-06</v>
      </c>
      <c r="E7" s="10">
        <v>2.8785992193943049e-06</v>
      </c>
      <c r="F7" s="10">
        <v>1.7343976283205826e-06</v>
      </c>
      <c r="G7" s="10">
        <v>1.7343976283205826e-06</v>
      </c>
      <c r="H7" s="10">
        <v>1.7343976283205826e-06</v>
      </c>
      <c r="I7" s="10">
        <v>1.7343976283205826e-06</v>
      </c>
      <c r="J7" s="10">
        <v>1.7343976283205826e-06</v>
      </c>
      <c r="K7" s="10"/>
      <c r="L7" s="10"/>
      <c r="M7" s="10"/>
      <c r="N7" s="10"/>
      <c r="O7" s="10"/>
    </row>
    <row r="8" x14ac:dyDescent="0.3">
      <c r="A8" s="15" t="s">
        <v>379</v>
      </c>
      <c r="B8" s="10">
        <v>1</v>
      </c>
      <c r="C8" s="10">
        <v>1</v>
      </c>
      <c r="D8" s="10">
        <v>1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  <c r="K8" s="10"/>
      <c r="L8" s="10"/>
      <c r="M8" s="10"/>
      <c r="N8" s="10"/>
      <c r="O8" s="10"/>
    </row>
    <row r="9" x14ac:dyDescent="0.3">
      <c r="A9" s="15" t="s">
        <v>380</v>
      </c>
      <c r="B9" s="10">
        <v>1.9209211049031476e-06</v>
      </c>
      <c r="C9" s="10">
        <v>1.9209211049031476e-06</v>
      </c>
      <c r="D9" s="10">
        <v>5.216493447033382e-06</v>
      </c>
      <c r="E9" s="10">
        <v>9.3156585911051691e-06</v>
      </c>
      <c r="F9" s="10">
        <v>1.7343976283205826e-06</v>
      </c>
      <c r="G9" s="10">
        <v>1.7343976283205826e-06</v>
      </c>
      <c r="H9" s="10">
        <v>1.9209211049031476e-06</v>
      </c>
      <c r="I9" s="10">
        <v>1.7343976283205826e-06</v>
      </c>
      <c r="J9" s="10">
        <v>1.7343976283205826e-06</v>
      </c>
      <c r="K9" s="10"/>
      <c r="L9" s="10"/>
      <c r="M9" s="10"/>
      <c r="N9" s="10"/>
      <c r="O9" s="10"/>
    </row>
    <row r="10" x14ac:dyDescent="0.3">
      <c r="A10" s="15" t="s">
        <v>381</v>
      </c>
      <c r="B10" s="10">
        <v>1.7343976283205826e-06</v>
      </c>
      <c r="C10" s="10">
        <v>1.9209211049031476e-06</v>
      </c>
      <c r="D10" s="10">
        <v>1.7343976283205826e-06</v>
      </c>
      <c r="E10" s="10">
        <v>0.0087296677536022934</v>
      </c>
      <c r="F10" s="10">
        <v>1.7343976283205826e-06</v>
      </c>
      <c r="G10" s="10">
        <v>1.7343976283205826e-06</v>
      </c>
      <c r="H10" s="10">
        <v>0.014795424247745157</v>
      </c>
      <c r="I10" s="10">
        <v>2.6033283895389329e-06</v>
      </c>
      <c r="J10" s="10">
        <v>2.8785992193943049e-06</v>
      </c>
      <c r="K10" s="10"/>
      <c r="L10" s="10"/>
      <c r="M10" s="10"/>
      <c r="N10" s="10"/>
      <c r="O10" s="10"/>
    </row>
    <row r="11" x14ac:dyDescent="0.3">
      <c r="A11" s="15" t="s">
        <v>382</v>
      </c>
      <c r="B11" s="10">
        <v>2.3534209951215406e-06</v>
      </c>
      <c r="C11" s="10">
        <v>3.5152372790448369e-06</v>
      </c>
      <c r="D11" s="10">
        <v>0.00033172583107638008</v>
      </c>
      <c r="E11" s="10">
        <v>5.7924461897570237e-05</v>
      </c>
      <c r="F11" s="10">
        <v>0.011748106348302917</v>
      </c>
      <c r="G11" s="10">
        <v>2.6033283895389329e-06</v>
      </c>
      <c r="H11" s="10">
        <v>0.0011973381999984534</v>
      </c>
      <c r="I11" s="10">
        <v>1.7343976283205826e-06</v>
      </c>
      <c r="J11" s="10">
        <v>0.45280650466919581</v>
      </c>
      <c r="K11" s="10"/>
      <c r="L11" s="10"/>
      <c r="M11" s="10"/>
      <c r="N11" s="10"/>
      <c r="O11" s="10"/>
    </row>
    <row r="12" x14ac:dyDescent="0.3">
      <c r="A12" s="14" t="s">
        <v>383</v>
      </c>
      <c r="B12" s="12">
        <v>1.7343976283205826e-06</v>
      </c>
      <c r="C12" s="12">
        <v>0.062682812499579812</v>
      </c>
      <c r="D12" s="12">
        <v>0.036826128416090328</v>
      </c>
      <c r="E12" s="12">
        <v>0.049498046027749786</v>
      </c>
      <c r="F12" s="12">
        <v>0.035008956819850154</v>
      </c>
      <c r="G12" s="12">
        <v>1.7343976283205826e-06</v>
      </c>
      <c r="H12" s="12">
        <v>0.94261051245765115</v>
      </c>
      <c r="I12" s="12">
        <v>0.11092566512553102</v>
      </c>
      <c r="J12" s="12">
        <v>0.0033788544377188557</v>
      </c>
      <c r="K12" s="12"/>
      <c r="L12" s="12"/>
      <c r="M12" s="12"/>
      <c r="N12" s="12"/>
      <c r="O12" s="12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>
      <selection activeCell="G25" sqref="G25"/>
    </sheetView>
  </sheetViews>
  <sheetFormatPr defaultRowHeight="14.4" x14ac:dyDescent="0.3"/>
  <cols>
    <col min="1" max="1" width="8.15625" bestFit="true" customWidth="true"/>
    <col min="2" max="2" width="16.82421875" bestFit="true" customWidth="true"/>
    <col min="3" max="3" width="17.48828125" bestFit="true" customWidth="true"/>
    <col min="4" max="4" width="18.046875" bestFit="true" customWidth="true"/>
    <col min="5" max="5" width="16.93359375" bestFit="true" customWidth="true"/>
    <col min="6" max="6" width="16.046875" bestFit="true" customWidth="true"/>
    <col min="7" max="7" width="14.046875" bestFit="true" customWidth="true"/>
    <col min="9" max="9" width="14.37890625" bestFit="true" customWidth="true"/>
    <col min="10" max="10" width="15.37890625" bestFit="true" customWidth="true"/>
    <col min="8" max="8" width="15.37890625" bestFit="true" customWidth="true"/>
    <col min="11" max="11" width="2" bestFit="true" customWidth="true"/>
  </cols>
  <sheetData>
    <row r="1" ht="15" thickBot="true" x14ac:dyDescent="0.35">
      <c r="A1" s="26" t="s">
        <v>138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x14ac:dyDescent="0.3">
      <c r="A2" s="5" t="s">
        <v>389</v>
      </c>
      <c r="B2" s="5" t="s">
        <v>400</v>
      </c>
      <c r="C2" s="5" t="s">
        <v>401</v>
      </c>
      <c r="D2" s="5" t="s">
        <v>402</v>
      </c>
      <c r="E2" s="5" t="s">
        <v>403</v>
      </c>
      <c r="F2" s="5" t="s">
        <v>404</v>
      </c>
      <c r="G2" s="5" t="s">
        <v>266</v>
      </c>
      <c r="H2" s="5" t="s">
        <v>267</v>
      </c>
      <c r="I2" s="5" t="s">
        <v>268</v>
      </c>
      <c r="J2" s="5" t="s">
        <v>269</v>
      </c>
      <c r="K2" s="5"/>
      <c r="L2" s="5"/>
      <c r="M2" s="5"/>
      <c r="N2" s="5"/>
      <c r="O2" s="5"/>
    </row>
    <row r="3" x14ac:dyDescent="0.3">
      <c r="A3" s="2" t="s">
        <v>390</v>
      </c>
      <c r="B3" s="27">
        <v>1</v>
      </c>
      <c r="C3" s="27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7">
        <v>1</v>
      </c>
      <c r="K3" s="27">
        <v>1</v>
      </c>
      <c r="L3" s="27"/>
      <c r="M3" s="27"/>
      <c r="N3" s="27"/>
      <c r="O3" s="27"/>
    </row>
    <row r="4" x14ac:dyDescent="0.3">
      <c r="A4" s="11" t="s">
        <v>391</v>
      </c>
      <c r="B4" s="28">
        <v>1</v>
      </c>
      <c r="C4" s="28">
        <v>1</v>
      </c>
      <c r="D4" s="28">
        <v>0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28">
        <v>1</v>
      </c>
      <c r="K4" s="28">
        <v>0</v>
      </c>
      <c r="L4" s="28"/>
      <c r="M4" s="28"/>
      <c r="N4" s="28"/>
      <c r="O4" s="28"/>
    </row>
    <row r="5" x14ac:dyDescent="0.3">
      <c r="A5" s="11" t="s">
        <v>392</v>
      </c>
      <c r="B5" s="28">
        <v>1</v>
      </c>
      <c r="C5" s="28">
        <v>1</v>
      </c>
      <c r="D5" s="28">
        <v>1</v>
      </c>
      <c r="E5" s="28">
        <v>1</v>
      </c>
      <c r="F5" s="28">
        <v>1</v>
      </c>
      <c r="G5" s="28">
        <v>1</v>
      </c>
      <c r="H5" s="28">
        <v>0</v>
      </c>
      <c r="I5" s="28">
        <v>1</v>
      </c>
      <c r="J5" s="28">
        <v>1</v>
      </c>
      <c r="K5" s="28">
        <v>1</v>
      </c>
      <c r="L5" s="28"/>
      <c r="M5" s="28"/>
      <c r="N5" s="28"/>
      <c r="O5" s="28"/>
    </row>
    <row r="6" x14ac:dyDescent="0.3">
      <c r="A6" s="11" t="s">
        <v>393</v>
      </c>
      <c r="B6" s="28">
        <v>1</v>
      </c>
      <c r="C6" s="28">
        <v>1</v>
      </c>
      <c r="D6" s="28">
        <v>1</v>
      </c>
      <c r="E6" s="28">
        <v>1</v>
      </c>
      <c r="F6" s="28">
        <v>0</v>
      </c>
      <c r="G6" s="28">
        <v>1</v>
      </c>
      <c r="H6" s="28">
        <v>0</v>
      </c>
      <c r="I6" s="28">
        <v>1</v>
      </c>
      <c r="J6" s="28">
        <v>1</v>
      </c>
      <c r="K6" s="28">
        <v>1</v>
      </c>
      <c r="L6" s="28"/>
      <c r="M6" s="28"/>
      <c r="N6" s="28"/>
      <c r="O6" s="28"/>
    </row>
    <row r="7" x14ac:dyDescent="0.3">
      <c r="A7" s="11" t="s">
        <v>394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28">
        <v>0</v>
      </c>
      <c r="L7" s="28"/>
      <c r="M7" s="28"/>
      <c r="N7" s="28"/>
      <c r="O7" s="28"/>
    </row>
    <row r="8" x14ac:dyDescent="0.3">
      <c r="A8" s="11" t="s">
        <v>395</v>
      </c>
      <c r="B8" s="28">
        <v>0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1</v>
      </c>
      <c r="L8" s="28"/>
      <c r="M8" s="28"/>
      <c r="N8" s="28"/>
      <c r="O8" s="28"/>
    </row>
    <row r="9" x14ac:dyDescent="0.3">
      <c r="A9" s="11" t="s">
        <v>396</v>
      </c>
      <c r="B9" s="28">
        <v>1</v>
      </c>
      <c r="C9" s="28">
        <v>1</v>
      </c>
      <c r="D9" s="28">
        <v>1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28">
        <v>1</v>
      </c>
      <c r="L9" s="28"/>
      <c r="M9" s="28"/>
      <c r="N9" s="28"/>
      <c r="O9" s="28"/>
    </row>
    <row r="10" x14ac:dyDescent="0.3">
      <c r="A10" s="11" t="s">
        <v>397</v>
      </c>
      <c r="B10" s="28">
        <v>1</v>
      </c>
      <c r="C10" s="28">
        <v>1</v>
      </c>
      <c r="D10" s="28">
        <v>1</v>
      </c>
      <c r="E10" s="28">
        <v>1</v>
      </c>
      <c r="F10" s="28">
        <v>1</v>
      </c>
      <c r="G10" s="28">
        <v>1</v>
      </c>
      <c r="H10" s="28">
        <v>1</v>
      </c>
      <c r="I10" s="28">
        <v>1</v>
      </c>
      <c r="J10" s="28">
        <v>1</v>
      </c>
      <c r="K10" s="28">
        <v>1</v>
      </c>
      <c r="L10" s="28"/>
      <c r="M10" s="28"/>
      <c r="N10" s="28"/>
      <c r="O10" s="28"/>
    </row>
    <row r="11" x14ac:dyDescent="0.3">
      <c r="A11" s="11" t="s">
        <v>398</v>
      </c>
      <c r="B11" s="28">
        <v>1</v>
      </c>
      <c r="C11" s="28">
        <v>1</v>
      </c>
      <c r="D11" s="28">
        <v>1</v>
      </c>
      <c r="E11" s="28">
        <v>1</v>
      </c>
      <c r="F11" s="28">
        <v>1</v>
      </c>
      <c r="G11" s="28">
        <v>1</v>
      </c>
      <c r="H11" s="28">
        <v>1</v>
      </c>
      <c r="I11" s="28">
        <v>1</v>
      </c>
      <c r="J11" s="28">
        <v>0</v>
      </c>
      <c r="K11" s="28">
        <v>1</v>
      </c>
      <c r="L11" s="28"/>
      <c r="M11" s="28"/>
      <c r="N11" s="28"/>
      <c r="O11" s="28"/>
    </row>
    <row r="12" x14ac:dyDescent="0.3">
      <c r="A12" s="5" t="s">
        <v>399</v>
      </c>
      <c r="B12" s="29">
        <v>1</v>
      </c>
      <c r="C12" s="29">
        <v>0</v>
      </c>
      <c r="D12" s="29">
        <v>1</v>
      </c>
      <c r="E12" s="29">
        <v>1</v>
      </c>
      <c r="F12" s="29">
        <v>1</v>
      </c>
      <c r="G12" s="29">
        <v>1</v>
      </c>
      <c r="H12" s="29">
        <v>0</v>
      </c>
      <c r="I12" s="29">
        <v>0</v>
      </c>
      <c r="J12" s="29">
        <v>1</v>
      </c>
      <c r="K12" s="29"/>
      <c r="L12" s="29"/>
      <c r="M12" s="29"/>
      <c r="N12" s="29"/>
      <c r="O12" s="29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2"/>
  <sheetViews>
    <sheetView workbookViewId="0">
      <selection activeCell="E18" sqref="E18"/>
    </sheetView>
  </sheetViews>
  <sheetFormatPr defaultRowHeight="14.4" x14ac:dyDescent="0.3"/>
  <cols>
    <col min="1" max="1" width="8.15625" style="7" bestFit="true" customWidth="true"/>
    <col min="2" max="2" width="16.82421875" style="7" bestFit="true" customWidth="true"/>
    <col min="3" max="3" width="17.48828125" style="7" bestFit="true" customWidth="true"/>
    <col min="4" max="4" width="18.046875" style="7" bestFit="true" customWidth="true"/>
    <col min="5" max="5" width="16.93359375" style="7" bestFit="true" customWidth="true"/>
    <col min="6" max="6" width="16.046875" style="7" bestFit="true" customWidth="true"/>
    <col min="7" max="7" width="14.046875" style="7" bestFit="true" customWidth="true"/>
    <col min="9" max="9" width="14.37890625" style="7" bestFit="true" customWidth="true"/>
    <col min="10" max="10" width="15.37890625" style="7" bestFit="true" customWidth="true"/>
    <col min="12" max="16384" width="8.88671875" style="7"/>
    <col min="8" max="8" width="15.37890625" style="7" bestFit="true" customWidth="true"/>
    <col min="11" max="11" width="4" style="7" bestFit="true" customWidth="true"/>
  </cols>
  <sheetData>
    <row r="1" ht="15" thickBot="true" x14ac:dyDescent="0.35">
      <c r="A1" s="26" t="s">
        <v>139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x14ac:dyDescent="0.3">
      <c r="A2" s="5" t="s">
        <v>405</v>
      </c>
      <c r="B2" s="5" t="s">
        <v>416</v>
      </c>
      <c r="C2" s="5" t="s">
        <v>417</v>
      </c>
      <c r="D2" s="5" t="s">
        <v>418</v>
      </c>
      <c r="E2" s="5" t="s">
        <v>419</v>
      </c>
      <c r="F2" s="5" t="s">
        <v>420</v>
      </c>
      <c r="G2" s="5" t="s">
        <v>286</v>
      </c>
      <c r="H2" s="5" t="s">
        <v>287</v>
      </c>
      <c r="I2" s="5" t="s">
        <v>288</v>
      </c>
      <c r="J2" s="5" t="s">
        <v>289</v>
      </c>
      <c r="K2" s="5"/>
      <c r="L2" s="5"/>
      <c r="M2" s="5"/>
      <c r="N2" s="5"/>
      <c r="O2" s="5"/>
    </row>
    <row r="3" x14ac:dyDescent="0.3">
      <c r="A3" s="2" t="s">
        <v>406</v>
      </c>
      <c r="B3" s="2">
        <v>0</v>
      </c>
      <c r="C3" s="2">
        <v>0</v>
      </c>
      <c r="D3" s="2">
        <v>49</v>
      </c>
      <c r="E3" s="2">
        <v>465</v>
      </c>
      <c r="F3" s="2">
        <v>0</v>
      </c>
      <c r="G3" s="2">
        <v>0</v>
      </c>
      <c r="H3" s="2">
        <v>52</v>
      </c>
      <c r="I3" s="2">
        <v>0</v>
      </c>
      <c r="J3" s="2">
        <v>0</v>
      </c>
      <c r="K3" s="2">
        <v>456</v>
      </c>
      <c r="L3" s="2"/>
      <c r="M3" s="2"/>
      <c r="N3" s="2"/>
      <c r="O3" s="2"/>
    </row>
    <row r="4" x14ac:dyDescent="0.3">
      <c r="A4" s="11" t="s">
        <v>407</v>
      </c>
      <c r="B4" s="11">
        <v>0</v>
      </c>
      <c r="C4" s="11">
        <v>30</v>
      </c>
      <c r="D4" s="11">
        <v>155</v>
      </c>
      <c r="E4" s="11">
        <v>380</v>
      </c>
      <c r="F4" s="11">
        <v>465</v>
      </c>
      <c r="G4" s="11">
        <v>0</v>
      </c>
      <c r="H4" s="11">
        <v>99</v>
      </c>
      <c r="I4" s="11">
        <v>36</v>
      </c>
      <c r="J4" s="11">
        <v>34</v>
      </c>
      <c r="K4" s="11">
        <v>201</v>
      </c>
      <c r="L4" s="11"/>
      <c r="M4" s="11"/>
      <c r="N4" s="11"/>
      <c r="O4" s="11"/>
    </row>
    <row r="5" x14ac:dyDescent="0.3">
      <c r="A5" s="11" t="s">
        <v>408</v>
      </c>
      <c r="B5" s="11">
        <v>1</v>
      </c>
      <c r="C5" s="11">
        <v>15</v>
      </c>
      <c r="D5" s="11">
        <v>449</v>
      </c>
      <c r="E5" s="11">
        <v>465</v>
      </c>
      <c r="F5" s="11">
        <v>465</v>
      </c>
      <c r="G5" s="11">
        <v>0</v>
      </c>
      <c r="H5" s="11">
        <v>308</v>
      </c>
      <c r="I5" s="11">
        <v>34</v>
      </c>
      <c r="J5" s="11">
        <v>347</v>
      </c>
      <c r="K5" s="11">
        <v>401</v>
      </c>
      <c r="L5" s="11"/>
      <c r="M5" s="11"/>
      <c r="N5" s="11"/>
      <c r="O5" s="11"/>
    </row>
    <row r="6" x14ac:dyDescent="0.3">
      <c r="A6" s="11" t="s">
        <v>409</v>
      </c>
      <c r="B6" s="11">
        <v>0</v>
      </c>
      <c r="C6" s="11">
        <v>13</v>
      </c>
      <c r="D6" s="11">
        <v>115</v>
      </c>
      <c r="E6" s="11">
        <v>464</v>
      </c>
      <c r="F6" s="11">
        <v>303</v>
      </c>
      <c r="G6" s="11">
        <v>0</v>
      </c>
      <c r="H6" s="11">
        <v>224</v>
      </c>
      <c r="I6" s="11">
        <v>107</v>
      </c>
      <c r="J6" s="11">
        <v>16</v>
      </c>
      <c r="K6" s="11">
        <v>0</v>
      </c>
      <c r="L6" s="11"/>
      <c r="M6" s="11"/>
      <c r="N6" s="11"/>
      <c r="O6" s="11"/>
    </row>
    <row r="7" x14ac:dyDescent="0.3">
      <c r="A7" s="11" t="s">
        <v>410</v>
      </c>
      <c r="B7" s="11">
        <v>0</v>
      </c>
      <c r="C7" s="11">
        <v>4</v>
      </c>
      <c r="D7" s="11">
        <v>3</v>
      </c>
      <c r="E7" s="11">
        <v>5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/>
      <c r="M7" s="11"/>
      <c r="N7" s="11"/>
      <c r="O7" s="11"/>
    </row>
    <row r="8" x14ac:dyDescent="0.3">
      <c r="A8" s="11" t="s">
        <v>411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/>
      <c r="M8" s="11"/>
      <c r="N8" s="11"/>
      <c r="O8" s="11"/>
    </row>
    <row r="9" x14ac:dyDescent="0.3">
      <c r="A9" s="11" t="s">
        <v>412</v>
      </c>
      <c r="B9" s="11">
        <v>1</v>
      </c>
      <c r="C9" s="11">
        <v>1</v>
      </c>
      <c r="D9" s="11">
        <v>11</v>
      </c>
      <c r="E9" s="11">
        <v>17</v>
      </c>
      <c r="F9" s="11">
        <v>0</v>
      </c>
      <c r="G9" s="11">
        <v>0</v>
      </c>
      <c r="H9" s="11">
        <v>1</v>
      </c>
      <c r="I9" s="11">
        <v>0</v>
      </c>
      <c r="J9" s="11">
        <v>0</v>
      </c>
      <c r="K9" s="11">
        <v>66</v>
      </c>
      <c r="L9" s="11"/>
      <c r="M9" s="11"/>
      <c r="N9" s="11"/>
      <c r="O9" s="11"/>
    </row>
    <row r="10" x14ac:dyDescent="0.3">
      <c r="A10" s="11" t="s">
        <v>413</v>
      </c>
      <c r="B10" s="11">
        <v>0</v>
      </c>
      <c r="C10" s="11">
        <v>1</v>
      </c>
      <c r="D10" s="11">
        <v>0</v>
      </c>
      <c r="E10" s="11">
        <v>105</v>
      </c>
      <c r="F10" s="11">
        <v>0</v>
      </c>
      <c r="G10" s="11">
        <v>0</v>
      </c>
      <c r="H10" s="11">
        <v>114</v>
      </c>
      <c r="I10" s="11">
        <v>4</v>
      </c>
      <c r="J10" s="11">
        <v>5</v>
      </c>
      <c r="K10" s="11">
        <v>375</v>
      </c>
      <c r="L10" s="11"/>
      <c r="M10" s="11"/>
      <c r="N10" s="11"/>
      <c r="O10" s="11"/>
    </row>
    <row r="11" x14ac:dyDescent="0.3">
      <c r="A11" s="11" t="s">
        <v>414</v>
      </c>
      <c r="B11" s="11">
        <v>3</v>
      </c>
      <c r="C11" s="11">
        <v>7</v>
      </c>
      <c r="D11" s="11">
        <v>407</v>
      </c>
      <c r="E11" s="11">
        <v>428</v>
      </c>
      <c r="F11" s="11">
        <v>355</v>
      </c>
      <c r="G11" s="11">
        <v>4</v>
      </c>
      <c r="H11" s="11">
        <v>390</v>
      </c>
      <c r="I11" s="11">
        <v>0</v>
      </c>
      <c r="J11" s="11">
        <v>269</v>
      </c>
      <c r="K11" s="11">
        <v>16</v>
      </c>
      <c r="L11" s="11"/>
      <c r="M11" s="11"/>
      <c r="N11" s="11"/>
      <c r="O11" s="11"/>
    </row>
    <row r="12" x14ac:dyDescent="0.3">
      <c r="A12" s="5" t="s">
        <v>415</v>
      </c>
      <c r="B12" s="5">
        <v>0</v>
      </c>
      <c r="C12" s="5">
        <v>142</v>
      </c>
      <c r="D12" s="5">
        <v>131</v>
      </c>
      <c r="E12" s="5">
        <v>328</v>
      </c>
      <c r="F12" s="5">
        <v>130</v>
      </c>
      <c r="G12" s="5">
        <v>0</v>
      </c>
      <c r="H12" s="5">
        <v>229</v>
      </c>
      <c r="I12" s="5">
        <v>155</v>
      </c>
      <c r="J12" s="5">
        <v>90</v>
      </c>
      <c r="K12" s="5"/>
      <c r="L12" s="5"/>
      <c r="M12" s="5"/>
      <c r="N12" s="5"/>
      <c r="O12" s="5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"/>
  <sheetViews>
    <sheetView workbookViewId="0"/>
  </sheetViews>
  <sheetFormatPr defaultRowHeight="14.4" x14ac:dyDescent="0.3"/>
  <cols>
    <col min="1" max="1" width="46.26953125" customWidth="true"/>
  </cols>
  <sheetData>
    <row r="1" x14ac:dyDescent="0.3">
      <c r="A1" s="0" t="s">
        <v>421</v>
      </c>
    </row>
    <row r="2" x14ac:dyDescent="0.3">
      <c r="A2" s="0" t="s">
        <v>422</v>
      </c>
    </row>
    <row r="3" x14ac:dyDescent="0.3">
      <c r="A3" s="0" t="s">
        <v>423</v>
      </c>
    </row>
    <row r="4" x14ac:dyDescent="0.3">
      <c r="A4" s="0" t="s">
        <v>424</v>
      </c>
    </row>
    <row r="5" x14ac:dyDescent="0.3">
      <c r="A5" s="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Conclusions</vt:lpstr>
      <vt:lpstr>TTest_p</vt:lpstr>
      <vt:lpstr>TTest_h</vt:lpstr>
      <vt:lpstr>Wilcoxon_p</vt:lpstr>
      <vt:lpstr>Wilcoxon_h</vt:lpstr>
      <vt:lpstr>Wilcoxon_stat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2025-08-15T20:10:26Z</dcterms:modified>
</cp:coreProperties>
</file>