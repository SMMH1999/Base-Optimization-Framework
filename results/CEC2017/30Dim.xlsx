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17\"/>
    </mc:Choice>
  </mc:AlternateContent>
  <xr:revisionPtr revIDLastSave="0" documentId="13_ncr:1_{82B8A43E-36D4-4ED3-8ACF-D8BD4447E2F9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<sst xmlns="http://schemas.openxmlformats.org/spreadsheetml/2006/main" count="1244" uniqueCount="998">
  <si>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</si>
  <si>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</si>
  <si>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</si>
  <si>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</si>
  <si>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</si>
  <si>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</si>
  <si>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</si>
  <si>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</si>
  <si>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</si>
  <si>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</si>
  <si>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</si>
  <si>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</si>
  <si>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</si>
  <si>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</si>
  <si>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</si>
  <si>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</si>
  <si>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</si>
  <si>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</si>
  <si>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</si>
  <si>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</si>
  <si>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</si>
  <si>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</si>
  <si>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</si>
  <si>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</si>
  <si>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</si>
  <si>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</si>
  <si>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</si>
  <si>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</si>
  <si>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</si>
  <si>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</si>
  <si>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</si>
  <si>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</si>
  <si>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</si>
  <si>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</si>
  <si>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Composition
Functions</t>
  </si>
  <si>
    <t>Functions</t>
  </si>
  <si>
    <t>Column1</t>
  </si>
  <si>
    <t>Column2</t>
  </si>
  <si>
    <t>Hybrid
Function</t>
  </si>
  <si>
    <t>Comparison of optimization results for the CEC benchmark functions 2017 (30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</si>
  <si>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</si>
  <si>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</si>
  <si>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</si>
  <si>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</si>
  <si>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</si>
  <si>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</si>
  <si>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F3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</si>
  <si>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</si>
  <si>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</si>
  <si>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</si>
  <si>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</si>
  <si>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</si>
  <si>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</si>
  <si>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</si>
  <si>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</si>
  <si>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</si>
  <si>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</si>
  <si>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</si>
  <si>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</si>
  <si>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</si>
  <si>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</si>
  <si>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</si>
  <si>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</si>
  <si>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</si>
  <si>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</si>
  <si>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</si>
  <si>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</si>
  <si>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</si>
  <si>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</si>
  <si>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</si>
  <si>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</si>
  <si>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</si>
  <si>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</si>
  <si>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</si>
  <si>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</si>
  <si>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</si>
  <si>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</si>
  <si>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</si>
  <si>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</si>
  <si>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</si>
  <si>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</si>
  <si>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</si>
  <si>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</si>
  <si>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</si>
  <si>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</si>
  <si>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</si>
  <si>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</si>
  <si>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</si>
  <si>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</si>
  <si>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</si>
  <si>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</si>
  <si>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</si>
  <si>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</si>
  <si>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</si>
  <si>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</si>
  <si>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</si>
  <si>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</si>
  <si>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</si>
  <si>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</si>
  <si>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</si>
  <si>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</si>
  <si>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</si>
  <si>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</si>
  <si>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</si>
  <si>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</si>
  <si>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</si>
  <si>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</si>
  <si>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</si>
  <si>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</si>
  <si>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</si>
  <si>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</si>
  <si>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</si>
  <si>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</si>
  <si>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</si>
  <si>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</si>
  <si>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</si>
  <si>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</si>
  <si>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</si>
  <si>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</si>
  <si>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</si>
  <si>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</si>
  <si>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</si>
  <si>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</si>
  <si>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</si>
  <si>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</si>
  <si>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</si>
  <si>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</si>
  <si>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</si>
  <si>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</si>
  <si>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</si>
  <si>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</si>
  <si>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</si>
  <si>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</si>
  <si>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</si>
  <si>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</si>
  <si>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</si>
  <si>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</si>
  <si>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</si>
  <si>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</si>
  <si>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</si>
  <si>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</si>
  <si>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</si>
  <si>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</si>
  <si>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</si>
  <si>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</si>
  <si>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</si>
  <si>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</si>
  <si>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</si>
  <si>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</si>
  <si>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</si>
  <si>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</si>
  <si>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</si>
  <si>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</si>
  <si>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</si>
  <si>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</si>
  <si>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</si>
  <si>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</si>
  <si>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</si>
  <si>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</si>
  <si>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</si>
  <si>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</si>
  <si>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</si>
  <si>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</si>
  <si>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</si>
  <si>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</si>
  <si>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</si>
  <si>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</si>
  <si>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</si>
  <si>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</si>
  <si>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</si>
  <si>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</si>
  <si>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</si>
  <si>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</si>
  <si>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</si>
  <si>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</si>
  <si>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</si>
  <si>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</si>
  <si>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</si>
  <si>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</si>
  <si>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</si>
  <si>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</si>
  <si>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</si>
  <si>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</si>
  <si>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</si>
  <si>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</si>
  <si>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</si>
  <si>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</si>
  <si>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</si>
  <si>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</si>
  <si>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</si>
  <si>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</si>
  <si>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</si>
  <si>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</si>
  <si>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</si>
  <si>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</si>
  <si>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</si>
  <si>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</si>
  <si>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</si>
  <si>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</si>
  <si>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</si>
  <si>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</si>
  <si>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</si>
  <si>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</si>
  <si>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</si>
  <si>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</si>
  <si>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</si>
  <si>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</si>
  <si>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</si>
  <si>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</si>
  <si>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</si>
  <si>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</si>
  <si>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</si>
  <si>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</si>
  <si>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</si>
  <si>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</si>
  <si>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</si>
  <si>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</si>
  <si>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</si>
  <si>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</si>
  <si>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</si>
  <si>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</si>
  <si>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</si>
  <si>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</si>
  <si>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</si>
  <si>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</si>
  <si>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</si>
  <si>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</si>
  <si>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</si>
  <si>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</si>
  <si>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</si>
  <si>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</si>
  <si>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</si>
  <si>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</si>
  <si>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</si>
  <si>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</si>
  <si>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</si>
  <si>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</si>
  <si>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</si>
  <si>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</si>
  <si>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</si>
  <si>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</si>
  <si>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</si>
  <si>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</si>
  <si>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</si>
  <si>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</si>
  <si>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</si>
  <si>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</si>
  <si>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</si>
  <si>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</si>
  <si>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</si>
  <si>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</si>
  <si>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</si>
  <si>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</si>
  <si>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</si>
  <si>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</si>
  <si>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</si>
  <si>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</si>
  <si>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</si>
  <si>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</si>
  <si>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</si>
  <si>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</si>
  <si>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</si>
  <si>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</si>
  <si>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</si>
  <si>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</si>
  <si>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</si>
  <si>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</si>
  <si>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</si>
  <si>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</si>
  <si>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</si>
  <si>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</si>
  <si>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</si>
  <si>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</si>
  <si>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</si>
  <si>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</si>
  <si>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</si>
  <si>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</si>
  <si>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</si>
  <si>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</si>
  <si>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</si>
  <si>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</si>
  <si>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</si>
  <si>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</si>
  <si>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</si>
  <si>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</si>
  <si>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</si>
  <si>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</si>
  <si>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</si>
  <si>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</si>
  <si>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</si>
  <si>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</si>
  <si>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</si>
  <si>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</si>
  <si>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</si>
  <si>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</si>
  <si>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</si>
  <si>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</si>
  <si>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</si>
  <si>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</si>
  <si>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</si>
  <si>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</si>
  <si>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</si>
  <si>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</si>
  <si>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</si>
  <si>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</si>
  <si>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</si>
  <si>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</si>
  <si>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</si>
  <si>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</si>
  <si>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</si>
  <si>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</si>
  <si>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</si>
  <si>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</si>
  <si>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</si>
  <si>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</si>
  <si>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</si>
  <si>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</si>
  <si>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</si>
  <si>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</si>
  <si>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</si>
  <si>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</si>
  <si>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</si>
  <si>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</si>
  <si>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</si>
  <si>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</si>
  <si>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</si>
  <si>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</si>
  <si>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</si>
  <si>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</si>
  <si>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</si>
  <si>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</si>
  <si>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</si>
  <si>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2017 (30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</si>
  <si>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</si>
  <si>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</si>
  <si>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</si>
  <si>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</si>
  <si>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</si>
  <si>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</si>
  <si>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</si>
  <si>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</si>
  <si>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</si>
  <si>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</si>
  <si>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</si>
  <si>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</si>
  <si>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</si>
  <si>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</si>
  <si>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</si>
  <si>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2017 (30 Dim)</t>
  </si>
  <si>
    <t>H-value of the T-test analysis for the CEC benchmark functions 2017 (30 Dim)</t>
  </si>
  <si>
    <t>H-value of the Wilcoxon analysis for the CEC benchmark functions 2017 (100 Dim)</t>
  </si>
  <si>
    <t>State of the Wilcoxon analysis for the CEC benchmark functions 2017 (30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</si>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</sst>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/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true" applyAlignment="true">
      <alignment horizontal="left" vertical="top"/>
    </xf>
    <xf numFmtId="11" fontId="0" fillId="0" borderId="1" xfId="0" applyNumberFormat="true" applyBorder="true" applyAlignment="true">
      <alignment horizontal="left" vertical="top"/>
    </xf>
    <xf numFmtId="0" fontId="0" fillId="0" borderId="2" xfId="0" applyBorder="true" applyAlignment="true">
      <alignment horizontal="left" vertical="top"/>
    </xf>
    <xf numFmtId="164" fontId="0" fillId="0" borderId="2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11" fontId="0" fillId="0" borderId="2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0" fontId="0" fillId="0" borderId="2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1" fillId="0" borderId="3" xfId="0" applyFont="true" applyBorder="true" applyAlignment="true">
      <alignment horizontal="left" vertical="top"/>
    </xf>
    <xf numFmtId="0" fontId="1" fillId="0" borderId="2" xfId="0" applyFont="true" applyBorder="true" applyAlignment="true">
      <alignment horizontal="left" vertical="top" wrapText="true"/>
    </xf>
    <xf numFmtId="0" fontId="1" fillId="0" borderId="1" xfId="0" applyFont="true" applyBorder="true" applyAlignment="true">
      <alignment horizontal="left" vertical="top" wrapText="true"/>
    </xf>
    <xf numFmtId="0" fontId="2" fillId="0" borderId="4" xfId="0" applyFont="true" applyBorder="true" applyAlignment="true">
      <alignment horizontal="left" vertical="top"/>
    </xf>
    <xf numFmtId="0" fontId="0" fillId="0" borderId="1" xfId="0" applyBorder="true"/>
    <xf numFmtId="0" fontId="0" fillId="0" borderId="2" xfId="0" applyBorder="true"/>
    <xf numFmtId="11" fontId="2" fillId="0" borderId="4" xfId="0" applyNumberFormat="true" applyFont="true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2" fontId="0" fillId="0" borderId="3" xfId="0" applyNumberFormat="true" applyBorder="true" applyAlignment="true">
      <alignment horizontal="left" vertical="top"/>
    </xf>
    <xf numFmtId="0" fontId="0" fillId="0" borderId="3" xfId="0" applyBorder="true"/>
    <xf numFmtId="1" fontId="0" fillId="0" borderId="1" xfId="0" applyNumberForma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1" fontId="0" fillId="0" borderId="2" xfId="0" applyNumberFormat="true" applyBorder="true" applyAlignment="true">
      <alignment horizontal="left" vertical="top"/>
    </xf>
    <xf numFmtId="22" fontId="0" fillId="0" borderId="5" xfId="0" applyNumberFormat="true"/>
  </cellXfs>
  <cellStyles count="1">
    <cellStyle name="Normal" xfId="0" builtinId="0"/>
  </cellStyles>
  <dxfs count="161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border outline="false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92" totalsRowShown="false" headerRowDxfId="36" dataDxfId="156" tableBorderDxfId="159" mc:Ignorable="xr xr3" xr:uid="{00000000-000C-0000-FFFF-FFFF00000000}">
  <autoFilter ref="S2:T92" xr:uid="{00000000-0009-0000-0100-000001000000}"/>
  <tableColumns count="2">
    <tableColumn id="1" name="Column1" dataDxfId="158" xr3:uid="{00000000-0010-0000-0000-000001000000}"/>
    <tableColumn id="2" name="Column2" dataDxfId="157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"/>
  <sheetViews>
    <sheetView tabSelected="true" zoomScaleNormal="100" workbookViewId="0">
      <selection activeCell="L7" sqref="L7"/>
    </sheetView>
  </sheetViews>
  <sheetFormatPr defaultRowHeight="14.4" x14ac:dyDescent="0.3"/>
  <cols>
    <col min="1" max="1" width="11.33203125" style="5" bestFit="true" customWidth="true"/>
    <col min="2" max="2" width="4.046875" style="5" bestFit="true" customWidth="true"/>
    <col min="3" max="3" width="5.82421875" style="5" bestFit="true" customWidth="true"/>
    <col min="4" max="4" width="11.15625" style="5" bestFit="true" customWidth="true"/>
    <col min="13" max="13" width="8.7109375" style="5" bestFit="true" customWidth="true"/>
    <col min="19" max="20" width="10.44140625" style="5" customWidth="true"/>
    <col min="21" max="22" width="8.88671875" style="5"/>
    <col min="23" max="31" width="10.33203125" bestFit="true" customWidth="true"/>
    <col min="32" max="33" width="11.33203125" bestFit="true" customWidth="true"/>
    <col min="34" max="37" width="11.33203125" style="5" bestFit="true" customWidth="true"/>
    <col min="38" max="16384" width="8.88671875" style="5"/>
    <col min="5" max="5" width="8.7109375" style="5" bestFit="true" customWidth="true"/>
    <col min="6" max="6" width="8.7109375" style="5" bestFit="true" customWidth="true"/>
    <col min="7" max="7" width="8.7109375" style="5" bestFit="true" customWidth="true"/>
    <col min="8" max="8" width="8.7109375" style="5" bestFit="true" customWidth="true"/>
    <col min="9" max="9" width="8.7109375" style="5" bestFit="true" customWidth="true"/>
    <col min="10" max="10" width="8.7109375" style="5" bestFit="true" customWidth="true"/>
    <col min="11" max="11" width="8.7109375" style="5" bestFit="true" customWidth="true"/>
    <col min="12" max="12" width="8.7109375" style="5" bestFit="true" customWidth="true"/>
    <col min="14" max="18" width="11.33203125" style="5" bestFit="true" customWidth="true"/>
  </cols>
  <sheetData>
    <row r="1" ht="15" thickBot="true" x14ac:dyDescent="0.3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x14ac:dyDescent="0.3">
      <c r="A2" s="21" t="s">
        <v>35</v>
      </c>
      <c r="B2" s="21"/>
      <c r="C2" s="21"/>
      <c r="D2" s="22" t="s">
        <v>807</v>
      </c>
      <c r="E2" s="22" t="s">
        <v>808</v>
      </c>
      <c r="F2" s="22" t="s">
        <v>809</v>
      </c>
      <c r="G2" s="22" t="s">
        <v>810</v>
      </c>
      <c r="H2" s="22" t="s">
        <v>811</v>
      </c>
      <c r="I2" s="22" t="s">
        <v>812</v>
      </c>
      <c r="J2" s="22" t="s">
        <v>478</v>
      </c>
      <c r="K2" s="22" t="s">
        <v>479</v>
      </c>
      <c r="L2" s="22" t="s">
        <v>480</v>
      </c>
      <c r="M2" s="22" t="s">
        <v>481</v>
      </c>
      <c r="N2" s="22" t="s">
        <v>343</v>
      </c>
      <c r="O2" s="22" t="s">
        <v>344</v>
      </c>
      <c r="P2" s="22" t="s">
        <v>345</v>
      </c>
      <c r="Q2" s="22" t="s">
        <v>346</v>
      </c>
      <c r="R2" s="22" t="s">
        <v>347</v>
      </c>
      <c r="S2" s="7" t="s">
        <v>36</v>
      </c>
      <c r="T2" s="7" t="s">
        <v>37</v>
      </c>
      <c r="W2" s="22" t="s">
        <v>333</v>
      </c>
      <c r="X2" s="22" t="s">
        <v>334</v>
      </c>
      <c r="Y2" s="22" t="s">
        <v>335</v>
      </c>
      <c r="Z2" s="22" t="s">
        <v>336</v>
      </c>
      <c r="AA2" s="22" t="s">
        <v>337</v>
      </c>
      <c r="AB2" s="22" t="s">
        <v>338</v>
      </c>
      <c r="AC2" s="22" t="s">
        <v>339</v>
      </c>
      <c r="AD2" s="22" t="s">
        <v>340</v>
      </c>
      <c r="AE2" s="22" t="s">
        <v>341</v>
      </c>
      <c r="AF2" s="22" t="s">
        <v>342</v>
      </c>
      <c r="AG2" s="22" t="s">
        <v>343</v>
      </c>
      <c r="AH2" s="22" t="s">
        <v>344</v>
      </c>
      <c r="AI2" s="22" t="s">
        <v>345</v>
      </c>
      <c r="AJ2" s="22" t="s">
        <v>346</v>
      </c>
      <c r="AK2" s="22" t="s">
        <v>347</v>
      </c>
    </row>
    <row r="3" ht="14.4" customHeight="true" x14ac:dyDescent="0.3">
      <c r="A3" s="16" t="s">
        <v>32</v>
      </c>
      <c r="B3" s="10" t="s">
        <v>687</v>
      </c>
      <c r="C3" s="1" t="s">
        <v>717</v>
      </c>
      <c r="D3" s="2">
        <v>15480791.11698496</v>
      </c>
      <c r="E3" s="2">
        <v>30418828058.725723</v>
      </c>
      <c r="F3" s="2">
        <v>32762543.639096331</v>
      </c>
      <c r="G3" s="2">
        <v>2946704807.3066883</v>
      </c>
      <c r="H3" s="2">
        <v>4520574.0199912516</v>
      </c>
      <c r="I3" s="2">
        <v>227770753.94733825</v>
      </c>
      <c r="J3" s="2">
        <v>16996050243.396313</v>
      </c>
      <c r="K3" s="2">
        <v>1595453.3569599087</v>
      </c>
      <c r="L3" s="2">
        <v>520610.84551152063</v>
      </c>
      <c r="M3" s="2">
        <v>3513198643.0347123</v>
      </c>
      <c r="N3" s="2"/>
      <c r="O3" s="2"/>
      <c r="P3" s="2"/>
      <c r="Q3" s="2"/>
      <c r="R3" s="2"/>
      <c r="S3" s="1" t="s">
        <v>0</v>
      </c>
      <c r="T3" s="1" t="s">
        <v>29</v>
      </c>
      <c r="W3" s="5">
        <f>_xlfn.RANK.EQ(D3,$D3:$R3,1)</f>
        <v>1</v>
      </c>
      <c r="X3" s="5">
        <f t="shared" ref="X3:AK3" si="0">_xlfn.RANK.EQ(E3,$D3:$R3,1)</f>
        <v>5</v>
      </c>
      <c r="Y3" s="5">
        <f t="shared" si="0"/>
        <v>3</v>
      </c>
      <c r="Z3" s="5">
        <f t="shared" si="0"/>
        <v>7</v>
      </c>
      <c r="AA3" s="5">
        <f t="shared" si="0"/>
        <v>9</v>
      </c>
      <c r="AB3" s="5">
        <f t="shared" si="0"/>
        <v>2</v>
      </c>
      <c r="AC3" s="5">
        <f t="shared" si="0"/>
        <v>8</v>
      </c>
      <c r="AD3" s="5">
        <f t="shared" si="0"/>
        <v>4</v>
      </c>
      <c r="AE3" s="5">
        <f t="shared" si="0"/>
        <v>6</v>
      </c>
      <c r="AF3" s="5" t="e">
        <f t="shared" si="0"/>
        <v>#N/A</v>
      </c>
      <c r="AG3" s="5" t="e">
        <f t="shared" si="0"/>
        <v>#N/A</v>
      </c>
      <c r="AH3" s="5" t="e">
        <f t="shared" si="0"/>
        <v>#N/A</v>
      </c>
      <c r="AI3" s="5" t="e">
        <f t="shared" si="0"/>
        <v>#N/A</v>
      </c>
      <c r="AJ3" s="5" t="e">
        <f t="shared" si="0"/>
        <v>#N/A</v>
      </c>
      <c r="AK3" s="5" t="e">
        <f t="shared" si="0"/>
        <v>#N/A</v>
      </c>
    </row>
    <row r="4" x14ac:dyDescent="0.3">
      <c r="A4" s="13"/>
      <c r="B4" s="11" t="s">
        <v>687</v>
      </c>
      <c r="C4" s="7" t="s">
        <v>718</v>
      </c>
      <c r="D4" s="6">
        <v>4663718.82638596</v>
      </c>
      <c r="E4" s="6">
        <v>5731290500.2676687</v>
      </c>
      <c r="F4" s="6">
        <v>6600774.6758542275</v>
      </c>
      <c r="G4" s="6">
        <v>2079605234.0065067</v>
      </c>
      <c r="H4" s="6">
        <v>3541724.446630328</v>
      </c>
      <c r="I4" s="6">
        <v>70423486.683805078</v>
      </c>
      <c r="J4" s="6">
        <v>6618926991.0417662</v>
      </c>
      <c r="K4" s="6">
        <v>4404190.2656176277</v>
      </c>
      <c r="L4" s="6">
        <v>171093.02260431429</v>
      </c>
      <c r="M4" s="6">
        <v>2210111524.6937099</v>
      </c>
      <c r="N4" s="6"/>
      <c r="O4" s="6"/>
      <c r="P4" s="6"/>
      <c r="Q4" s="6"/>
      <c r="R4" s="6"/>
      <c r="S4" s="7"/>
      <c r="T4" s="7" t="s">
        <v>30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x14ac:dyDescent="0.3">
      <c r="A5" s="13"/>
      <c r="B5" s="12" t="s">
        <v>687</v>
      </c>
      <c r="C5" s="3" t="s">
        <v>719</v>
      </c>
      <c r="D5" s="4">
        <v>1.7697916666666667</v>
      </c>
      <c r="E5" s="4">
        <v>0.16302083333333334</v>
      </c>
      <c r="F5" s="4">
        <v>0.29166666666666669</v>
      </c>
      <c r="G5" s="4">
        <v>0.23229166666666667</v>
      </c>
      <c r="H5" s="4">
        <v>0.2421875</v>
      </c>
      <c r="I5" s="4">
        <v>0.19739583333333333</v>
      </c>
      <c r="J5" s="4">
        <v>7.4572916666666664</v>
      </c>
      <c r="K5" s="4">
        <v>0.37083333333333335</v>
      </c>
      <c r="L5" s="4">
        <v>0.69322916666666667</v>
      </c>
      <c r="M5" s="4">
        <v>0.21406249999999999</v>
      </c>
      <c r="N5" s="4"/>
      <c r="O5" s="4"/>
      <c r="P5" s="4"/>
      <c r="Q5" s="4"/>
      <c r="R5" s="4"/>
      <c r="S5" s="3"/>
      <c r="T5" s="3" t="s">
        <v>31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x14ac:dyDescent="0.3">
      <c r="A6" s="8"/>
      <c r="B6" s="7" t="s">
        <v>688</v>
      </c>
      <c r="C6" s="7" t="s">
        <v>720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7"/>
      <c r="T6" s="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x14ac:dyDescent="0.3">
      <c r="A7" s="8"/>
      <c r="B7" s="7" t="s">
        <v>688</v>
      </c>
      <c r="C7" s="7" t="s">
        <v>721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x14ac:dyDescent="0.3">
      <c r="A8" s="8"/>
      <c r="B8" s="7" t="s">
        <v>688</v>
      </c>
      <c r="C8" s="7" t="s">
        <v>722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7"/>
      <c r="T8" s="7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x14ac:dyDescent="0.3">
      <c r="A9" s="16" t="s">
        <v>33</v>
      </c>
      <c r="B9" s="10" t="s">
        <v>689</v>
      </c>
      <c r="C9" s="1" t="s">
        <v>723</v>
      </c>
      <c r="D9" s="2">
        <v>708.25432768482472</v>
      </c>
      <c r="E9" s="2">
        <v>82508.217828085893</v>
      </c>
      <c r="F9" s="2">
        <v>47323.254843323804</v>
      </c>
      <c r="G9" s="2">
        <v>54255.303458298367</v>
      </c>
      <c r="H9" s="2">
        <v>93696.133142376973</v>
      </c>
      <c r="I9" s="2">
        <v>189099.82551898077</v>
      </c>
      <c r="J9" s="2">
        <v>259151.44489516396</v>
      </c>
      <c r="K9" s="2">
        <v>55376.501893083543</v>
      </c>
      <c r="L9" s="2">
        <v>106397.8355247796</v>
      </c>
      <c r="M9" s="2">
        <v>52286.316910918795</v>
      </c>
      <c r="N9" s="2"/>
      <c r="O9" s="2"/>
      <c r="P9" s="2"/>
      <c r="Q9" s="2"/>
      <c r="R9" s="2"/>
      <c r="S9" s="1" t="s">
        <v>1</v>
      </c>
      <c r="T9" s="1" t="s">
        <v>29</v>
      </c>
      <c r="W9" s="5">
        <f t="shared" ref="W9:W40" si="1">_xlfn.RANK.EQ(D9,$D9:$R9,1)</f>
        <v>1</v>
      </c>
      <c r="X9" s="5">
        <f t="shared" ref="X9:X72" si="2">_xlfn.RANK.EQ(E9,$D9:$R9,1)</f>
        <v>2</v>
      </c>
      <c r="Y9" s="5">
        <f t="shared" ref="Y9:Y72" si="3">_xlfn.RANK.EQ(F9,$D9:$R9,1)</f>
        <v>4</v>
      </c>
      <c r="Z9" s="5">
        <f t="shared" ref="Z9:Z72" si="4">_xlfn.RANK.EQ(G9,$D9:$R9,1)</f>
        <v>7</v>
      </c>
      <c r="AA9" s="5">
        <f t="shared" ref="AA9:AA72" si="5">_xlfn.RANK.EQ(H9,$D9:$R9,1)</f>
        <v>9</v>
      </c>
      <c r="AB9" s="5">
        <f t="shared" ref="AB9:AB72" si="6">_xlfn.RANK.EQ(I9,$D9:$R9,1)</f>
        <v>3</v>
      </c>
      <c r="AC9" s="5">
        <f t="shared" ref="AC9:AC72" si="7">_xlfn.RANK.EQ(J9,$D9:$R9,1)</f>
        <v>6</v>
      </c>
      <c r="AD9" s="5">
        <f t="shared" ref="AD9:AD72" si="8">_xlfn.RANK.EQ(K9,$D9:$R9,1)</f>
        <v>5</v>
      </c>
      <c r="AE9" s="5">
        <f t="shared" ref="AE9:AE72" si="9">_xlfn.RANK.EQ(L9,$D9:$R9,1)</f>
        <v>8</v>
      </c>
      <c r="AF9" s="5" t="e">
        <f t="shared" ref="AF9:AF72" si="10">_xlfn.RANK.EQ(M9,$D9:$R9,1)</f>
        <v>#N/A</v>
      </c>
      <c r="AG9" s="5" t="e">
        <f t="shared" ref="AG9:AG72" si="11">_xlfn.RANK.EQ(N9,$D9:$R9,1)</f>
        <v>#N/A</v>
      </c>
      <c r="AH9" s="5" t="e">
        <f t="shared" ref="AH9:AH72" si="12">_xlfn.RANK.EQ(O9,$D9:$R9,1)</f>
        <v>#N/A</v>
      </c>
      <c r="AI9" s="5" t="e">
        <f t="shared" ref="AI9:AI72" si="13">_xlfn.RANK.EQ(P9,$D9:$R9,1)</f>
        <v>#N/A</v>
      </c>
      <c r="AJ9" s="5" t="e">
        <f t="shared" ref="AJ9:AJ72" si="14">_xlfn.RANK.EQ(Q9,$D9:$R9,1)</f>
        <v>#N/A</v>
      </c>
      <c r="AK9" s="5" t="e">
        <f t="shared" ref="AK9:AK72" si="15">_xlfn.RANK.EQ(R9,$D9:$R9,1)</f>
        <v>#N/A</v>
      </c>
    </row>
    <row r="10" x14ac:dyDescent="0.3">
      <c r="A10" s="13"/>
      <c r="B10" s="11" t="s">
        <v>689</v>
      </c>
      <c r="C10" s="7" t="s">
        <v>724</v>
      </c>
      <c r="D10" s="6">
        <v>111.21063761018303</v>
      </c>
      <c r="E10" s="6">
        <v>8015.9695025963965</v>
      </c>
      <c r="F10" s="6">
        <v>8047.0174433374996</v>
      </c>
      <c r="G10" s="6">
        <v>13006.328398865644</v>
      </c>
      <c r="H10" s="6">
        <v>22934.814735001739</v>
      </c>
      <c r="I10" s="6">
        <v>62712.299029431088</v>
      </c>
      <c r="J10" s="6">
        <v>113760.88575786851</v>
      </c>
      <c r="K10" s="6">
        <v>14807.666421617041</v>
      </c>
      <c r="L10" s="6">
        <v>42012.834737180492</v>
      </c>
      <c r="M10" s="6">
        <v>11814.079744591791</v>
      </c>
      <c r="N10" s="6"/>
      <c r="O10" s="6"/>
      <c r="P10" s="6"/>
      <c r="Q10" s="6"/>
      <c r="R10" s="6"/>
      <c r="S10" s="7"/>
      <c r="T10" s="7" t="s">
        <v>30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x14ac:dyDescent="0.3">
      <c r="A11" s="13"/>
      <c r="B11" s="12" t="s">
        <v>689</v>
      </c>
      <c r="C11" s="3" t="s">
        <v>725</v>
      </c>
      <c r="D11" s="4">
        <v>1.6744791666666667</v>
      </c>
      <c r="E11" s="4">
        <v>0.16093750000000001</v>
      </c>
      <c r="F11" s="4">
        <v>0.27864583333333331</v>
      </c>
      <c r="G11" s="4">
        <v>0.23281250000000001</v>
      </c>
      <c r="H11" s="4">
        <v>0.27291666666666664</v>
      </c>
      <c r="I11" s="4">
        <v>0.20416666666666666</v>
      </c>
      <c r="J11" s="4">
        <v>8.8125</v>
      </c>
      <c r="K11" s="4">
        <v>0.40989583333333335</v>
      </c>
      <c r="L11" s="4">
        <v>0.734375</v>
      </c>
      <c r="M11" s="4">
        <v>0.22708333333333333</v>
      </c>
      <c r="N11" s="4"/>
      <c r="O11" s="4"/>
      <c r="P11" s="4"/>
      <c r="Q11" s="4"/>
      <c r="R11" s="4"/>
      <c r="S11" s="3"/>
      <c r="T11" s="3" t="s">
        <v>31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14.4" customHeight="true" x14ac:dyDescent="0.3">
      <c r="A12" s="13"/>
      <c r="B12" s="10" t="s">
        <v>690</v>
      </c>
      <c r="C12" s="1" t="s">
        <v>726</v>
      </c>
      <c r="D12" s="2">
        <v>510.57975635133943</v>
      </c>
      <c r="E12" s="2">
        <v>6389.516676838306</v>
      </c>
      <c r="F12" s="2">
        <v>558.81309976318778</v>
      </c>
      <c r="G12" s="2">
        <v>676.1990205598911</v>
      </c>
      <c r="H12" s="2">
        <v>586.38328552120834</v>
      </c>
      <c r="I12" s="2">
        <v>582.44837847126951</v>
      </c>
      <c r="J12" s="2">
        <v>3134.8263767092781</v>
      </c>
      <c r="K12" s="2">
        <v>535.47320449889162</v>
      </c>
      <c r="L12" s="2">
        <v>519.55466758593354</v>
      </c>
      <c r="M12" s="2">
        <v>842.34271441629187</v>
      </c>
      <c r="N12" s="2"/>
      <c r="O12" s="2"/>
      <c r="P12" s="2"/>
      <c r="Q12" s="2"/>
      <c r="R12" s="2"/>
      <c r="S12" s="1" t="s">
        <v>2</v>
      </c>
      <c r="T12" s="1" t="s">
        <v>29</v>
      </c>
      <c r="W12" s="5">
        <f t="shared" ref="W12:W43" si="16">_xlfn.RANK.EQ(D12,$D12:$R12,1)</f>
        <v>1</v>
      </c>
      <c r="X12" s="5">
        <f t="shared" ref="X12:X75" si="17">_xlfn.RANK.EQ(E12,$D12:$R12,1)</f>
        <v>5</v>
      </c>
      <c r="Y12" s="5">
        <f t="shared" ref="Y12:Y75" si="18">_xlfn.RANK.EQ(F12,$D12:$R12,1)</f>
        <v>2</v>
      </c>
      <c r="Z12" s="5">
        <f t="shared" ref="Z12:Z75" si="19">_xlfn.RANK.EQ(G12,$D12:$R12,1)</f>
        <v>4</v>
      </c>
      <c r="AA12" s="5">
        <f t="shared" ref="AA12:AA75" si="20">_xlfn.RANK.EQ(H12,$D12:$R12,1)</f>
        <v>9</v>
      </c>
      <c r="AB12" s="5">
        <f t="shared" ref="AB12:AB75" si="21">_xlfn.RANK.EQ(I12,$D12:$R12,1)</f>
        <v>3</v>
      </c>
      <c r="AC12" s="5">
        <f t="shared" ref="AC12:AC75" si="22">_xlfn.RANK.EQ(J12,$D12:$R12,1)</f>
        <v>8</v>
      </c>
      <c r="AD12" s="5">
        <f t="shared" ref="AD12:AD75" si="23">_xlfn.RANK.EQ(K12,$D12:$R12,1)</f>
        <v>7</v>
      </c>
      <c r="AE12" s="5">
        <f t="shared" ref="AE12:AE75" si="24">_xlfn.RANK.EQ(L12,$D12:$R12,1)</f>
        <v>6</v>
      </c>
      <c r="AF12" s="5" t="e">
        <f t="shared" ref="AF12:AF75" si="25">_xlfn.RANK.EQ(M12,$D12:$R12,1)</f>
        <v>#N/A</v>
      </c>
      <c r="AG12" s="5" t="e">
        <f t="shared" ref="AG12:AG75" si="26">_xlfn.RANK.EQ(N12,$D12:$R12,1)</f>
        <v>#N/A</v>
      </c>
      <c r="AH12" s="5" t="e">
        <f t="shared" ref="AH12:AH75" si="27">_xlfn.RANK.EQ(O12,$D12:$R12,1)</f>
        <v>#N/A</v>
      </c>
      <c r="AI12" s="5" t="e">
        <f t="shared" ref="AI12:AI75" si="28">_xlfn.RANK.EQ(P12,$D12:$R12,1)</f>
        <v>#N/A</v>
      </c>
      <c r="AJ12" s="5" t="e">
        <f t="shared" ref="AJ12:AJ75" si="29">_xlfn.RANK.EQ(Q12,$D12:$R12,1)</f>
        <v>#N/A</v>
      </c>
      <c r="AK12" s="5" t="e">
        <f t="shared" ref="AK12:AK75" si="30">_xlfn.RANK.EQ(R12,$D12:$R12,1)</f>
        <v>#N/A</v>
      </c>
    </row>
    <row r="13" x14ac:dyDescent="0.3">
      <c r="A13" s="13"/>
      <c r="B13" s="11" t="s">
        <v>690</v>
      </c>
      <c r="C13" s="7" t="s">
        <v>727</v>
      </c>
      <c r="D13" s="6">
        <v>34.095151703921417</v>
      </c>
      <c r="E13" s="6">
        <v>1982.0946171291366</v>
      </c>
      <c r="F13" s="6">
        <v>30.809889178924806</v>
      </c>
      <c r="G13" s="6">
        <v>186.91275391757597</v>
      </c>
      <c r="H13" s="6">
        <v>43.265125526186715</v>
      </c>
      <c r="I13" s="6">
        <v>39.760697812648125</v>
      </c>
      <c r="J13" s="6">
        <v>1728.9284731287587</v>
      </c>
      <c r="K13" s="6">
        <v>82.131712606468511</v>
      </c>
      <c r="L13" s="6">
        <v>28.634054229029953</v>
      </c>
      <c r="M13" s="6">
        <v>537.72464444945183</v>
      </c>
      <c r="N13" s="6"/>
      <c r="O13" s="6"/>
      <c r="P13" s="6"/>
      <c r="Q13" s="6"/>
      <c r="R13" s="6"/>
      <c r="S13" s="7"/>
      <c r="T13" s="7" t="s">
        <v>30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x14ac:dyDescent="0.3">
      <c r="A14" s="13"/>
      <c r="B14" s="12" t="s">
        <v>690</v>
      </c>
      <c r="C14" s="3" t="s">
        <v>728</v>
      </c>
      <c r="D14" s="4">
        <v>1.7203124999999999</v>
      </c>
      <c r="E14" s="4">
        <v>0.16354166666666667</v>
      </c>
      <c r="F14" s="4">
        <v>0.27656249999999999</v>
      </c>
      <c r="G14" s="4">
        <v>0.22187499999999999</v>
      </c>
      <c r="H14" s="4">
        <v>0.23072916666666668</v>
      </c>
      <c r="I14" s="4">
        <v>0.19947916666666668</v>
      </c>
      <c r="J14" s="4">
        <v>9.4124999999999996</v>
      </c>
      <c r="K14" s="4">
        <v>0.45364583333333336</v>
      </c>
      <c r="L14" s="4">
        <v>0.73281249999999998</v>
      </c>
      <c r="M14" s="4">
        <v>0.24635416666666668</v>
      </c>
      <c r="N14" s="4"/>
      <c r="O14" s="4"/>
      <c r="P14" s="4"/>
      <c r="Q14" s="4"/>
      <c r="R14" s="4"/>
      <c r="S14" s="3"/>
      <c r="T14" s="3" t="s">
        <v>31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x14ac:dyDescent="0.3">
      <c r="A15" s="13"/>
      <c r="B15" s="10" t="s">
        <v>691</v>
      </c>
      <c r="C15" s="1" t="s">
        <v>729</v>
      </c>
      <c r="D15" s="2">
        <v>680.20712221249926</v>
      </c>
      <c r="E15" s="2">
        <v>850.3049154254096</v>
      </c>
      <c r="F15" s="2">
        <v>751.61711846908895</v>
      </c>
      <c r="G15" s="2">
        <v>664.20634693258251</v>
      </c>
      <c r="H15" s="2">
        <v>641.50064652588287</v>
      </c>
      <c r="I15" s="2">
        <v>631.59986567297187</v>
      </c>
      <c r="J15" s="2">
        <v>859.69407100426793</v>
      </c>
      <c r="K15" s="2">
        <v>626.41811775431131</v>
      </c>
      <c r="L15" s="2">
        <v>714.44715370859922</v>
      </c>
      <c r="M15" s="2">
        <v>635.11423102190872</v>
      </c>
      <c r="N15" s="2"/>
      <c r="O15" s="2"/>
      <c r="P15" s="2"/>
      <c r="Q15" s="2"/>
      <c r="R15" s="2"/>
      <c r="S15" s="1" t="s">
        <v>3</v>
      </c>
      <c r="T15" s="1" t="s">
        <v>29</v>
      </c>
      <c r="W15" s="5">
        <f t="shared" ref="W15:W46" si="31">_xlfn.RANK.EQ(D15,$D15:$R15,1)</f>
        <v>4</v>
      </c>
      <c r="X15" s="5">
        <f t="shared" ref="X15:X78" si="32">_xlfn.RANK.EQ(E15,$D15:$R15,1)</f>
        <v>2</v>
      </c>
      <c r="Y15" s="5">
        <f t="shared" ref="Y15:Y78" si="33">_xlfn.RANK.EQ(F15,$D15:$R15,1)</f>
        <v>6</v>
      </c>
      <c r="Z15" s="5">
        <f t="shared" ref="Z15:Z78" si="34">_xlfn.RANK.EQ(G15,$D15:$R15,1)</f>
        <v>7</v>
      </c>
      <c r="AA15" s="5">
        <f t="shared" ref="AA15:AA78" si="35">_xlfn.RANK.EQ(H15,$D15:$R15,1)</f>
        <v>9</v>
      </c>
      <c r="AB15" s="5">
        <f t="shared" ref="AB15:AB78" si="36">_xlfn.RANK.EQ(I15,$D15:$R15,1)</f>
        <v>5</v>
      </c>
      <c r="AC15" s="5">
        <f t="shared" ref="AC15:AC78" si="37">_xlfn.RANK.EQ(J15,$D15:$R15,1)</f>
        <v>8</v>
      </c>
      <c r="AD15" s="5">
        <f t="shared" ref="AD15:AD78" si="38">_xlfn.RANK.EQ(K15,$D15:$R15,1)</f>
        <v>3</v>
      </c>
      <c r="AE15" s="5">
        <f t="shared" ref="AE15:AE78" si="39">_xlfn.RANK.EQ(L15,$D15:$R15,1)</f>
        <v>1</v>
      </c>
      <c r="AF15" s="5" t="e">
        <f t="shared" ref="AF15:AF78" si="40">_xlfn.RANK.EQ(M15,$D15:$R15,1)</f>
        <v>#N/A</v>
      </c>
      <c r="AG15" s="5" t="e">
        <f t="shared" ref="AG15:AG78" si="41">_xlfn.RANK.EQ(N15,$D15:$R15,1)</f>
        <v>#N/A</v>
      </c>
      <c r="AH15" s="5" t="e">
        <f t="shared" ref="AH15:AH78" si="42">_xlfn.RANK.EQ(O15,$D15:$R15,1)</f>
        <v>#N/A</v>
      </c>
      <c r="AI15" s="5" t="e">
        <f t="shared" ref="AI15:AI78" si="43">_xlfn.RANK.EQ(P15,$D15:$R15,1)</f>
        <v>#N/A</v>
      </c>
      <c r="AJ15" s="5" t="e">
        <f t="shared" ref="AJ15:AJ78" si="44">_xlfn.RANK.EQ(Q15,$D15:$R15,1)</f>
        <v>#N/A</v>
      </c>
      <c r="AK15" s="5" t="e">
        <f t="shared" ref="AK15:AK78" si="45">_xlfn.RANK.EQ(R15,$D15:$R15,1)</f>
        <v>#N/A</v>
      </c>
    </row>
    <row r="16" x14ac:dyDescent="0.3">
      <c r="A16" s="13"/>
      <c r="B16" s="11" t="s">
        <v>691</v>
      </c>
      <c r="C16" s="7" t="s">
        <v>730</v>
      </c>
      <c r="D16" s="6">
        <v>50.095745059284376</v>
      </c>
      <c r="E16" s="6">
        <v>38.990939218736571</v>
      </c>
      <c r="F16" s="6">
        <v>36.300646487895449</v>
      </c>
      <c r="G16" s="6">
        <v>53.775501471498885</v>
      </c>
      <c r="H16" s="6">
        <v>50.450461891251621</v>
      </c>
      <c r="I16" s="6">
        <v>25.397127772519791</v>
      </c>
      <c r="J16" s="6">
        <v>63.237414835298715</v>
      </c>
      <c r="K16" s="6">
        <v>26.775604028104286</v>
      </c>
      <c r="L16" s="6">
        <v>33.567022277303373</v>
      </c>
      <c r="M16" s="6">
        <v>47.355003198332646</v>
      </c>
      <c r="N16" s="6"/>
      <c r="O16" s="6"/>
      <c r="P16" s="6"/>
      <c r="Q16" s="6"/>
      <c r="R16" s="6"/>
      <c r="S16" s="7"/>
      <c r="T16" s="7" t="s">
        <v>30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x14ac:dyDescent="0.3">
      <c r="A17" s="13"/>
      <c r="B17" s="12" t="s">
        <v>691</v>
      </c>
      <c r="C17" s="3" t="s">
        <v>731</v>
      </c>
      <c r="D17" s="4">
        <v>2.0984375000000002</v>
      </c>
      <c r="E17" s="4">
        <v>0.26250000000000001</v>
      </c>
      <c r="F17" s="4">
        <v>0.33333333333333331</v>
      </c>
      <c r="G17" s="4">
        <v>0.24947916666666667</v>
      </c>
      <c r="H17" s="4">
        <v>0.27708333333333335</v>
      </c>
      <c r="I17" s="4">
        <v>0.21822916666666667</v>
      </c>
      <c r="J17" s="4">
        <v>10.9515625</v>
      </c>
      <c r="K17" s="4">
        <v>0.47343750000000001</v>
      </c>
      <c r="L17" s="4">
        <v>0.80104166666666665</v>
      </c>
      <c r="M17" s="4">
        <v>0.26145833333333335</v>
      </c>
      <c r="N17" s="4"/>
      <c r="O17" s="4"/>
      <c r="P17" s="4"/>
      <c r="Q17" s="4"/>
      <c r="R17" s="4"/>
      <c r="S17" s="3"/>
      <c r="T17" s="3" t="s">
        <v>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x14ac:dyDescent="0.3">
      <c r="A18" s="13"/>
      <c r="B18" s="10" t="s">
        <v>692</v>
      </c>
      <c r="C18" s="1" t="s">
        <v>732</v>
      </c>
      <c r="D18" s="2">
        <v>652.57969583223337</v>
      </c>
      <c r="E18" s="2">
        <v>676.66713326920501</v>
      </c>
      <c r="F18" s="2">
        <v>666.72972547324332</v>
      </c>
      <c r="G18" s="2">
        <v>618.46048072500196</v>
      </c>
      <c r="H18" s="2">
        <v>604.15545682029813</v>
      </c>
      <c r="I18" s="2">
        <v>605.27359365425741</v>
      </c>
      <c r="J18" s="2">
        <v>684.60627315813008</v>
      </c>
      <c r="K18" s="2">
        <v>623.02010193735669</v>
      </c>
      <c r="L18" s="2">
        <v>648.91810378969944</v>
      </c>
      <c r="M18" s="2">
        <v>615.17280522138708</v>
      </c>
      <c r="N18" s="2"/>
      <c r="O18" s="2"/>
      <c r="P18" s="2"/>
      <c r="Q18" s="2"/>
      <c r="R18" s="2"/>
      <c r="S18" s="1" t="s">
        <v>4</v>
      </c>
      <c r="T18" s="1" t="s">
        <v>29</v>
      </c>
      <c r="W18" s="5">
        <f t="shared" ref="W18:W49" si="46">_xlfn.RANK.EQ(D18,$D18:$R18,1)</f>
        <v>5</v>
      </c>
      <c r="X18" s="5">
        <f t="shared" ref="X18:X81" si="47">_xlfn.RANK.EQ(E18,$D18:$R18,1)</f>
        <v>4</v>
      </c>
      <c r="Y18" s="5">
        <f t="shared" ref="Y18:Y81" si="48">_xlfn.RANK.EQ(F18,$D18:$R18,1)</f>
        <v>6</v>
      </c>
      <c r="Z18" s="5">
        <f t="shared" ref="Z18:Z81" si="49">_xlfn.RANK.EQ(G18,$D18:$R18,1)</f>
        <v>3</v>
      </c>
      <c r="AA18" s="5">
        <f t="shared" ref="AA18:AA81" si="50">_xlfn.RANK.EQ(H18,$D18:$R18,1)</f>
        <v>9</v>
      </c>
      <c r="AB18" s="5">
        <f t="shared" ref="AB18:AB81" si="51">_xlfn.RANK.EQ(I18,$D18:$R18,1)</f>
        <v>7</v>
      </c>
      <c r="AC18" s="5">
        <f t="shared" ref="AC18:AC81" si="52">_xlfn.RANK.EQ(J18,$D18:$R18,1)</f>
        <v>8</v>
      </c>
      <c r="AD18" s="5">
        <f t="shared" ref="AD18:AD81" si="53">_xlfn.RANK.EQ(K18,$D18:$R18,1)</f>
        <v>1</v>
      </c>
      <c r="AE18" s="5">
        <f t="shared" ref="AE18:AE81" si="54">_xlfn.RANK.EQ(L18,$D18:$R18,1)</f>
        <v>2</v>
      </c>
      <c r="AF18" s="5" t="e">
        <f t="shared" ref="AF18:AF81" si="55">_xlfn.RANK.EQ(M18,$D18:$R18,1)</f>
        <v>#N/A</v>
      </c>
      <c r="AG18" s="5" t="e">
        <f t="shared" ref="AG18:AG81" si="56">_xlfn.RANK.EQ(N18,$D18:$R18,1)</f>
        <v>#N/A</v>
      </c>
      <c r="AH18" s="5" t="e">
        <f t="shared" ref="AH18:AH81" si="57">_xlfn.RANK.EQ(O18,$D18:$R18,1)</f>
        <v>#N/A</v>
      </c>
      <c r="AI18" s="5" t="e">
        <f t="shared" ref="AI18:AI81" si="58">_xlfn.RANK.EQ(P18,$D18:$R18,1)</f>
        <v>#N/A</v>
      </c>
      <c r="AJ18" s="5" t="e">
        <f t="shared" ref="AJ18:AJ81" si="59">_xlfn.RANK.EQ(Q18,$D18:$R18,1)</f>
        <v>#N/A</v>
      </c>
      <c r="AK18" s="5" t="e">
        <f t="shared" ref="AK18:AK81" si="60">_xlfn.RANK.EQ(R18,$D18:$R18,1)</f>
        <v>#N/A</v>
      </c>
    </row>
    <row r="19" x14ac:dyDescent="0.3">
      <c r="A19" s="13"/>
      <c r="B19" s="11" t="s">
        <v>692</v>
      </c>
      <c r="C19" s="7" t="s">
        <v>733</v>
      </c>
      <c r="D19" s="6">
        <v>12.943847504509673</v>
      </c>
      <c r="E19" s="6">
        <v>9.9827785139277818</v>
      </c>
      <c r="F19" s="6">
        <v>7.1740546838719226</v>
      </c>
      <c r="G19" s="6">
        <v>8.7234512970575775</v>
      </c>
      <c r="H19" s="6">
        <v>1.8392483862053639</v>
      </c>
      <c r="I19" s="6">
        <v>1.2154499755256625</v>
      </c>
      <c r="J19" s="6">
        <v>14.155005132984678</v>
      </c>
      <c r="K19" s="6">
        <v>11.741638419913878</v>
      </c>
      <c r="L19" s="6">
        <v>6.4670969359548218</v>
      </c>
      <c r="M19" s="6">
        <v>5.8354078133901677</v>
      </c>
      <c r="N19" s="6"/>
      <c r="O19" s="6"/>
      <c r="P19" s="6"/>
      <c r="Q19" s="6"/>
      <c r="R19" s="6"/>
      <c r="S19" s="7"/>
      <c r="T19" s="7" t="s">
        <v>30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x14ac:dyDescent="0.3">
      <c r="A20" s="13"/>
      <c r="B20" s="12" t="s">
        <v>692</v>
      </c>
      <c r="C20" s="3" t="s">
        <v>734</v>
      </c>
      <c r="D20" s="4">
        <v>3.4828125000000001</v>
      </c>
      <c r="E20" s="4">
        <v>0.60364583333333333</v>
      </c>
      <c r="F20" s="4">
        <v>0.5234375</v>
      </c>
      <c r="G20" s="4">
        <v>0.32135416666666666</v>
      </c>
      <c r="H20" s="4">
        <v>0.34791666666666665</v>
      </c>
      <c r="I20" s="4">
        <v>0.30989583333333331</v>
      </c>
      <c r="J20" s="4">
        <v>11.365625</v>
      </c>
      <c r="K20" s="4">
        <v>0.57395833333333335</v>
      </c>
      <c r="L20" s="4">
        <v>0.9291666666666667</v>
      </c>
      <c r="M20" s="4">
        <v>0.34583333333333333</v>
      </c>
      <c r="N20" s="4"/>
      <c r="O20" s="4"/>
      <c r="P20" s="4"/>
      <c r="Q20" s="4"/>
      <c r="R20" s="4"/>
      <c r="S20" s="3"/>
      <c r="T20" s="3" t="s">
        <v>31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x14ac:dyDescent="0.3">
      <c r="A21" s="13"/>
      <c r="B21" s="10" t="s">
        <v>693</v>
      </c>
      <c r="C21" s="1" t="s">
        <v>735</v>
      </c>
      <c r="D21" s="2">
        <v>1085.6509129750445</v>
      </c>
      <c r="E21" s="2">
        <v>1357.0705298297059</v>
      </c>
      <c r="F21" s="2">
        <v>1299.4315881015152</v>
      </c>
      <c r="G21" s="2">
        <v>918.8546159846768</v>
      </c>
      <c r="H21" s="2">
        <v>922.49511664168506</v>
      </c>
      <c r="I21" s="2">
        <v>930.49378106061738</v>
      </c>
      <c r="J21" s="2">
        <v>1282.1881857703531</v>
      </c>
      <c r="K21" s="2">
        <v>954.29240629096159</v>
      </c>
      <c r="L21" s="2">
        <v>1252.1934287378515</v>
      </c>
      <c r="M21" s="2">
        <v>940.60244794316156</v>
      </c>
      <c r="N21" s="2"/>
      <c r="O21" s="2"/>
      <c r="P21" s="2"/>
      <c r="Q21" s="2"/>
      <c r="R21" s="2"/>
      <c r="S21" s="1" t="s">
        <v>5</v>
      </c>
      <c r="T21" s="1" t="s">
        <v>29</v>
      </c>
      <c r="W21" s="5">
        <f t="shared" ref="W21:W52" si="61">_xlfn.RANK.EQ(D21,$D21:$R21,1)</f>
        <v>5</v>
      </c>
      <c r="X21" s="5">
        <f t="shared" ref="X21:X84" si="62">_xlfn.RANK.EQ(E21,$D21:$R21,1)</f>
        <v>3</v>
      </c>
      <c r="Y21" s="5">
        <f t="shared" ref="Y21:Y84" si="63">_xlfn.RANK.EQ(F21,$D21:$R21,1)</f>
        <v>8</v>
      </c>
      <c r="Z21" s="5">
        <f t="shared" ref="Z21:Z84" si="64">_xlfn.RANK.EQ(G21,$D21:$R21,1)</f>
        <v>6</v>
      </c>
      <c r="AA21" s="5">
        <f t="shared" ref="AA21:AA84" si="65">_xlfn.RANK.EQ(H21,$D21:$R21,1)</f>
        <v>9</v>
      </c>
      <c r="AB21" s="5">
        <f t="shared" ref="AB21:AB84" si="66">_xlfn.RANK.EQ(I21,$D21:$R21,1)</f>
        <v>4</v>
      </c>
      <c r="AC21" s="5">
        <f t="shared" ref="AC21:AC84" si="67">_xlfn.RANK.EQ(J21,$D21:$R21,1)</f>
        <v>7</v>
      </c>
      <c r="AD21" s="5">
        <f t="shared" ref="AD21:AD84" si="68">_xlfn.RANK.EQ(K21,$D21:$R21,1)</f>
        <v>1</v>
      </c>
      <c r="AE21" s="5">
        <f t="shared" ref="AE21:AE84" si="69">_xlfn.RANK.EQ(L21,$D21:$R21,1)</f>
        <v>2</v>
      </c>
      <c r="AF21" s="5" t="e">
        <f t="shared" ref="AF21:AF84" si="70">_xlfn.RANK.EQ(M21,$D21:$R21,1)</f>
        <v>#N/A</v>
      </c>
      <c r="AG21" s="5" t="e">
        <f t="shared" ref="AG21:AG84" si="71">_xlfn.RANK.EQ(N21,$D21:$R21,1)</f>
        <v>#N/A</v>
      </c>
      <c r="AH21" s="5" t="e">
        <f t="shared" ref="AH21:AH84" si="72">_xlfn.RANK.EQ(O21,$D21:$R21,1)</f>
        <v>#N/A</v>
      </c>
      <c r="AI21" s="5" t="e">
        <f t="shared" ref="AI21:AI84" si="73">_xlfn.RANK.EQ(P21,$D21:$R21,1)</f>
        <v>#N/A</v>
      </c>
      <c r="AJ21" s="5" t="e">
        <f t="shared" ref="AJ21:AJ84" si="74">_xlfn.RANK.EQ(Q21,$D21:$R21,1)</f>
        <v>#N/A</v>
      </c>
      <c r="AK21" s="5" t="e">
        <f t="shared" ref="AK21:AK84" si="75">_xlfn.RANK.EQ(R21,$D21:$R21,1)</f>
        <v>#N/A</v>
      </c>
    </row>
    <row r="22" x14ac:dyDescent="0.3">
      <c r="A22" s="13"/>
      <c r="B22" s="11" t="s">
        <v>693</v>
      </c>
      <c r="C22" s="7" t="s">
        <v>736</v>
      </c>
      <c r="D22" s="6">
        <v>60.921595645110884</v>
      </c>
      <c r="E22" s="6">
        <v>53.753940216016041</v>
      </c>
      <c r="F22" s="6">
        <v>58.37045319103769</v>
      </c>
      <c r="G22" s="6">
        <v>57.375961239568667</v>
      </c>
      <c r="H22" s="6">
        <v>57.653262581965407</v>
      </c>
      <c r="I22" s="6">
        <v>26.465933486050748</v>
      </c>
      <c r="J22" s="6">
        <v>170.30059343478743</v>
      </c>
      <c r="K22" s="6">
        <v>72.308561467763028</v>
      </c>
      <c r="L22" s="6">
        <v>94.152429479303905</v>
      </c>
      <c r="M22" s="6">
        <v>65.626907246056646</v>
      </c>
      <c r="N22" s="6"/>
      <c r="O22" s="6"/>
      <c r="P22" s="6"/>
      <c r="Q22" s="6"/>
      <c r="R22" s="6"/>
      <c r="S22" s="7"/>
      <c r="T22" s="7" t="s">
        <v>30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x14ac:dyDescent="0.3">
      <c r="A23" s="13"/>
      <c r="B23" s="12" t="s">
        <v>693</v>
      </c>
      <c r="C23" s="3" t="s">
        <v>737</v>
      </c>
      <c r="D23" s="4">
        <v>2.0630208333333333</v>
      </c>
      <c r="E23" s="4">
        <v>0.27291666666666664</v>
      </c>
      <c r="F23" s="4">
        <v>0.34999999999999998</v>
      </c>
      <c r="G23" s="4">
        <v>0.25885416666666666</v>
      </c>
      <c r="H23" s="4">
        <v>0.27708333333333335</v>
      </c>
      <c r="I23" s="4">
        <v>0.23020833333333332</v>
      </c>
      <c r="J23" s="4">
        <v>5.9765625</v>
      </c>
      <c r="K23" s="4">
        <v>0.46041666666666664</v>
      </c>
      <c r="L23" s="4">
        <v>0.79374999999999996</v>
      </c>
      <c r="M23" s="4">
        <v>0.26510416666666664</v>
      </c>
      <c r="N23" s="4"/>
      <c r="O23" s="4"/>
      <c r="P23" s="4"/>
      <c r="Q23" s="4"/>
      <c r="R23" s="4"/>
      <c r="S23" s="3"/>
      <c r="T23" s="3" t="s">
        <v>31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x14ac:dyDescent="0.3">
      <c r="A24" s="13"/>
      <c r="B24" s="10" t="s">
        <v>694</v>
      </c>
      <c r="C24" s="1" t="s">
        <v>738</v>
      </c>
      <c r="D24" s="2">
        <v>954.11362148152739</v>
      </c>
      <c r="E24" s="2">
        <v>1092.7651853960315</v>
      </c>
      <c r="F24" s="2">
        <v>979.00855007919824</v>
      </c>
      <c r="G24" s="2">
        <v>912.61381971479102</v>
      </c>
      <c r="H24" s="2">
        <v>935.86286906854252</v>
      </c>
      <c r="I24" s="2">
        <v>930.17798149462726</v>
      </c>
      <c r="J24" s="2">
        <v>1110.8361507643644</v>
      </c>
      <c r="K24" s="2">
        <v>914.81760577024295</v>
      </c>
      <c r="L24" s="2">
        <v>956.10851002641846</v>
      </c>
      <c r="M24" s="2">
        <v>924.07828812909224</v>
      </c>
      <c r="N24" s="2"/>
      <c r="O24" s="2"/>
      <c r="P24" s="2"/>
      <c r="Q24" s="2"/>
      <c r="R24" s="2"/>
      <c r="S24" s="1" t="s">
        <v>6</v>
      </c>
      <c r="T24" s="1" t="s">
        <v>29</v>
      </c>
      <c r="W24" s="5">
        <f t="shared" ref="W24:W55" si="76">_xlfn.RANK.EQ(D24,$D24:$R24,1)</f>
        <v>5</v>
      </c>
      <c r="X24" s="5">
        <f t="shared" ref="X24:X87" si="77">_xlfn.RANK.EQ(E24,$D24:$R24,1)</f>
        <v>1</v>
      </c>
      <c r="Y24" s="5">
        <f t="shared" ref="Y24:Y87" si="78">_xlfn.RANK.EQ(F24,$D24:$R24,1)</f>
        <v>4</v>
      </c>
      <c r="Z24" s="5">
        <f t="shared" ref="Z24:Z87" si="79">_xlfn.RANK.EQ(G24,$D24:$R24,1)</f>
        <v>8</v>
      </c>
      <c r="AA24" s="5">
        <f t="shared" ref="AA24:AA87" si="80">_xlfn.RANK.EQ(H24,$D24:$R24,1)</f>
        <v>9</v>
      </c>
      <c r="AB24" s="5">
        <f t="shared" ref="AB24:AB87" si="81">_xlfn.RANK.EQ(I24,$D24:$R24,1)</f>
        <v>7</v>
      </c>
      <c r="AC24" s="5">
        <f t="shared" ref="AC24:AC87" si="82">_xlfn.RANK.EQ(J24,$D24:$R24,1)</f>
        <v>6</v>
      </c>
      <c r="AD24" s="5">
        <f t="shared" ref="AD24:AD87" si="83">_xlfn.RANK.EQ(K24,$D24:$R24,1)</f>
        <v>2</v>
      </c>
      <c r="AE24" s="5">
        <f t="shared" ref="AE24:AE87" si="84">_xlfn.RANK.EQ(L24,$D24:$R24,1)</f>
        <v>3</v>
      </c>
      <c r="AF24" s="5" t="e">
        <f t="shared" ref="AF24:AF87" si="85">_xlfn.RANK.EQ(M24,$D24:$R24,1)</f>
        <v>#N/A</v>
      </c>
      <c r="AG24" s="5" t="e">
        <f t="shared" ref="AG24:AG87" si="86">_xlfn.RANK.EQ(N24,$D24:$R24,1)</f>
        <v>#N/A</v>
      </c>
      <c r="AH24" s="5" t="e">
        <f t="shared" ref="AH24:AH87" si="87">_xlfn.RANK.EQ(O24,$D24:$R24,1)</f>
        <v>#N/A</v>
      </c>
      <c r="AI24" s="5" t="e">
        <f t="shared" ref="AI24:AI87" si="88">_xlfn.RANK.EQ(P24,$D24:$R24,1)</f>
        <v>#N/A</v>
      </c>
      <c r="AJ24" s="5" t="e">
        <f t="shared" ref="AJ24:AJ87" si="89">_xlfn.RANK.EQ(Q24,$D24:$R24,1)</f>
        <v>#N/A</v>
      </c>
      <c r="AK24" s="5" t="e">
        <f t="shared" ref="AK24:AK87" si="90">_xlfn.RANK.EQ(R24,$D24:$R24,1)</f>
        <v>#N/A</v>
      </c>
    </row>
    <row r="25" x14ac:dyDescent="0.3">
      <c r="A25" s="13"/>
      <c r="B25" s="11" t="s">
        <v>694</v>
      </c>
      <c r="C25" s="7" t="s">
        <v>739</v>
      </c>
      <c r="D25" s="6">
        <v>19.106274200291487</v>
      </c>
      <c r="E25" s="6">
        <v>25.303368600701063</v>
      </c>
      <c r="F25" s="6">
        <v>20.13330850875839</v>
      </c>
      <c r="G25" s="6">
        <v>35.664679098365042</v>
      </c>
      <c r="H25" s="6">
        <v>46.27543558502083</v>
      </c>
      <c r="I25" s="6">
        <v>27.437237583830608</v>
      </c>
      <c r="J25" s="6">
        <v>62.112449937400115</v>
      </c>
      <c r="K25" s="6">
        <v>35.01779792517344</v>
      </c>
      <c r="L25" s="6">
        <v>42.222678740920671</v>
      </c>
      <c r="M25" s="6">
        <v>43.265593638916279</v>
      </c>
      <c r="N25" s="6"/>
      <c r="O25" s="6"/>
      <c r="P25" s="6"/>
      <c r="Q25" s="6"/>
      <c r="R25" s="6"/>
      <c r="S25" s="7"/>
      <c r="T25" s="7" t="s">
        <v>30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x14ac:dyDescent="0.3">
      <c r="A26" s="13"/>
      <c r="B26" s="12" t="s">
        <v>694</v>
      </c>
      <c r="C26" s="3" t="s">
        <v>740</v>
      </c>
      <c r="D26" s="4">
        <v>2.2062499999999998</v>
      </c>
      <c r="E26" s="4">
        <v>0.27812500000000001</v>
      </c>
      <c r="F26" s="4">
        <v>0.34791666666666665</v>
      </c>
      <c r="G26" s="4">
        <v>0.24531249999999999</v>
      </c>
      <c r="H26" s="4">
        <v>0.26927083333333335</v>
      </c>
      <c r="I26" s="4">
        <v>0.21041666666666667</v>
      </c>
      <c r="J26" s="4">
        <v>9.5046874999999993</v>
      </c>
      <c r="K26" s="4">
        <v>0.49791666666666667</v>
      </c>
      <c r="L26" s="4">
        <v>0.78697916666666667</v>
      </c>
      <c r="M26" s="4">
        <v>0.25468750000000001</v>
      </c>
      <c r="N26" s="4"/>
      <c r="O26" s="4"/>
      <c r="P26" s="4"/>
      <c r="Q26" s="4"/>
      <c r="R26" s="4"/>
      <c r="S26" s="3"/>
      <c r="T26" s="3" t="s">
        <v>31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x14ac:dyDescent="0.3">
      <c r="A27" s="13"/>
      <c r="B27" s="10" t="s">
        <v>695</v>
      </c>
      <c r="C27" s="1" t="s">
        <v>741</v>
      </c>
      <c r="D27" s="2">
        <v>5338.0745249997435</v>
      </c>
      <c r="E27" s="2">
        <v>9400.4163958039462</v>
      </c>
      <c r="F27" s="2">
        <v>7935.9075478413442</v>
      </c>
      <c r="G27" s="2">
        <v>3530.3367985483574</v>
      </c>
      <c r="H27" s="2">
        <v>1932.571467322821</v>
      </c>
      <c r="I27" s="2">
        <v>2864.2104547016525</v>
      </c>
      <c r="J27" s="2">
        <v>11987.080592664382</v>
      </c>
      <c r="K27" s="2">
        <v>3896.6849459661671</v>
      </c>
      <c r="L27" s="2">
        <v>5634.3522250456899</v>
      </c>
      <c r="M27" s="2">
        <v>3058.6802693744976</v>
      </c>
      <c r="N27" s="2"/>
      <c r="O27" s="2"/>
      <c r="P27" s="2"/>
      <c r="Q27" s="2"/>
      <c r="R27" s="2"/>
      <c r="S27" s="1" t="s">
        <v>7</v>
      </c>
      <c r="T27" s="1" t="s">
        <v>29</v>
      </c>
      <c r="W27" s="5">
        <f t="shared" ref="W27:W58" si="91">_xlfn.RANK.EQ(D27,$D27:$R27,1)</f>
        <v>3</v>
      </c>
      <c r="X27" s="5">
        <f t="shared" ref="X27:X90" si="92">_xlfn.RANK.EQ(E27,$D27:$R27,1)</f>
        <v>5</v>
      </c>
      <c r="Y27" s="5">
        <f t="shared" ref="Y27:Y90" si="93">_xlfn.RANK.EQ(F27,$D27:$R27,1)</f>
        <v>7</v>
      </c>
      <c r="Z27" s="5">
        <f t="shared" ref="Z27:Z90" si="94">_xlfn.RANK.EQ(G27,$D27:$R27,1)</f>
        <v>2</v>
      </c>
      <c r="AA27" s="5">
        <f t="shared" ref="AA27:AA90" si="95">_xlfn.RANK.EQ(H27,$D27:$R27,1)</f>
        <v>9</v>
      </c>
      <c r="AB27" s="5">
        <f t="shared" ref="AB27:AB90" si="96">_xlfn.RANK.EQ(I27,$D27:$R27,1)</f>
        <v>8</v>
      </c>
      <c r="AC27" s="5">
        <f t="shared" ref="AC27:AC90" si="97">_xlfn.RANK.EQ(J27,$D27:$R27,1)</f>
        <v>6</v>
      </c>
      <c r="AD27" s="5">
        <f t="shared" ref="AD27:AD90" si="98">_xlfn.RANK.EQ(K27,$D27:$R27,1)</f>
        <v>1</v>
      </c>
      <c r="AE27" s="5">
        <f t="shared" ref="AE27:AE90" si="99">_xlfn.RANK.EQ(L27,$D27:$R27,1)</f>
        <v>4</v>
      </c>
      <c r="AF27" s="5" t="e">
        <f t="shared" ref="AF27:AF90" si="100">_xlfn.RANK.EQ(M27,$D27:$R27,1)</f>
        <v>#N/A</v>
      </c>
      <c r="AG27" s="5" t="e">
        <f t="shared" ref="AG27:AG90" si="101">_xlfn.RANK.EQ(N27,$D27:$R27,1)</f>
        <v>#N/A</v>
      </c>
      <c r="AH27" s="5" t="e">
        <f t="shared" ref="AH27:AH90" si="102">_xlfn.RANK.EQ(O27,$D27:$R27,1)</f>
        <v>#N/A</v>
      </c>
      <c r="AI27" s="5" t="e">
        <f t="shared" ref="AI27:AI90" si="103">_xlfn.RANK.EQ(P27,$D27:$R27,1)</f>
        <v>#N/A</v>
      </c>
      <c r="AJ27" s="5" t="e">
        <f t="shared" ref="AJ27:AJ90" si="104">_xlfn.RANK.EQ(Q27,$D27:$R27,1)</f>
        <v>#N/A</v>
      </c>
      <c r="AK27" s="5" t="e">
        <f t="shared" ref="AK27:AK90" si="105">_xlfn.RANK.EQ(R27,$D27:$R27,1)</f>
        <v>#N/A</v>
      </c>
    </row>
    <row r="28" x14ac:dyDescent="0.3">
      <c r="A28" s="13"/>
      <c r="B28" s="11" t="s">
        <v>695</v>
      </c>
      <c r="C28" s="7" t="s">
        <v>742</v>
      </c>
      <c r="D28" s="6">
        <v>1744.2734357565012</v>
      </c>
      <c r="E28" s="6">
        <v>1504.0396870660913</v>
      </c>
      <c r="F28" s="6">
        <v>1227.3056766260629</v>
      </c>
      <c r="G28" s="6">
        <v>1730.2143167278205</v>
      </c>
      <c r="H28" s="6">
        <v>910.66467943555199</v>
      </c>
      <c r="I28" s="6">
        <v>1580.325494476517</v>
      </c>
      <c r="J28" s="6">
        <v>4154.114211961627</v>
      </c>
      <c r="K28" s="6">
        <v>1363.5640161817123</v>
      </c>
      <c r="L28" s="6">
        <v>1017.0390484511861</v>
      </c>
      <c r="M28" s="6">
        <v>1050.5700515838778</v>
      </c>
      <c r="N28" s="6"/>
      <c r="O28" s="6"/>
      <c r="P28" s="6"/>
      <c r="Q28" s="6"/>
      <c r="R28" s="6"/>
      <c r="S28" s="7"/>
      <c r="T28" s="7" t="s">
        <v>30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x14ac:dyDescent="0.3">
      <c r="A29" s="15"/>
      <c r="B29" s="12" t="s">
        <v>695</v>
      </c>
      <c r="C29" s="3" t="s">
        <v>743</v>
      </c>
      <c r="D29" s="4">
        <v>2.2838541666666665</v>
      </c>
      <c r="E29" s="4">
        <v>0.27500000000000002</v>
      </c>
      <c r="F29" s="4">
        <v>0.39895833333333336</v>
      </c>
      <c r="G29" s="4">
        <v>0.26041666666666669</v>
      </c>
      <c r="H29" s="4">
        <v>0.30052083333333335</v>
      </c>
      <c r="I29" s="4">
        <v>0.23281250000000001</v>
      </c>
      <c r="J29" s="4">
        <v>8.9499999999999993</v>
      </c>
      <c r="K29" s="4">
        <v>0.453125</v>
      </c>
      <c r="L29" s="4">
        <v>0.78749999999999998</v>
      </c>
      <c r="M29" s="4">
        <v>0.25260416666666669</v>
      </c>
      <c r="N29" s="4"/>
      <c r="O29" s="4"/>
      <c r="P29" s="4"/>
      <c r="Q29" s="4"/>
      <c r="R29" s="4"/>
      <c r="S29" s="3"/>
      <c r="T29" s="3" t="s">
        <v>31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x14ac:dyDescent="0.3">
      <c r="A30" s="16" t="s">
        <v>38</v>
      </c>
      <c r="B30" s="10" t="s">
        <v>696</v>
      </c>
      <c r="C30" s="1" t="s">
        <v>744</v>
      </c>
      <c r="D30" s="2">
        <v>5301.233671807975</v>
      </c>
      <c r="E30" s="2">
        <v>8186.5518656141203</v>
      </c>
      <c r="F30" s="2">
        <v>5989.6188501629495</v>
      </c>
      <c r="G30" s="2">
        <v>5799.1255423824277</v>
      </c>
      <c r="H30" s="2">
        <v>6817.2896700199299</v>
      </c>
      <c r="I30" s="2">
        <v>4869.6764178907097</v>
      </c>
      <c r="J30" s="2">
        <v>8479.240162394879</v>
      </c>
      <c r="K30" s="2">
        <v>5165.9935002744132</v>
      </c>
      <c r="L30" s="2">
        <v>5008.5641406103368</v>
      </c>
      <c r="M30" s="2">
        <v>5811.0545799456477</v>
      </c>
      <c r="N30" s="2"/>
      <c r="O30" s="2"/>
      <c r="P30" s="2"/>
      <c r="Q30" s="2"/>
      <c r="R30" s="2"/>
      <c r="S30" s="1" t="s">
        <v>8</v>
      </c>
      <c r="T30" s="1" t="s">
        <v>29</v>
      </c>
      <c r="W30" s="5">
        <f t="shared" ref="W30:W61" si="106">_xlfn.RANK.EQ(D30,$D30:$R30,1)</f>
        <v>1</v>
      </c>
      <c r="X30" s="5">
        <f t="shared" ref="X30:X92" si="107">_xlfn.RANK.EQ(E30,$D30:$R30,1)</f>
        <v>4</v>
      </c>
      <c r="Y30" s="5">
        <f t="shared" ref="Y30:Y92" si="108">_xlfn.RANK.EQ(F30,$D30:$R30,1)</f>
        <v>3</v>
      </c>
      <c r="Z30" s="5">
        <f t="shared" ref="Z30:Z92" si="109">_xlfn.RANK.EQ(G30,$D30:$R30,1)</f>
        <v>9</v>
      </c>
      <c r="AA30" s="5">
        <f t="shared" ref="AA30:AA92" si="110">_xlfn.RANK.EQ(H30,$D30:$R30,1)</f>
        <v>8</v>
      </c>
      <c r="AB30" s="5">
        <f t="shared" ref="AB30:AB92" si="111">_xlfn.RANK.EQ(I30,$D30:$R30,1)</f>
        <v>6</v>
      </c>
      <c r="AC30" s="5">
        <f t="shared" ref="AC30:AC92" si="112">_xlfn.RANK.EQ(J30,$D30:$R30,1)</f>
        <v>5</v>
      </c>
      <c r="AD30" s="5">
        <f t="shared" ref="AD30:AD92" si="113">_xlfn.RANK.EQ(K30,$D30:$R30,1)</f>
        <v>7</v>
      </c>
      <c r="AE30" s="5">
        <f t="shared" ref="AE30:AE92" si="114">_xlfn.RANK.EQ(L30,$D30:$R30,1)</f>
        <v>2</v>
      </c>
      <c r="AF30" s="5" t="e">
        <f t="shared" ref="AF30:AF92" si="115">_xlfn.RANK.EQ(M30,$D30:$R30,1)</f>
        <v>#N/A</v>
      </c>
      <c r="AG30" s="5" t="e">
        <f t="shared" ref="AG30:AG92" si="116">_xlfn.RANK.EQ(N30,$D30:$R30,1)</f>
        <v>#N/A</v>
      </c>
      <c r="AH30" s="5" t="e">
        <f t="shared" ref="AH30:AH92" si="117">_xlfn.RANK.EQ(O30,$D30:$R30,1)</f>
        <v>#N/A</v>
      </c>
      <c r="AI30" s="5" t="e">
        <f t="shared" ref="AI30:AI92" si="118">_xlfn.RANK.EQ(P30,$D30:$R30,1)</f>
        <v>#N/A</v>
      </c>
      <c r="AJ30" s="5" t="e">
        <f t="shared" ref="AJ30:AJ92" si="119">_xlfn.RANK.EQ(Q30,$D30:$R30,1)</f>
        <v>#N/A</v>
      </c>
      <c r="AK30" s="5" t="e">
        <f t="shared" ref="AK30:AK92" si="120">_xlfn.RANK.EQ(R30,$D30:$R30,1)</f>
        <v>#N/A</v>
      </c>
    </row>
    <row r="31" x14ac:dyDescent="0.3">
      <c r="A31" s="13"/>
      <c r="B31" s="11" t="s">
        <v>696</v>
      </c>
      <c r="C31" s="7" t="s">
        <v>745</v>
      </c>
      <c r="D31" s="6">
        <v>867.84891031500138</v>
      </c>
      <c r="E31" s="6">
        <v>619.80961354787655</v>
      </c>
      <c r="F31" s="6">
        <v>736.9384476433637</v>
      </c>
      <c r="G31" s="6">
        <v>1740.4961169311632</v>
      </c>
      <c r="H31" s="6">
        <v>1178.7279709140571</v>
      </c>
      <c r="I31" s="6">
        <v>497.07248101585236</v>
      </c>
      <c r="J31" s="6">
        <v>676.14261534753132</v>
      </c>
      <c r="K31" s="6">
        <v>460.75816143173233</v>
      </c>
      <c r="L31" s="6">
        <v>765.02817560888991</v>
      </c>
      <c r="M31" s="6">
        <v>1809.3046147528723</v>
      </c>
      <c r="N31" s="6"/>
      <c r="O31" s="6"/>
      <c r="P31" s="6"/>
      <c r="Q31" s="6"/>
      <c r="R31" s="6"/>
      <c r="S31" s="7"/>
      <c r="T31" s="7" t="s">
        <v>30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x14ac:dyDescent="0.3">
      <c r="A32" s="13"/>
      <c r="B32" s="12" t="s">
        <v>696</v>
      </c>
      <c r="C32" s="3" t="s">
        <v>746</v>
      </c>
      <c r="D32" s="4">
        <v>2.5453125000000001</v>
      </c>
      <c r="E32" s="4">
        <v>0.33854166666666669</v>
      </c>
      <c r="F32" s="4">
        <v>0.37552083333333336</v>
      </c>
      <c r="G32" s="4">
        <v>0.25937500000000002</v>
      </c>
      <c r="H32" s="4">
        <v>0.2890625</v>
      </c>
      <c r="I32" s="4">
        <v>0.24895833333333334</v>
      </c>
      <c r="J32" s="4">
        <v>12.947395833333333</v>
      </c>
      <c r="K32" s="4">
        <v>0.46354166666666669</v>
      </c>
      <c r="L32" s="4">
        <v>0.7817708333333333</v>
      </c>
      <c r="M32" s="4">
        <v>0.27916666666666667</v>
      </c>
      <c r="N32" s="4"/>
      <c r="O32" s="4"/>
      <c r="P32" s="4"/>
      <c r="Q32" s="4"/>
      <c r="R32" s="4"/>
      <c r="S32" s="3"/>
      <c r="T32" s="3" t="s">
        <v>31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x14ac:dyDescent="0.3">
      <c r="A33" s="13"/>
      <c r="B33" s="10" t="s">
        <v>697</v>
      </c>
      <c r="C33" s="1" t="s">
        <v>747</v>
      </c>
      <c r="D33" s="2">
        <v>1258.7014957882759</v>
      </c>
      <c r="E33" s="2">
        <v>9324.4195110540604</v>
      </c>
      <c r="F33" s="2">
        <v>1313.6578482293476</v>
      </c>
      <c r="G33" s="2">
        <v>2108.6408819005542</v>
      </c>
      <c r="H33" s="2">
        <v>1367.6112262069039</v>
      </c>
      <c r="I33" s="2">
        <v>10640.566792705808</v>
      </c>
      <c r="J33" s="2">
        <v>8622.1890855668516</v>
      </c>
      <c r="K33" s="2">
        <v>1274.7554791242205</v>
      </c>
      <c r="L33" s="2">
        <v>1796.7450145893356</v>
      </c>
      <c r="M33" s="2">
        <v>2048.3091131947554</v>
      </c>
      <c r="N33" s="2"/>
      <c r="O33" s="2"/>
      <c r="P33" s="2"/>
      <c r="Q33" s="2"/>
      <c r="R33" s="2"/>
      <c r="S33" s="1" t="s">
        <v>9</v>
      </c>
      <c r="T33" s="1" t="s">
        <v>29</v>
      </c>
      <c r="W33" s="5">
        <f t="shared" ref="W33:W64" si="121">_xlfn.RANK.EQ(D33,$D33:$R33,1)</f>
        <v>1</v>
      </c>
      <c r="X33" s="5">
        <f t="shared" ref="X33:X92" si="122">_xlfn.RANK.EQ(E33,$D33:$R33,1)</f>
        <v>4</v>
      </c>
      <c r="Y33" s="5">
        <f t="shared" ref="Y33:Y92" si="123">_xlfn.RANK.EQ(F33,$D33:$R33,1)</f>
        <v>6</v>
      </c>
      <c r="Z33" s="5">
        <f t="shared" ref="Z33:Z92" si="124">_xlfn.RANK.EQ(G33,$D33:$R33,1)</f>
        <v>5</v>
      </c>
      <c r="AA33" s="5">
        <f t="shared" ref="AA33:AA92" si="125">_xlfn.RANK.EQ(H33,$D33:$R33,1)</f>
        <v>9</v>
      </c>
      <c r="AB33" s="5">
        <f t="shared" ref="AB33:AB92" si="126">_xlfn.RANK.EQ(I33,$D33:$R33,1)</f>
        <v>3</v>
      </c>
      <c r="AC33" s="5">
        <f t="shared" ref="AC33:AC92" si="127">_xlfn.RANK.EQ(J33,$D33:$R33,1)</f>
        <v>7</v>
      </c>
      <c r="AD33" s="5">
        <f t="shared" ref="AD33:AD92" si="128">_xlfn.RANK.EQ(K33,$D33:$R33,1)</f>
        <v>2</v>
      </c>
      <c r="AE33" s="5">
        <f t="shared" ref="AE33:AE92" si="129">_xlfn.RANK.EQ(L33,$D33:$R33,1)</f>
        <v>8</v>
      </c>
      <c r="AF33" s="5" t="e">
        <f t="shared" ref="AF33:AF92" si="130">_xlfn.RANK.EQ(M33,$D33:$R33,1)</f>
        <v>#N/A</v>
      </c>
      <c r="AG33" s="5" t="e">
        <f t="shared" ref="AG33:AG92" si="131">_xlfn.RANK.EQ(N33,$D33:$R33,1)</f>
        <v>#N/A</v>
      </c>
      <c r="AH33" s="5" t="e">
        <f t="shared" ref="AH33:AH92" si="132">_xlfn.RANK.EQ(O33,$D33:$R33,1)</f>
        <v>#N/A</v>
      </c>
      <c r="AI33" s="5" t="e">
        <f t="shared" ref="AI33:AI92" si="133">_xlfn.RANK.EQ(P33,$D33:$R33,1)</f>
        <v>#N/A</v>
      </c>
      <c r="AJ33" s="5" t="e">
        <f t="shared" ref="AJ33:AJ92" si="134">_xlfn.RANK.EQ(Q33,$D33:$R33,1)</f>
        <v>#N/A</v>
      </c>
      <c r="AK33" s="5" t="e">
        <f t="shared" ref="AK33:AK92" si="135">_xlfn.RANK.EQ(R33,$D33:$R33,1)</f>
        <v>#N/A</v>
      </c>
    </row>
    <row r="34" x14ac:dyDescent="0.3">
      <c r="A34" s="13"/>
      <c r="B34" s="11" t="s">
        <v>697</v>
      </c>
      <c r="C34" s="7" t="s">
        <v>748</v>
      </c>
      <c r="D34" s="6">
        <v>43.678330825662144</v>
      </c>
      <c r="E34" s="6">
        <v>2171.7577849398585</v>
      </c>
      <c r="F34" s="6">
        <v>59.809261222844896</v>
      </c>
      <c r="G34" s="6">
        <v>898.97957186047984</v>
      </c>
      <c r="H34" s="6">
        <v>88.471259072454558</v>
      </c>
      <c r="I34" s="6">
        <v>8160.9028130834749</v>
      </c>
      <c r="J34" s="6">
        <v>3347.3160807219856</v>
      </c>
      <c r="K34" s="6">
        <v>49.004178795891931</v>
      </c>
      <c r="L34" s="6">
        <v>711.95883903393371</v>
      </c>
      <c r="M34" s="6">
        <v>715.6147980616953</v>
      </c>
      <c r="N34" s="6"/>
      <c r="O34" s="6"/>
      <c r="P34" s="6"/>
      <c r="Q34" s="6"/>
      <c r="R34" s="6"/>
      <c r="S34" s="7"/>
      <c r="T34" s="7" t="s">
        <v>30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x14ac:dyDescent="0.3">
      <c r="A35" s="13"/>
      <c r="B35" s="12" t="s">
        <v>697</v>
      </c>
      <c r="C35" s="3" t="s">
        <v>749</v>
      </c>
      <c r="D35" s="4">
        <v>1.9770833333333333</v>
      </c>
      <c r="E35" s="4">
        <v>0.20156250000000001</v>
      </c>
      <c r="F35" s="4">
        <v>0.30104166666666665</v>
      </c>
      <c r="G35" s="4">
        <v>0.22343750000000001</v>
      </c>
      <c r="H35" s="4">
        <v>0.26614583333333336</v>
      </c>
      <c r="I35" s="4">
        <v>0.22239583333333332</v>
      </c>
      <c r="J35" s="4">
        <v>9.0187500000000007</v>
      </c>
      <c r="K35" s="4">
        <v>0.42135416666666664</v>
      </c>
      <c r="L35" s="4">
        <v>0.671875</v>
      </c>
      <c r="M35" s="4">
        <v>0.25312499999999999</v>
      </c>
      <c r="N35" s="4"/>
      <c r="O35" s="4"/>
      <c r="P35" s="4"/>
      <c r="Q35" s="4"/>
      <c r="R35" s="4"/>
      <c r="S35" s="3"/>
      <c r="T35" s="3" t="s">
        <v>31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x14ac:dyDescent="0.3">
      <c r="A36" s="13"/>
      <c r="B36" s="10" t="s">
        <v>698</v>
      </c>
      <c r="C36" s="1" t="s">
        <v>750</v>
      </c>
      <c r="D36" s="2">
        <v>13016589.350060236</v>
      </c>
      <c r="E36" s="2">
        <v>3982350387.2696481</v>
      </c>
      <c r="F36" s="2">
        <v>30121455.159633417</v>
      </c>
      <c r="G36" s="2">
        <v>82552253.122406512</v>
      </c>
      <c r="H36" s="2">
        <v>3005283.470572128</v>
      </c>
      <c r="I36" s="2">
        <v>34496486.213843234</v>
      </c>
      <c r="J36" s="2">
        <v>1210562375.1134953</v>
      </c>
      <c r="K36" s="2">
        <v>2121991.1353639881</v>
      </c>
      <c r="L36" s="2">
        <v>2123117.6805607346</v>
      </c>
      <c r="M36" s="2">
        <v>106122450.97020333</v>
      </c>
      <c r="N36" s="2"/>
      <c r="O36" s="2"/>
      <c r="P36" s="2"/>
      <c r="Q36" s="2"/>
      <c r="R36" s="2"/>
      <c r="S36" s="1" t="s">
        <v>10</v>
      </c>
      <c r="T36" s="1" t="s">
        <v>29</v>
      </c>
      <c r="W36" s="5">
        <f t="shared" ref="W36:W67" si="136">_xlfn.RANK.EQ(D36,$D36:$R36,1)</f>
        <v>1</v>
      </c>
      <c r="X36" s="5">
        <f t="shared" ref="X36:X92" si="137">_xlfn.RANK.EQ(E36,$D36:$R36,1)</f>
        <v>2</v>
      </c>
      <c r="Y36" s="5">
        <f t="shared" ref="Y36:Y92" si="138">_xlfn.RANK.EQ(F36,$D36:$R36,1)</f>
        <v>3</v>
      </c>
      <c r="Z36" s="5">
        <f t="shared" ref="Z36:Z92" si="139">_xlfn.RANK.EQ(G36,$D36:$R36,1)</f>
        <v>5</v>
      </c>
      <c r="AA36" s="5">
        <f t="shared" ref="AA36:AA92" si="140">_xlfn.RANK.EQ(H36,$D36:$R36,1)</f>
        <v>8</v>
      </c>
      <c r="AB36" s="5">
        <f t="shared" ref="AB36:AB92" si="141">_xlfn.RANK.EQ(I36,$D36:$R36,1)</f>
        <v>6</v>
      </c>
      <c r="AC36" s="5">
        <f t="shared" ref="AC36:AC92" si="142">_xlfn.RANK.EQ(J36,$D36:$R36,1)</f>
        <v>9</v>
      </c>
      <c r="AD36" s="5">
        <f t="shared" ref="AD36:AD92" si="143">_xlfn.RANK.EQ(K36,$D36:$R36,1)</f>
        <v>4</v>
      </c>
      <c r="AE36" s="5">
        <f t="shared" ref="AE36:AE92" si="144">_xlfn.RANK.EQ(L36,$D36:$R36,1)</f>
        <v>7</v>
      </c>
      <c r="AF36" s="5" t="e">
        <f t="shared" ref="AF36:AF92" si="145">_xlfn.RANK.EQ(M36,$D36:$R36,1)</f>
        <v>#N/A</v>
      </c>
      <c r="AG36" s="5" t="e">
        <f t="shared" ref="AG36:AG92" si="146">_xlfn.RANK.EQ(N36,$D36:$R36,1)</f>
        <v>#N/A</v>
      </c>
      <c r="AH36" s="5" t="e">
        <f t="shared" ref="AH36:AH92" si="147">_xlfn.RANK.EQ(O36,$D36:$R36,1)</f>
        <v>#N/A</v>
      </c>
      <c r="AI36" s="5" t="e">
        <f t="shared" ref="AI36:AI92" si="148">_xlfn.RANK.EQ(P36,$D36:$R36,1)</f>
        <v>#N/A</v>
      </c>
      <c r="AJ36" s="5" t="e">
        <f t="shared" ref="AJ36:AJ92" si="149">_xlfn.RANK.EQ(Q36,$D36:$R36,1)</f>
        <v>#N/A</v>
      </c>
      <c r="AK36" s="5" t="e">
        <f t="shared" ref="AK36:AK92" si="150">_xlfn.RANK.EQ(R36,$D36:$R36,1)</f>
        <v>#N/A</v>
      </c>
    </row>
    <row r="37" x14ac:dyDescent="0.3">
      <c r="A37" s="13"/>
      <c r="B37" s="11" t="s">
        <v>698</v>
      </c>
      <c r="C37" s="7" t="s">
        <v>751</v>
      </c>
      <c r="D37" s="6">
        <v>8295967.2424185779</v>
      </c>
      <c r="E37" s="6">
        <v>2126513055.9526119</v>
      </c>
      <c r="F37" s="6">
        <v>26837180.869055044</v>
      </c>
      <c r="G37" s="6">
        <v>77958174.045734078</v>
      </c>
      <c r="H37" s="6">
        <v>3540158.8304483052</v>
      </c>
      <c r="I37" s="6">
        <v>27530306.407314945</v>
      </c>
      <c r="J37" s="6">
        <v>1184754234.4671311</v>
      </c>
      <c r="K37" s="6">
        <v>2195462.5274737752</v>
      </c>
      <c r="L37" s="6">
        <v>1225244.1681108719</v>
      </c>
      <c r="M37" s="6">
        <v>99372563.544062331</v>
      </c>
      <c r="N37" s="6"/>
      <c r="O37" s="6"/>
      <c r="P37" s="6"/>
      <c r="Q37" s="6"/>
      <c r="R37" s="6"/>
      <c r="S37" s="7"/>
      <c r="T37" s="7" t="s">
        <v>30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x14ac:dyDescent="0.3">
      <c r="A38" s="13"/>
      <c r="B38" s="12" t="s">
        <v>698</v>
      </c>
      <c r="C38" s="3" t="s">
        <v>752</v>
      </c>
      <c r="D38" s="4">
        <v>2.1437499999999998</v>
      </c>
      <c r="E38" s="4">
        <v>0.265625</v>
      </c>
      <c r="F38" s="4">
        <v>0.33385416666666667</v>
      </c>
      <c r="G38" s="4">
        <v>0.24322916666666666</v>
      </c>
      <c r="H38" s="4">
        <v>0.26406249999999998</v>
      </c>
      <c r="I38" s="4">
        <v>0.22187499999999999</v>
      </c>
      <c r="J38" s="4">
        <v>6.6812500000000004</v>
      </c>
      <c r="K38" s="4">
        <v>0.40833333333333333</v>
      </c>
      <c r="L38" s="4">
        <v>0.73854166666666665</v>
      </c>
      <c r="M38" s="4">
        <v>0.26614583333333336</v>
      </c>
      <c r="N38" s="4"/>
      <c r="O38" s="4"/>
      <c r="P38" s="4"/>
      <c r="Q38" s="4"/>
      <c r="R38" s="4"/>
      <c r="S38" s="3"/>
      <c r="T38" s="3" t="s">
        <v>31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x14ac:dyDescent="0.3">
      <c r="A39" s="13"/>
      <c r="B39" s="10" t="s">
        <v>699</v>
      </c>
      <c r="C39" s="1" t="s">
        <v>753</v>
      </c>
      <c r="D39" s="2">
        <v>251240.68733145893</v>
      </c>
      <c r="E39" s="2">
        <v>1604349394.5840185</v>
      </c>
      <c r="F39" s="2">
        <v>787501.20051458501</v>
      </c>
      <c r="G39" s="2">
        <v>9676529.0738080423</v>
      </c>
      <c r="H39" s="2">
        <v>14666.281162038887</v>
      </c>
      <c r="I39" s="2">
        <v>48057192.575837731</v>
      </c>
      <c r="J39" s="2">
        <v>809103914.09657431</v>
      </c>
      <c r="K39" s="2">
        <v>35336406.901484624</v>
      </c>
      <c r="L39" s="2">
        <v>27063.248339937491</v>
      </c>
      <c r="M39" s="2">
        <v>101482022.96816324</v>
      </c>
      <c r="N39" s="2"/>
      <c r="O39" s="2"/>
      <c r="P39" s="2"/>
      <c r="Q39" s="2"/>
      <c r="R39" s="2"/>
      <c r="S39" s="1" t="s">
        <v>11</v>
      </c>
      <c r="T39" s="1" t="s">
        <v>29</v>
      </c>
      <c r="W39" s="5">
        <f t="shared" ref="W39:W70" si="151">_xlfn.RANK.EQ(D39,$D39:$R39,1)</f>
        <v>1</v>
      </c>
      <c r="X39" s="5">
        <f t="shared" ref="X39:X92" si="152">_xlfn.RANK.EQ(E39,$D39:$R39,1)</f>
        <v>6</v>
      </c>
      <c r="Y39" s="5">
        <f t="shared" ref="Y39:Y92" si="153">_xlfn.RANK.EQ(F39,$D39:$R39,1)</f>
        <v>3</v>
      </c>
      <c r="Z39" s="5">
        <f t="shared" ref="Z39:Z92" si="154">_xlfn.RANK.EQ(G39,$D39:$R39,1)</f>
        <v>2</v>
      </c>
      <c r="AA39" s="5">
        <f t="shared" ref="AA39:AA92" si="155">_xlfn.RANK.EQ(H39,$D39:$R39,1)</f>
        <v>9</v>
      </c>
      <c r="AB39" s="5">
        <f t="shared" ref="AB39:AB92" si="156">_xlfn.RANK.EQ(I39,$D39:$R39,1)</f>
        <v>5</v>
      </c>
      <c r="AC39" s="5">
        <f t="shared" ref="AC39:AC92" si="157">_xlfn.RANK.EQ(J39,$D39:$R39,1)</f>
        <v>8</v>
      </c>
      <c r="AD39" s="5">
        <f t="shared" ref="AD39:AD92" si="158">_xlfn.RANK.EQ(K39,$D39:$R39,1)</f>
        <v>4</v>
      </c>
      <c r="AE39" s="5">
        <f t="shared" ref="AE39:AE92" si="159">_xlfn.RANK.EQ(L39,$D39:$R39,1)</f>
        <v>7</v>
      </c>
      <c r="AF39" s="5" t="e">
        <f t="shared" ref="AF39:AF92" si="160">_xlfn.RANK.EQ(M39,$D39:$R39,1)</f>
        <v>#N/A</v>
      </c>
      <c r="AG39" s="5" t="e">
        <f t="shared" ref="AG39:AG92" si="161">_xlfn.RANK.EQ(N39,$D39:$R39,1)</f>
        <v>#N/A</v>
      </c>
      <c r="AH39" s="5" t="e">
        <f t="shared" ref="AH39:AH92" si="162">_xlfn.RANK.EQ(O39,$D39:$R39,1)</f>
        <v>#N/A</v>
      </c>
      <c r="AI39" s="5" t="e">
        <f t="shared" ref="AI39:AI92" si="163">_xlfn.RANK.EQ(P39,$D39:$R39,1)</f>
        <v>#N/A</v>
      </c>
      <c r="AJ39" s="5" t="e">
        <f t="shared" ref="AJ39:AJ92" si="164">_xlfn.RANK.EQ(Q39,$D39:$R39,1)</f>
        <v>#N/A</v>
      </c>
      <c r="AK39" s="5" t="e">
        <f t="shared" ref="AK39:AK92" si="165">_xlfn.RANK.EQ(R39,$D39:$R39,1)</f>
        <v>#N/A</v>
      </c>
    </row>
    <row r="40" x14ac:dyDescent="0.3">
      <c r="A40" s="13"/>
      <c r="B40" s="11" t="s">
        <v>699</v>
      </c>
      <c r="C40" s="7" t="s">
        <v>754</v>
      </c>
      <c r="D40" s="6">
        <v>252019.81553665697</v>
      </c>
      <c r="E40" s="6">
        <v>1362408786.390873</v>
      </c>
      <c r="F40" s="6">
        <v>614307.93292730034</v>
      </c>
      <c r="G40" s="6">
        <v>29704910.909618054</v>
      </c>
      <c r="H40" s="6">
        <v>17042.51493435743</v>
      </c>
      <c r="I40" s="6">
        <v>47403620.934054822</v>
      </c>
      <c r="J40" s="6">
        <v>1262904562.7443476</v>
      </c>
      <c r="K40" s="6">
        <v>193406328.94762886</v>
      </c>
      <c r="L40" s="6">
        <v>11655.279110857355</v>
      </c>
      <c r="M40" s="6">
        <v>459188259.82077116</v>
      </c>
      <c r="N40" s="6"/>
      <c r="O40" s="6"/>
      <c r="P40" s="6"/>
      <c r="Q40" s="6"/>
      <c r="R40" s="6"/>
      <c r="S40" s="7"/>
      <c r="T40" s="7" t="s">
        <v>30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x14ac:dyDescent="0.3">
      <c r="A41" s="13"/>
      <c r="B41" s="12" t="s">
        <v>699</v>
      </c>
      <c r="C41" s="3" t="s">
        <v>755</v>
      </c>
      <c r="D41" s="4">
        <v>1.965625</v>
      </c>
      <c r="E41" s="4">
        <v>0.21562500000000001</v>
      </c>
      <c r="F41" s="4">
        <v>0.31770833333333331</v>
      </c>
      <c r="G41" s="4">
        <v>0.23749999999999999</v>
      </c>
      <c r="H41" s="4">
        <v>0.26354166666666667</v>
      </c>
      <c r="I41" s="4">
        <v>0.20000000000000001</v>
      </c>
      <c r="J41" s="4">
        <v>12.930729166666667</v>
      </c>
      <c r="K41" s="4">
        <v>0.45364583333333336</v>
      </c>
      <c r="L41" s="4">
        <v>0.76302083333333337</v>
      </c>
      <c r="M41" s="4">
        <v>0.23802083333333332</v>
      </c>
      <c r="N41" s="4"/>
      <c r="O41" s="4"/>
      <c r="P41" s="4"/>
      <c r="Q41" s="4"/>
      <c r="R41" s="4"/>
      <c r="S41" s="3"/>
      <c r="T41" s="3" t="s">
        <v>31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x14ac:dyDescent="0.3">
      <c r="A42" s="13"/>
      <c r="B42" s="10" t="s">
        <v>700</v>
      </c>
      <c r="C42" s="1" t="s">
        <v>756</v>
      </c>
      <c r="D42" s="2">
        <v>27015.530828853069</v>
      </c>
      <c r="E42" s="2">
        <v>2160090.5124998814</v>
      </c>
      <c r="F42" s="2">
        <v>1348607.1173476391</v>
      </c>
      <c r="G42" s="2">
        <v>577660.58434670314</v>
      </c>
      <c r="H42" s="2">
        <v>100244.4984236044</v>
      </c>
      <c r="I42" s="2">
        <v>3477036.782399416</v>
      </c>
      <c r="J42" s="2">
        <v>5395735.7114631729</v>
      </c>
      <c r="K42" s="2">
        <v>47185.105313575114</v>
      </c>
      <c r="L42" s="2">
        <v>1456853.1433997026</v>
      </c>
      <c r="M42" s="2">
        <v>543757.11683888873</v>
      </c>
      <c r="N42" s="2"/>
      <c r="O42" s="2"/>
      <c r="P42" s="2"/>
      <c r="Q42" s="2"/>
      <c r="R42" s="2"/>
      <c r="S42" s="1" t="s">
        <v>12</v>
      </c>
      <c r="T42" s="1" t="s">
        <v>29</v>
      </c>
      <c r="W42" s="5">
        <f t="shared" ref="W42:W73" si="166">_xlfn.RANK.EQ(D42,$D42:$R42,1)</f>
        <v>1</v>
      </c>
      <c r="X42" s="5">
        <f t="shared" ref="X42:X92" si="167">_xlfn.RANK.EQ(E42,$D42:$R42,1)</f>
        <v>2</v>
      </c>
      <c r="Y42" s="5">
        <f t="shared" ref="Y42:Y92" si="168">_xlfn.RANK.EQ(F42,$D42:$R42,1)</f>
        <v>6</v>
      </c>
      <c r="Z42" s="5">
        <f t="shared" ref="Z42:Z92" si="169">_xlfn.RANK.EQ(G42,$D42:$R42,1)</f>
        <v>5</v>
      </c>
      <c r="AA42" s="5">
        <f t="shared" ref="AA42:AA92" si="170">_xlfn.RANK.EQ(H42,$D42:$R42,1)</f>
        <v>8</v>
      </c>
      <c r="AB42" s="5">
        <f t="shared" ref="AB42:AB92" si="171">_xlfn.RANK.EQ(I42,$D42:$R42,1)</f>
        <v>4</v>
      </c>
      <c r="AC42" s="5">
        <f t="shared" ref="AC42:AC92" si="172">_xlfn.RANK.EQ(J42,$D42:$R42,1)</f>
        <v>7</v>
      </c>
      <c r="AD42" s="5">
        <f t="shared" ref="AD42:AD92" si="173">_xlfn.RANK.EQ(K42,$D42:$R42,1)</f>
        <v>3</v>
      </c>
      <c r="AE42" s="5">
        <f t="shared" ref="AE42:AE92" si="174">_xlfn.RANK.EQ(L42,$D42:$R42,1)</f>
        <v>9</v>
      </c>
      <c r="AF42" s="5" t="e">
        <f t="shared" ref="AF42:AF92" si="175">_xlfn.RANK.EQ(M42,$D42:$R42,1)</f>
        <v>#N/A</v>
      </c>
      <c r="AG42" s="5" t="e">
        <f t="shared" ref="AG42:AG92" si="176">_xlfn.RANK.EQ(N42,$D42:$R42,1)</f>
        <v>#N/A</v>
      </c>
      <c r="AH42" s="5" t="e">
        <f t="shared" ref="AH42:AH92" si="177">_xlfn.RANK.EQ(O42,$D42:$R42,1)</f>
        <v>#N/A</v>
      </c>
      <c r="AI42" s="5" t="e">
        <f t="shared" ref="AI42:AI92" si="178">_xlfn.RANK.EQ(P42,$D42:$R42,1)</f>
        <v>#N/A</v>
      </c>
      <c r="AJ42" s="5" t="e">
        <f t="shared" ref="AJ42:AJ92" si="179">_xlfn.RANK.EQ(Q42,$D42:$R42,1)</f>
        <v>#N/A</v>
      </c>
      <c r="AK42" s="5" t="e">
        <f t="shared" ref="AK42:AK92" si="180">_xlfn.RANK.EQ(R42,$D42:$R42,1)</f>
        <v>#N/A</v>
      </c>
    </row>
    <row r="43" x14ac:dyDescent="0.3">
      <c r="A43" s="13"/>
      <c r="B43" s="11" t="s">
        <v>700</v>
      </c>
      <c r="C43" s="7" t="s">
        <v>757</v>
      </c>
      <c r="D43" s="6">
        <v>20822.458803671314</v>
      </c>
      <c r="E43" s="6">
        <v>1384352.147160582</v>
      </c>
      <c r="F43" s="6">
        <v>1397614.0186848131</v>
      </c>
      <c r="G43" s="6">
        <v>749065.08995862969</v>
      </c>
      <c r="H43" s="6">
        <v>131625.52270066092</v>
      </c>
      <c r="I43" s="6">
        <v>3112821.2594416519</v>
      </c>
      <c r="J43" s="6">
        <v>6026667.656192502</v>
      </c>
      <c r="K43" s="6">
        <v>61950.303087641849</v>
      </c>
      <c r="L43" s="6">
        <v>1233429.6543841336</v>
      </c>
      <c r="M43" s="6">
        <v>664399.44281852024</v>
      </c>
      <c r="N43" s="6"/>
      <c r="O43" s="6"/>
      <c r="P43" s="6"/>
      <c r="Q43" s="6"/>
      <c r="R43" s="6"/>
      <c r="S43" s="7"/>
      <c r="T43" s="7" t="s">
        <v>30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x14ac:dyDescent="0.3">
      <c r="A44" s="13"/>
      <c r="B44" s="12" t="s">
        <v>700</v>
      </c>
      <c r="C44" s="3" t="s">
        <v>758</v>
      </c>
      <c r="D44" s="4">
        <v>2.4536458333333333</v>
      </c>
      <c r="E44" s="4">
        <v>0.35625000000000001</v>
      </c>
      <c r="F44" s="4">
        <v>0.39739583333333334</v>
      </c>
      <c r="G44" s="4">
        <v>0.25416666666666665</v>
      </c>
      <c r="H44" s="4">
        <v>0.27760416666666665</v>
      </c>
      <c r="I44" s="4">
        <v>0.23697916666666666</v>
      </c>
      <c r="J44" s="4">
        <v>13.957291666666666</v>
      </c>
      <c r="K44" s="4">
        <v>0.43333333333333335</v>
      </c>
      <c r="L44" s="4">
        <v>0.73958333333333337</v>
      </c>
      <c r="M44" s="4">
        <v>0.28072916666666664</v>
      </c>
      <c r="N44" s="4"/>
      <c r="O44" s="4"/>
      <c r="P44" s="4"/>
      <c r="Q44" s="4"/>
      <c r="R44" s="4"/>
      <c r="S44" s="3"/>
      <c r="T44" s="3" t="s">
        <v>31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x14ac:dyDescent="0.3">
      <c r="A45" s="13"/>
      <c r="B45" s="10" t="s">
        <v>701</v>
      </c>
      <c r="C45" s="1" t="s">
        <v>759</v>
      </c>
      <c r="D45" s="2">
        <v>38642.173680145766</v>
      </c>
      <c r="E45" s="2">
        <v>29162565.441326831</v>
      </c>
      <c r="F45" s="2">
        <v>73581.524545013861</v>
      </c>
      <c r="G45" s="2">
        <v>1023229.3380160821</v>
      </c>
      <c r="H45" s="2">
        <v>20105.513722918124</v>
      </c>
      <c r="I45" s="2">
        <v>8769990.4381075613</v>
      </c>
      <c r="J45" s="2">
        <v>282228488.60452557</v>
      </c>
      <c r="K45" s="2">
        <v>13730.263974259207</v>
      </c>
      <c r="L45" s="2">
        <v>6470.524007812086</v>
      </c>
      <c r="M45" s="2">
        <v>1687575.8559656099</v>
      </c>
      <c r="N45" s="2"/>
      <c r="O45" s="2"/>
      <c r="P45" s="2"/>
      <c r="Q45" s="2"/>
      <c r="R45" s="2"/>
      <c r="S45" s="1" t="s">
        <v>13</v>
      </c>
      <c r="T45" s="1" t="s">
        <v>29</v>
      </c>
      <c r="W45" s="5">
        <f t="shared" ref="W45:W92" si="181">_xlfn.RANK.EQ(D45,$D45:$R45,1)</f>
        <v>1</v>
      </c>
      <c r="X45" s="5">
        <f t="shared" ref="X45:X92" si="182">_xlfn.RANK.EQ(E45,$D45:$R45,1)</f>
        <v>3</v>
      </c>
      <c r="Y45" s="5">
        <f t="shared" ref="Y45:Y92" si="183">_xlfn.RANK.EQ(F45,$D45:$R45,1)</f>
        <v>2</v>
      </c>
      <c r="Z45" s="5">
        <f t="shared" ref="Z45:Z92" si="184">_xlfn.RANK.EQ(G45,$D45:$R45,1)</f>
        <v>5</v>
      </c>
      <c r="AA45" s="5">
        <f t="shared" ref="AA45:AA92" si="185">_xlfn.RANK.EQ(H45,$D45:$R45,1)</f>
        <v>9</v>
      </c>
      <c r="AB45" s="5">
        <f t="shared" ref="AB45:AB92" si="186">_xlfn.RANK.EQ(I45,$D45:$R45,1)</f>
        <v>7</v>
      </c>
      <c r="AC45" s="5">
        <f t="shared" ref="AC45:AC92" si="187">_xlfn.RANK.EQ(J45,$D45:$R45,1)</f>
        <v>4</v>
      </c>
      <c r="AD45" s="5">
        <f t="shared" ref="AD45:AD92" si="188">_xlfn.RANK.EQ(K45,$D45:$R45,1)</f>
        <v>6</v>
      </c>
      <c r="AE45" s="5">
        <f t="shared" ref="AE45:AE92" si="189">_xlfn.RANK.EQ(L45,$D45:$R45,1)</f>
        <v>8</v>
      </c>
      <c r="AF45" s="5" t="e">
        <f t="shared" ref="AF45:AF92" si="190">_xlfn.RANK.EQ(M45,$D45:$R45,1)</f>
        <v>#N/A</v>
      </c>
      <c r="AG45" s="5" t="e">
        <f t="shared" ref="AG45:AG92" si="191">_xlfn.RANK.EQ(N45,$D45:$R45,1)</f>
        <v>#N/A</v>
      </c>
      <c r="AH45" s="5" t="e">
        <f t="shared" ref="AH45:AH92" si="192">_xlfn.RANK.EQ(O45,$D45:$R45,1)</f>
        <v>#N/A</v>
      </c>
      <c r="AI45" s="5" t="e">
        <f t="shared" ref="AI45:AI92" si="193">_xlfn.RANK.EQ(P45,$D45:$R45,1)</f>
        <v>#N/A</v>
      </c>
      <c r="AJ45" s="5" t="e">
        <f t="shared" ref="AJ45:AJ92" si="194">_xlfn.RANK.EQ(Q45,$D45:$R45,1)</f>
        <v>#N/A</v>
      </c>
      <c r="AK45" s="5" t="e">
        <f t="shared" ref="AK45:AK92" si="195">_xlfn.RANK.EQ(R45,$D45:$R45,1)</f>
        <v>#N/A</v>
      </c>
    </row>
    <row r="46" x14ac:dyDescent="0.3">
      <c r="A46" s="13"/>
      <c r="B46" s="11" t="s">
        <v>701</v>
      </c>
      <c r="C46" s="7" t="s">
        <v>760</v>
      </c>
      <c r="D46" s="6">
        <v>25687.394431635745</v>
      </c>
      <c r="E46" s="6">
        <v>37782071.077839226</v>
      </c>
      <c r="F46" s="6">
        <v>40139.962094830429</v>
      </c>
      <c r="G46" s="6">
        <v>2614982.0886225337</v>
      </c>
      <c r="H46" s="6">
        <v>40167.244101678632</v>
      </c>
      <c r="I46" s="6">
        <v>7688487.132232313</v>
      </c>
      <c r="J46" s="6">
        <v>482597456.87228703</v>
      </c>
      <c r="K46" s="6">
        <v>12336.527629110822</v>
      </c>
      <c r="L46" s="6">
        <v>3912.9551016263599</v>
      </c>
      <c r="M46" s="6">
        <v>4557788.6151186395</v>
      </c>
      <c r="N46" s="6"/>
      <c r="O46" s="6"/>
      <c r="P46" s="6"/>
      <c r="Q46" s="6"/>
      <c r="R46" s="6"/>
      <c r="S46" s="7"/>
      <c r="T46" s="7" t="s">
        <v>30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x14ac:dyDescent="0.3">
      <c r="A47" s="13"/>
      <c r="B47" s="12" t="s">
        <v>701</v>
      </c>
      <c r="C47" s="3" t="s">
        <v>761</v>
      </c>
      <c r="D47" s="4">
        <v>1.9453125</v>
      </c>
      <c r="E47" s="4">
        <v>0.203125</v>
      </c>
      <c r="F47" s="4">
        <v>0.296875</v>
      </c>
      <c r="G47" s="4">
        <v>0.23020833333333332</v>
      </c>
      <c r="H47" s="4">
        <v>0.24583333333333332</v>
      </c>
      <c r="I47" s="4">
        <v>0.20000000000000001</v>
      </c>
      <c r="J47" s="4">
        <v>7.661458333333333</v>
      </c>
      <c r="K47" s="4">
        <v>0.43281249999999999</v>
      </c>
      <c r="L47" s="4">
        <v>0.69843750000000004</v>
      </c>
      <c r="M47" s="4">
        <v>0.24791666666666667</v>
      </c>
      <c r="N47" s="4"/>
      <c r="O47" s="4"/>
      <c r="P47" s="4"/>
      <c r="Q47" s="4"/>
      <c r="R47" s="4"/>
      <c r="S47" s="3"/>
      <c r="T47" s="3" t="s">
        <v>31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x14ac:dyDescent="0.3">
      <c r="A48" s="13"/>
      <c r="B48" s="10" t="s">
        <v>702</v>
      </c>
      <c r="C48" s="1" t="s">
        <v>762</v>
      </c>
      <c r="D48" s="2">
        <v>3204.1820117296315</v>
      </c>
      <c r="E48" s="2">
        <v>4330.3649271203076</v>
      </c>
      <c r="F48" s="2">
        <v>3463.0564753824156</v>
      </c>
      <c r="G48" s="2">
        <v>2724.1730987065412</v>
      </c>
      <c r="H48" s="2">
        <v>2796.1915722838417</v>
      </c>
      <c r="I48" s="2">
        <v>3044.0624731532562</v>
      </c>
      <c r="J48" s="2">
        <v>4378.6584013256934</v>
      </c>
      <c r="K48" s="2">
        <v>2606.5438293063567</v>
      </c>
      <c r="L48" s="2">
        <v>3085.9035882130133</v>
      </c>
      <c r="M48" s="2">
        <v>2884.058615687421</v>
      </c>
      <c r="N48" s="2"/>
      <c r="O48" s="2"/>
      <c r="P48" s="2"/>
      <c r="Q48" s="2"/>
      <c r="R48" s="2"/>
      <c r="S48" s="1" t="s">
        <v>14</v>
      </c>
      <c r="T48" s="1" t="s">
        <v>29</v>
      </c>
      <c r="W48" s="5">
        <f t="shared" ref="W48:W92" si="196">_xlfn.RANK.EQ(D48,$D48:$R48,1)</f>
        <v>3</v>
      </c>
      <c r="X48" s="5">
        <f t="shared" ref="X48:X92" si="197">_xlfn.RANK.EQ(E48,$D48:$R48,1)</f>
        <v>1</v>
      </c>
      <c r="Y48" s="5">
        <f t="shared" ref="Y48:Y92" si="198">_xlfn.RANK.EQ(F48,$D48:$R48,1)</f>
        <v>7</v>
      </c>
      <c r="Z48" s="5">
        <f t="shared" ref="Z48:Z92" si="199">_xlfn.RANK.EQ(G48,$D48:$R48,1)</f>
        <v>6</v>
      </c>
      <c r="AA48" s="5">
        <f t="shared" ref="AA48:AA92" si="200">_xlfn.RANK.EQ(H48,$D48:$R48,1)</f>
        <v>9</v>
      </c>
      <c r="AB48" s="5">
        <f t="shared" ref="AB48:AB92" si="201">_xlfn.RANK.EQ(I48,$D48:$R48,1)</f>
        <v>5</v>
      </c>
      <c r="AC48" s="5">
        <f t="shared" ref="AC48:AC92" si="202">_xlfn.RANK.EQ(J48,$D48:$R48,1)</f>
        <v>8</v>
      </c>
      <c r="AD48" s="5">
        <f t="shared" ref="AD48:AD92" si="203">_xlfn.RANK.EQ(K48,$D48:$R48,1)</f>
        <v>2</v>
      </c>
      <c r="AE48" s="5">
        <f t="shared" ref="AE48:AE92" si="204">_xlfn.RANK.EQ(L48,$D48:$R48,1)</f>
        <v>4</v>
      </c>
      <c r="AF48" s="5" t="e">
        <f t="shared" ref="AF48:AF92" si="205">_xlfn.RANK.EQ(M48,$D48:$R48,1)</f>
        <v>#N/A</v>
      </c>
      <c r="AG48" s="5" t="e">
        <f t="shared" ref="AG48:AG92" si="206">_xlfn.RANK.EQ(N48,$D48:$R48,1)</f>
        <v>#N/A</v>
      </c>
      <c r="AH48" s="5" t="e">
        <f t="shared" ref="AH48:AH92" si="207">_xlfn.RANK.EQ(O48,$D48:$R48,1)</f>
        <v>#N/A</v>
      </c>
      <c r="AI48" s="5" t="e">
        <f t="shared" ref="AI48:AI92" si="208">_xlfn.RANK.EQ(P48,$D48:$R48,1)</f>
        <v>#N/A</v>
      </c>
      <c r="AJ48" s="5" t="e">
        <f t="shared" ref="AJ48:AJ92" si="209">_xlfn.RANK.EQ(Q48,$D48:$R48,1)</f>
        <v>#N/A</v>
      </c>
      <c r="AK48" s="5" t="e">
        <f t="shared" ref="AK48:AK92" si="210">_xlfn.RANK.EQ(R48,$D48:$R48,1)</f>
        <v>#N/A</v>
      </c>
    </row>
    <row r="49" x14ac:dyDescent="0.3">
      <c r="A49" s="13"/>
      <c r="B49" s="11" t="s">
        <v>702</v>
      </c>
      <c r="C49" s="7" t="s">
        <v>763</v>
      </c>
      <c r="D49" s="6">
        <v>309.08920112047537</v>
      </c>
      <c r="E49" s="6">
        <v>582.81739605628661</v>
      </c>
      <c r="F49" s="6">
        <v>451.46450710616733</v>
      </c>
      <c r="G49" s="6">
        <v>432.01936055518303</v>
      </c>
      <c r="H49" s="6">
        <v>448.85482714768273</v>
      </c>
      <c r="I49" s="6">
        <v>369.61294016109628</v>
      </c>
      <c r="J49" s="6">
        <v>644.83755661891178</v>
      </c>
      <c r="K49" s="6">
        <v>329.69559834082929</v>
      </c>
      <c r="L49" s="6">
        <v>347.68388636323471</v>
      </c>
      <c r="M49" s="6">
        <v>458.03447398144692</v>
      </c>
      <c r="N49" s="6"/>
      <c r="O49" s="6"/>
      <c r="P49" s="6"/>
      <c r="Q49" s="6"/>
      <c r="R49" s="6"/>
      <c r="S49" s="7"/>
      <c r="T49" s="7" t="s">
        <v>30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x14ac:dyDescent="0.3">
      <c r="A50" s="13"/>
      <c r="B50" s="12" t="s">
        <v>702</v>
      </c>
      <c r="C50" s="3" t="s">
        <v>764</v>
      </c>
      <c r="D50" s="4">
        <v>2.1401041666666667</v>
      </c>
      <c r="E50" s="4">
        <v>0.25312499999999999</v>
      </c>
      <c r="F50" s="4">
        <v>0.34791666666666665</v>
      </c>
      <c r="G50" s="4">
        <v>0.24270833333333333</v>
      </c>
      <c r="H50" s="4">
        <v>0.27500000000000002</v>
      </c>
      <c r="I50" s="4">
        <v>0.23333333333333334</v>
      </c>
      <c r="J50" s="4">
        <v>12.383333333333333</v>
      </c>
      <c r="K50" s="4">
        <v>0.43385416666666665</v>
      </c>
      <c r="L50" s="4">
        <v>0.8197916666666667</v>
      </c>
      <c r="M50" s="4">
        <v>0.25520833333333331</v>
      </c>
      <c r="N50" s="4"/>
      <c r="O50" s="4"/>
      <c r="P50" s="4"/>
      <c r="Q50" s="4"/>
      <c r="R50" s="4"/>
      <c r="S50" s="3"/>
      <c r="T50" s="3" t="s">
        <v>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4.4" customHeight="true" x14ac:dyDescent="0.3">
      <c r="A51" s="13"/>
      <c r="B51" s="10" t="s">
        <v>703</v>
      </c>
      <c r="C51" s="1" t="s">
        <v>765</v>
      </c>
      <c r="D51" s="2">
        <v>2258.9707658240013</v>
      </c>
      <c r="E51" s="2">
        <v>2876.0299536359348</v>
      </c>
      <c r="F51" s="2">
        <v>2660.7858667950245</v>
      </c>
      <c r="G51" s="2">
        <v>2087.2565440694484</v>
      </c>
      <c r="H51" s="2">
        <v>2164.2821970515452</v>
      </c>
      <c r="I51" s="2">
        <v>2396.3766660806755</v>
      </c>
      <c r="J51" s="2">
        <v>2916.1679422574921</v>
      </c>
      <c r="K51" s="2">
        <v>2145.4006504677604</v>
      </c>
      <c r="L51" s="2">
        <v>2603.4309179655165</v>
      </c>
      <c r="M51" s="2">
        <v>2185.1622717396699</v>
      </c>
      <c r="N51" s="2"/>
      <c r="O51" s="2"/>
      <c r="P51" s="2"/>
      <c r="Q51" s="2"/>
      <c r="R51" s="2"/>
      <c r="S51" s="1" t="s">
        <v>15</v>
      </c>
      <c r="T51" s="1" t="s">
        <v>29</v>
      </c>
      <c r="W51" s="5">
        <f t="shared" ref="W51:W92" si="211">_xlfn.RANK.EQ(D51,$D51:$R51,1)</f>
        <v>5</v>
      </c>
      <c r="X51" s="5">
        <f t="shared" ref="X51:X92" si="212">_xlfn.RANK.EQ(E51,$D51:$R51,1)</f>
        <v>2</v>
      </c>
      <c r="Y51" s="5">
        <f t="shared" ref="Y51:Y92" si="213">_xlfn.RANK.EQ(F51,$D51:$R51,1)</f>
        <v>7</v>
      </c>
      <c r="Z51" s="5">
        <f t="shared" ref="Z51:Z92" si="214">_xlfn.RANK.EQ(G51,$D51:$R51,1)</f>
        <v>3</v>
      </c>
      <c r="AA51" s="5">
        <f t="shared" ref="AA51:AA92" si="215">_xlfn.RANK.EQ(H51,$D51:$R51,1)</f>
        <v>8</v>
      </c>
      <c r="AB51" s="5">
        <f t="shared" ref="AB51:AB92" si="216">_xlfn.RANK.EQ(I51,$D51:$R51,1)</f>
        <v>4</v>
      </c>
      <c r="AC51" s="5">
        <f t="shared" ref="AC51:AC92" si="217">_xlfn.RANK.EQ(J51,$D51:$R51,1)</f>
        <v>9</v>
      </c>
      <c r="AD51" s="5">
        <f t="shared" ref="AD51:AD92" si="218">_xlfn.RANK.EQ(K51,$D51:$R51,1)</f>
        <v>1</v>
      </c>
      <c r="AE51" s="5">
        <f t="shared" ref="AE51:AE92" si="219">_xlfn.RANK.EQ(L51,$D51:$R51,1)</f>
        <v>6</v>
      </c>
      <c r="AF51" s="5" t="e">
        <f t="shared" ref="AF51:AF92" si="220">_xlfn.RANK.EQ(M51,$D51:$R51,1)</f>
        <v>#N/A</v>
      </c>
      <c r="AG51" s="5" t="e">
        <f t="shared" ref="AG51:AG92" si="221">_xlfn.RANK.EQ(N51,$D51:$R51,1)</f>
        <v>#N/A</v>
      </c>
      <c r="AH51" s="5" t="e">
        <f t="shared" ref="AH51:AH92" si="222">_xlfn.RANK.EQ(O51,$D51:$R51,1)</f>
        <v>#N/A</v>
      </c>
      <c r="AI51" s="5" t="e">
        <f t="shared" ref="AI51:AI92" si="223">_xlfn.RANK.EQ(P51,$D51:$R51,1)</f>
        <v>#N/A</v>
      </c>
      <c r="AJ51" s="5" t="e">
        <f t="shared" ref="AJ51:AJ92" si="224">_xlfn.RANK.EQ(Q51,$D51:$R51,1)</f>
        <v>#N/A</v>
      </c>
      <c r="AK51" s="5" t="e">
        <f t="shared" ref="AK51:AK92" si="225">_xlfn.RANK.EQ(R51,$D51:$R51,1)</f>
        <v>#N/A</v>
      </c>
    </row>
    <row r="52" x14ac:dyDescent="0.3">
      <c r="A52" s="13"/>
      <c r="B52" s="11" t="s">
        <v>703</v>
      </c>
      <c r="C52" s="7" t="s">
        <v>766</v>
      </c>
      <c r="D52" s="6">
        <v>205.86686091710953</v>
      </c>
      <c r="E52" s="6">
        <v>306.77863050675029</v>
      </c>
      <c r="F52" s="6">
        <v>259.55593006589976</v>
      </c>
      <c r="G52" s="6">
        <v>154.78533213207393</v>
      </c>
      <c r="H52" s="6">
        <v>179.32946898516718</v>
      </c>
      <c r="I52" s="6">
        <v>292.24870757985241</v>
      </c>
      <c r="J52" s="6">
        <v>358.7828043230399</v>
      </c>
      <c r="K52" s="6">
        <v>182.26763916266458</v>
      </c>
      <c r="L52" s="6">
        <v>324.64711245700926</v>
      </c>
      <c r="M52" s="6">
        <v>260.73694391380394</v>
      </c>
      <c r="N52" s="6"/>
      <c r="O52" s="6"/>
      <c r="P52" s="6"/>
      <c r="Q52" s="6"/>
      <c r="R52" s="6"/>
      <c r="S52" s="7"/>
      <c r="T52" s="7" t="s">
        <v>30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x14ac:dyDescent="0.3">
      <c r="A53" s="13"/>
      <c r="B53" s="12" t="s">
        <v>703</v>
      </c>
      <c r="C53" s="3" t="s">
        <v>767</v>
      </c>
      <c r="D53" s="4">
        <v>3.1588541666666665</v>
      </c>
      <c r="E53" s="4">
        <v>0.4921875</v>
      </c>
      <c r="F53" s="4">
        <v>0.48072916666666665</v>
      </c>
      <c r="G53" s="4">
        <v>0.29635416666666664</v>
      </c>
      <c r="H53" s="4">
        <v>0.328125</v>
      </c>
      <c r="I53" s="4">
        <v>0.26510416666666664</v>
      </c>
      <c r="J53" s="4">
        <v>14.4</v>
      </c>
      <c r="K53" s="4">
        <v>0.52656250000000004</v>
      </c>
      <c r="L53" s="4">
        <v>0.86197916666666663</v>
      </c>
      <c r="M53" s="4">
        <v>0.30937500000000001</v>
      </c>
      <c r="N53" s="4"/>
      <c r="O53" s="4"/>
      <c r="P53" s="4"/>
      <c r="Q53" s="4"/>
      <c r="R53" s="4"/>
      <c r="S53" s="3"/>
      <c r="T53" s="3" t="s">
        <v>31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x14ac:dyDescent="0.3">
      <c r="A54" s="13"/>
      <c r="B54" s="10" t="s">
        <v>704</v>
      </c>
      <c r="C54" s="1" t="s">
        <v>768</v>
      </c>
      <c r="D54" s="2">
        <v>290433.03372091375</v>
      </c>
      <c r="E54" s="2">
        <v>21453351.187933329</v>
      </c>
      <c r="F54" s="2">
        <v>2194838.4520325209</v>
      </c>
      <c r="G54" s="2">
        <v>3616550.2599056913</v>
      </c>
      <c r="H54" s="2">
        <v>1794806.9125721394</v>
      </c>
      <c r="I54" s="2">
        <v>4770060.5380792879</v>
      </c>
      <c r="J54" s="2">
        <v>27523716.97091151</v>
      </c>
      <c r="K54" s="2">
        <v>631533.23896804394</v>
      </c>
      <c r="L54" s="2">
        <v>1120745.9983758724</v>
      </c>
      <c r="M54" s="2">
        <v>2870411.722519266</v>
      </c>
      <c r="N54" s="2"/>
      <c r="O54" s="2"/>
      <c r="P54" s="2"/>
      <c r="Q54" s="2"/>
      <c r="R54" s="2"/>
      <c r="S54" s="1" t="s">
        <v>16</v>
      </c>
      <c r="T54" s="1" t="s">
        <v>29</v>
      </c>
      <c r="W54" s="5">
        <f t="shared" ref="W54:W92" si="226">_xlfn.RANK.EQ(D54,$D54:$R54,1)</f>
        <v>1</v>
      </c>
      <c r="X54" s="5">
        <f t="shared" ref="X54:X92" si="227">_xlfn.RANK.EQ(E54,$D54:$R54,1)</f>
        <v>2</v>
      </c>
      <c r="Y54" s="5">
        <f t="shared" ref="Y54:Y92" si="228">_xlfn.RANK.EQ(F54,$D54:$R54,1)</f>
        <v>3</v>
      </c>
      <c r="Z54" s="5">
        <f t="shared" ref="Z54:Z92" si="229">_xlfn.RANK.EQ(G54,$D54:$R54,1)</f>
        <v>6</v>
      </c>
      <c r="AA54" s="5">
        <f t="shared" ref="AA54:AA92" si="230">_xlfn.RANK.EQ(H54,$D54:$R54,1)</f>
        <v>9</v>
      </c>
      <c r="AB54" s="5">
        <f t="shared" ref="AB54:AB92" si="231">_xlfn.RANK.EQ(I54,$D54:$R54,1)</f>
        <v>5</v>
      </c>
      <c r="AC54" s="5">
        <f t="shared" ref="AC54:AC92" si="232">_xlfn.RANK.EQ(J54,$D54:$R54,1)</f>
        <v>7</v>
      </c>
      <c r="AD54" s="5">
        <f t="shared" ref="AD54:AD92" si="233">_xlfn.RANK.EQ(K54,$D54:$R54,1)</f>
        <v>4</v>
      </c>
      <c r="AE54" s="5">
        <f t="shared" ref="AE54:AE92" si="234">_xlfn.RANK.EQ(L54,$D54:$R54,1)</f>
        <v>8</v>
      </c>
      <c r="AF54" s="5" t="e">
        <f t="shared" ref="AF54:AF92" si="235">_xlfn.RANK.EQ(M54,$D54:$R54,1)</f>
        <v>#N/A</v>
      </c>
      <c r="AG54" s="5" t="e">
        <f t="shared" ref="AG54:AG92" si="236">_xlfn.RANK.EQ(N54,$D54:$R54,1)</f>
        <v>#N/A</v>
      </c>
      <c r="AH54" s="5" t="e">
        <f t="shared" ref="AH54:AH92" si="237">_xlfn.RANK.EQ(O54,$D54:$R54,1)</f>
        <v>#N/A</v>
      </c>
      <c r="AI54" s="5" t="e">
        <f t="shared" ref="AI54:AI92" si="238">_xlfn.RANK.EQ(P54,$D54:$R54,1)</f>
        <v>#N/A</v>
      </c>
      <c r="AJ54" s="5" t="e">
        <f t="shared" ref="AJ54:AJ92" si="239">_xlfn.RANK.EQ(Q54,$D54:$R54,1)</f>
        <v>#N/A</v>
      </c>
      <c r="AK54" s="5" t="e">
        <f t="shared" ref="AK54:AK92" si="240">_xlfn.RANK.EQ(R54,$D54:$R54,1)</f>
        <v>#N/A</v>
      </c>
    </row>
    <row r="55" x14ac:dyDescent="0.3">
      <c r="A55" s="13"/>
      <c r="B55" s="11" t="s">
        <v>704</v>
      </c>
      <c r="C55" s="7" t="s">
        <v>769</v>
      </c>
      <c r="D55" s="6">
        <v>212604.28186973624</v>
      </c>
      <c r="E55" s="6">
        <v>27381752.183813855</v>
      </c>
      <c r="F55" s="6">
        <v>2496134.6867543235</v>
      </c>
      <c r="G55" s="6">
        <v>7435913.0962435761</v>
      </c>
      <c r="H55" s="6">
        <v>2005008.2970363852</v>
      </c>
      <c r="I55" s="6">
        <v>3932618.5123555535</v>
      </c>
      <c r="J55" s="6">
        <v>46663832.224911548</v>
      </c>
      <c r="K55" s="6">
        <v>979297.4693956062</v>
      </c>
      <c r="L55" s="6">
        <v>960533.89831251057</v>
      </c>
      <c r="M55" s="6">
        <v>5816061.1789988307</v>
      </c>
      <c r="N55" s="6"/>
      <c r="O55" s="6"/>
      <c r="P55" s="6"/>
      <c r="Q55" s="6"/>
      <c r="R55" s="6"/>
      <c r="S55" s="7"/>
      <c r="T55" s="7" t="s">
        <v>30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x14ac:dyDescent="0.3">
      <c r="A56" s="13"/>
      <c r="B56" s="12" t="s">
        <v>704</v>
      </c>
      <c r="C56" s="3" t="s">
        <v>770</v>
      </c>
      <c r="D56" s="4">
        <v>2.0265624999999998</v>
      </c>
      <c r="E56" s="4">
        <v>0.24062500000000001</v>
      </c>
      <c r="F56" s="4">
        <v>0.32187500000000002</v>
      </c>
      <c r="G56" s="4">
        <v>0.23697916666666666</v>
      </c>
      <c r="H56" s="4">
        <v>0.25312499999999999</v>
      </c>
      <c r="I56" s="4">
        <v>0.21666666666666667</v>
      </c>
      <c r="J56" s="4">
        <v>13.395312499999999</v>
      </c>
      <c r="K56" s="4">
        <v>0.5078125</v>
      </c>
      <c r="L56" s="4">
        <v>0.84010416666666665</v>
      </c>
      <c r="M56" s="4">
        <v>0.25260416666666669</v>
      </c>
      <c r="N56" s="4"/>
      <c r="O56" s="4"/>
      <c r="P56" s="4"/>
      <c r="Q56" s="4"/>
      <c r="R56" s="4"/>
      <c r="S56" s="3"/>
      <c r="T56" s="3" t="s">
        <v>31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x14ac:dyDescent="0.3">
      <c r="A57" s="13"/>
      <c r="B57" s="10" t="s">
        <v>705</v>
      </c>
      <c r="C57" s="1" t="s">
        <v>771</v>
      </c>
      <c r="D57" s="2">
        <v>535112.77158566215</v>
      </c>
      <c r="E57" s="2">
        <v>40908035.993094049</v>
      </c>
      <c r="F57" s="2">
        <v>1048160.2951749455</v>
      </c>
      <c r="G57" s="2">
        <v>3088362.3167248401</v>
      </c>
      <c r="H57" s="2">
        <v>37612.444536497242</v>
      </c>
      <c r="I57" s="2">
        <v>14300897.809309913</v>
      </c>
      <c r="J57" s="2">
        <v>80114010.225161329</v>
      </c>
      <c r="K57" s="2">
        <v>15740.990761941683</v>
      </c>
      <c r="L57" s="2">
        <v>10758.005193494346</v>
      </c>
      <c r="M57" s="2">
        <v>2963293.1892728754</v>
      </c>
      <c r="N57" s="2"/>
      <c r="O57" s="2"/>
      <c r="P57" s="2"/>
      <c r="Q57" s="2"/>
      <c r="R57" s="2"/>
      <c r="S57" s="1" t="s">
        <v>17</v>
      </c>
      <c r="T57" s="1" t="s">
        <v>29</v>
      </c>
      <c r="W57" s="5">
        <f t="shared" ref="W57:W92" si="241">_xlfn.RANK.EQ(D57,$D57:$R57,1)</f>
        <v>1</v>
      </c>
      <c r="X57" s="5">
        <f t="shared" ref="X57:X92" si="242">_xlfn.RANK.EQ(E57,$D57:$R57,1)</f>
        <v>3</v>
      </c>
      <c r="Y57" s="5">
        <f t="shared" ref="Y57:Y92" si="243">_xlfn.RANK.EQ(F57,$D57:$R57,1)</f>
        <v>2</v>
      </c>
      <c r="Z57" s="5">
        <f t="shared" ref="Z57:Z92" si="244">_xlfn.RANK.EQ(G57,$D57:$R57,1)</f>
        <v>5</v>
      </c>
      <c r="AA57" s="5">
        <f t="shared" ref="AA57:AA92" si="245">_xlfn.RANK.EQ(H57,$D57:$R57,1)</f>
        <v>9</v>
      </c>
      <c r="AB57" s="5">
        <f t="shared" ref="AB57:AB92" si="246">_xlfn.RANK.EQ(I57,$D57:$R57,1)</f>
        <v>7</v>
      </c>
      <c r="AC57" s="5">
        <f t="shared" ref="AC57:AC92" si="247">_xlfn.RANK.EQ(J57,$D57:$R57,1)</f>
        <v>6</v>
      </c>
      <c r="AD57" s="5">
        <f t="shared" ref="AD57:AD92" si="248">_xlfn.RANK.EQ(K57,$D57:$R57,1)</f>
        <v>4</v>
      </c>
      <c r="AE57" s="5">
        <f t="shared" ref="AE57:AE92" si="249">_xlfn.RANK.EQ(L57,$D57:$R57,1)</f>
        <v>8</v>
      </c>
      <c r="AF57" s="5" t="e">
        <f t="shared" ref="AF57:AF92" si="250">_xlfn.RANK.EQ(M57,$D57:$R57,1)</f>
        <v>#N/A</v>
      </c>
      <c r="AG57" s="5" t="e">
        <f t="shared" ref="AG57:AG92" si="251">_xlfn.RANK.EQ(N57,$D57:$R57,1)</f>
        <v>#N/A</v>
      </c>
      <c r="AH57" s="5" t="e">
        <f t="shared" ref="AH57:AH92" si="252">_xlfn.RANK.EQ(O57,$D57:$R57,1)</f>
        <v>#N/A</v>
      </c>
      <c r="AI57" s="5" t="e">
        <f t="shared" ref="AI57:AI92" si="253">_xlfn.RANK.EQ(P57,$D57:$R57,1)</f>
        <v>#N/A</v>
      </c>
      <c r="AJ57" s="5" t="e">
        <f t="shared" ref="AJ57:AJ92" si="254">_xlfn.RANK.EQ(Q57,$D57:$R57,1)</f>
        <v>#N/A</v>
      </c>
      <c r="AK57" s="5" t="e">
        <f t="shared" ref="AK57:AK92" si="255">_xlfn.RANK.EQ(R57,$D57:$R57,1)</f>
        <v>#N/A</v>
      </c>
    </row>
    <row r="58" x14ac:dyDescent="0.3">
      <c r="A58" s="13"/>
      <c r="B58" s="11" t="s">
        <v>705</v>
      </c>
      <c r="C58" s="7" t="s">
        <v>772</v>
      </c>
      <c r="D58" s="6">
        <v>352055.32756568136</v>
      </c>
      <c r="E58" s="6">
        <v>36457977.185091347</v>
      </c>
      <c r="F58" s="6">
        <v>750348.9691628312</v>
      </c>
      <c r="G58" s="6">
        <v>9463296.0889732055</v>
      </c>
      <c r="H58" s="6">
        <v>103113.6255193204</v>
      </c>
      <c r="I58" s="6">
        <v>23945611.698083811</v>
      </c>
      <c r="J58" s="6">
        <v>99414601.893749416</v>
      </c>
      <c r="K58" s="6">
        <v>15605.567352838545</v>
      </c>
      <c r="L58" s="6">
        <v>8795.7299793857328</v>
      </c>
      <c r="M58" s="6">
        <v>9680970.434466619</v>
      </c>
      <c r="N58" s="6"/>
      <c r="O58" s="6"/>
      <c r="P58" s="6"/>
      <c r="Q58" s="6"/>
      <c r="R58" s="6"/>
      <c r="S58" s="7"/>
      <c r="T58" s="7" t="s">
        <v>30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x14ac:dyDescent="0.3">
      <c r="A59" s="15"/>
      <c r="B59" s="12" t="s">
        <v>705</v>
      </c>
      <c r="C59" s="3" t="s">
        <v>773</v>
      </c>
      <c r="D59" s="4">
        <v>8.6666666666666661</v>
      </c>
      <c r="E59" s="4">
        <v>2.0666666666666669</v>
      </c>
      <c r="F59" s="4">
        <v>1.3364583333333333</v>
      </c>
      <c r="G59" s="4">
        <v>0.6723958333333333</v>
      </c>
      <c r="H59" s="4">
        <v>0.70104166666666667</v>
      </c>
      <c r="I59" s="4">
        <v>0.65260416666666665</v>
      </c>
      <c r="J59" s="4">
        <v>10.593229166666667</v>
      </c>
      <c r="K59" s="4">
        <v>0.88958333333333328</v>
      </c>
      <c r="L59" s="4">
        <v>1.1552083333333334</v>
      </c>
      <c r="M59" s="4">
        <v>0.69270833333333337</v>
      </c>
      <c r="N59" s="4"/>
      <c r="O59" s="4"/>
      <c r="P59" s="4"/>
      <c r="Q59" s="4"/>
      <c r="R59" s="4"/>
      <c r="S59" s="3"/>
      <c r="T59" s="3" t="s">
        <v>31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x14ac:dyDescent="0.3">
      <c r="A60" s="16" t="s">
        <v>34</v>
      </c>
      <c r="B60" s="10" t="s">
        <v>706</v>
      </c>
      <c r="C60" s="1" t="s">
        <v>774</v>
      </c>
      <c r="D60" s="2">
        <v>2563.4586557895</v>
      </c>
      <c r="E60" s="2">
        <v>2891.7073393560536</v>
      </c>
      <c r="F60" s="2">
        <v>2847.5886445124074</v>
      </c>
      <c r="G60" s="2">
        <v>2574.3746413101794</v>
      </c>
      <c r="H60" s="2">
        <v>2455.8881291329471</v>
      </c>
      <c r="I60" s="2">
        <v>2676.2974968441054</v>
      </c>
      <c r="J60" s="2">
        <v>3086.7844646547787</v>
      </c>
      <c r="K60" s="2">
        <v>2506.8679872564239</v>
      </c>
      <c r="L60" s="2">
        <v>2735.8463186428498</v>
      </c>
      <c r="M60" s="2">
        <v>2504.7034794943993</v>
      </c>
      <c r="N60" s="2"/>
      <c r="O60" s="2"/>
      <c r="P60" s="2"/>
      <c r="Q60" s="2"/>
      <c r="R60" s="2"/>
      <c r="S60" s="1" t="s">
        <v>18</v>
      </c>
      <c r="T60" s="1" t="s">
        <v>29</v>
      </c>
      <c r="W60" s="5">
        <f t="shared" ref="W60:W92" si="256">_xlfn.RANK.EQ(D60,$D60:$R60,1)</f>
        <v>4</v>
      </c>
      <c r="X60" s="5">
        <f t="shared" ref="X60:X92" si="257">_xlfn.RANK.EQ(E60,$D60:$R60,1)</f>
        <v>3</v>
      </c>
      <c r="Y60" s="5">
        <f t="shared" ref="Y60:Y92" si="258">_xlfn.RANK.EQ(F60,$D60:$R60,1)</f>
        <v>7</v>
      </c>
      <c r="Z60" s="5">
        <f t="shared" ref="Z60:Z92" si="259">_xlfn.RANK.EQ(G60,$D60:$R60,1)</f>
        <v>2</v>
      </c>
      <c r="AA60" s="5">
        <f t="shared" ref="AA60:AA92" si="260">_xlfn.RANK.EQ(H60,$D60:$R60,1)</f>
        <v>8</v>
      </c>
      <c r="AB60" s="5">
        <f t="shared" ref="AB60:AB92" si="261">_xlfn.RANK.EQ(I60,$D60:$R60,1)</f>
        <v>5</v>
      </c>
      <c r="AC60" s="5">
        <f t="shared" ref="AC60:AC92" si="262">_xlfn.RANK.EQ(J60,$D60:$R60,1)</f>
        <v>9</v>
      </c>
      <c r="AD60" s="5">
        <f t="shared" ref="AD60:AD92" si="263">_xlfn.RANK.EQ(K60,$D60:$R60,1)</f>
        <v>1</v>
      </c>
      <c r="AE60" s="5">
        <f t="shared" ref="AE60:AE92" si="264">_xlfn.RANK.EQ(L60,$D60:$R60,1)</f>
        <v>6</v>
      </c>
      <c r="AF60" s="5" t="e">
        <f t="shared" ref="AF60:AF92" si="265">_xlfn.RANK.EQ(M60,$D60:$R60,1)</f>
        <v>#N/A</v>
      </c>
      <c r="AG60" s="5" t="e">
        <f t="shared" ref="AG60:AG92" si="266">_xlfn.RANK.EQ(N60,$D60:$R60,1)</f>
        <v>#N/A</v>
      </c>
      <c r="AH60" s="5" t="e">
        <f t="shared" ref="AH60:AH92" si="267">_xlfn.RANK.EQ(O60,$D60:$R60,1)</f>
        <v>#N/A</v>
      </c>
      <c r="AI60" s="5" t="e">
        <f t="shared" ref="AI60:AI92" si="268">_xlfn.RANK.EQ(P60,$D60:$R60,1)</f>
        <v>#N/A</v>
      </c>
      <c r="AJ60" s="5" t="e">
        <f t="shared" ref="AJ60:AJ92" si="269">_xlfn.RANK.EQ(Q60,$D60:$R60,1)</f>
        <v>#N/A</v>
      </c>
      <c r="AK60" s="5" t="e">
        <f t="shared" ref="AK60:AK92" si="270">_xlfn.RANK.EQ(R60,$D60:$R60,1)</f>
        <v>#N/A</v>
      </c>
    </row>
    <row r="61" x14ac:dyDescent="0.3">
      <c r="A61" s="13"/>
      <c r="B61" s="11" t="s">
        <v>706</v>
      </c>
      <c r="C61" s="7" t="s">
        <v>775</v>
      </c>
      <c r="D61" s="6">
        <v>159.07658507727854</v>
      </c>
      <c r="E61" s="6">
        <v>198.96014414977742</v>
      </c>
      <c r="F61" s="6">
        <v>185.65134981622523</v>
      </c>
      <c r="G61" s="6">
        <v>209.31989348020252</v>
      </c>
      <c r="H61" s="6">
        <v>205.24783918878103</v>
      </c>
      <c r="I61" s="6">
        <v>233.78720238232447</v>
      </c>
      <c r="J61" s="6">
        <v>207.97483348835962</v>
      </c>
      <c r="K61" s="6">
        <v>175.18019408593418</v>
      </c>
      <c r="L61" s="6">
        <v>221.82812284057411</v>
      </c>
      <c r="M61" s="6">
        <v>168.50484899641626</v>
      </c>
      <c r="N61" s="6"/>
      <c r="O61" s="6"/>
      <c r="P61" s="6"/>
      <c r="Q61" s="6"/>
      <c r="R61" s="6"/>
      <c r="S61" s="7"/>
      <c r="T61" s="7" t="s">
        <v>30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x14ac:dyDescent="0.3">
      <c r="A62" s="13"/>
      <c r="B62" s="12" t="s">
        <v>706</v>
      </c>
      <c r="C62" s="3" t="s">
        <v>776</v>
      </c>
      <c r="D62" s="4">
        <v>3.7036458333333333</v>
      </c>
      <c r="E62" s="4">
        <v>0.54427083333333337</v>
      </c>
      <c r="F62" s="4">
        <v>0.5151041666666667</v>
      </c>
      <c r="G62" s="4">
        <v>0.31093749999999998</v>
      </c>
      <c r="H62" s="4">
        <v>0.33645833333333336</v>
      </c>
      <c r="I62" s="4">
        <v>0.27916666666666667</v>
      </c>
      <c r="J62" s="4">
        <v>11.901041666666666</v>
      </c>
      <c r="K62" s="4">
        <v>0.48281249999999998</v>
      </c>
      <c r="L62" s="4">
        <v>0.79791666666666672</v>
      </c>
      <c r="M62" s="4">
        <v>0.33437499999999998</v>
      </c>
      <c r="N62" s="4"/>
      <c r="O62" s="4"/>
      <c r="P62" s="4"/>
      <c r="Q62" s="4"/>
      <c r="R62" s="4"/>
      <c r="S62" s="3"/>
      <c r="T62" s="3" t="s">
        <v>31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x14ac:dyDescent="0.3">
      <c r="A63" s="13"/>
      <c r="B63" s="10" t="s">
        <v>707</v>
      </c>
      <c r="C63" s="1" t="s">
        <v>777</v>
      </c>
      <c r="D63" s="2">
        <v>2495.0169235038384</v>
      </c>
      <c r="E63" s="2">
        <v>2647.397776552898</v>
      </c>
      <c r="F63" s="2">
        <v>2565.0084501530227</v>
      </c>
      <c r="G63" s="2">
        <v>2419.0359414189256</v>
      </c>
      <c r="H63" s="2">
        <v>2432.1297603449875</v>
      </c>
      <c r="I63" s="2">
        <v>2433.8331005596715</v>
      </c>
      <c r="J63" s="2">
        <v>2637.7387712372583</v>
      </c>
      <c r="K63" s="2">
        <v>2423.1581324991716</v>
      </c>
      <c r="L63" s="2">
        <v>2494.5937472102637</v>
      </c>
      <c r="M63" s="2">
        <v>2409.359967699816</v>
      </c>
      <c r="N63" s="2"/>
      <c r="O63" s="2"/>
      <c r="P63" s="2"/>
      <c r="Q63" s="2"/>
      <c r="R63" s="2"/>
      <c r="S63" s="1" t="s">
        <v>19</v>
      </c>
      <c r="T63" s="1" t="s">
        <v>29</v>
      </c>
      <c r="W63" s="5">
        <f t="shared" ref="W63:W92" si="271">_xlfn.RANK.EQ(D63,$D63:$R63,1)</f>
        <v>3</v>
      </c>
      <c r="X63" s="5">
        <f t="shared" ref="X63:X92" si="272">_xlfn.RANK.EQ(E63,$D63:$R63,1)</f>
        <v>1</v>
      </c>
      <c r="Y63" s="5">
        <f t="shared" ref="Y63:Y92" si="273">_xlfn.RANK.EQ(F63,$D63:$R63,1)</f>
        <v>6</v>
      </c>
      <c r="Z63" s="5">
        <f t="shared" ref="Z63:Z92" si="274">_xlfn.RANK.EQ(G63,$D63:$R63,1)</f>
        <v>7</v>
      </c>
      <c r="AA63" s="5">
        <f t="shared" ref="AA63:AA92" si="275">_xlfn.RANK.EQ(H63,$D63:$R63,1)</f>
        <v>9</v>
      </c>
      <c r="AB63" s="5">
        <f t="shared" ref="AB63:AB92" si="276">_xlfn.RANK.EQ(I63,$D63:$R63,1)</f>
        <v>5</v>
      </c>
      <c r="AC63" s="5">
        <f t="shared" ref="AC63:AC92" si="277">_xlfn.RANK.EQ(J63,$D63:$R63,1)</f>
        <v>8</v>
      </c>
      <c r="AD63" s="5">
        <f t="shared" ref="AD63:AD92" si="278">_xlfn.RANK.EQ(K63,$D63:$R63,1)</f>
        <v>4</v>
      </c>
      <c r="AE63" s="5">
        <f t="shared" ref="AE63:AE92" si="279">_xlfn.RANK.EQ(L63,$D63:$R63,1)</f>
        <v>2</v>
      </c>
      <c r="AF63" s="5" t="e">
        <f t="shared" ref="AF63:AF92" si="280">_xlfn.RANK.EQ(M63,$D63:$R63,1)</f>
        <v>#N/A</v>
      </c>
      <c r="AG63" s="5" t="e">
        <f t="shared" ref="AG63:AG92" si="281">_xlfn.RANK.EQ(N63,$D63:$R63,1)</f>
        <v>#N/A</v>
      </c>
      <c r="AH63" s="5" t="e">
        <f t="shared" ref="AH63:AH92" si="282">_xlfn.RANK.EQ(O63,$D63:$R63,1)</f>
        <v>#N/A</v>
      </c>
      <c r="AI63" s="5" t="e">
        <f t="shared" ref="AI63:AI92" si="283">_xlfn.RANK.EQ(P63,$D63:$R63,1)</f>
        <v>#N/A</v>
      </c>
      <c r="AJ63" s="5" t="e">
        <f t="shared" ref="AJ63:AJ92" si="284">_xlfn.RANK.EQ(Q63,$D63:$R63,1)</f>
        <v>#N/A</v>
      </c>
      <c r="AK63" s="5" t="e">
        <f t="shared" ref="AK63:AK92" si="285">_xlfn.RANK.EQ(R63,$D63:$R63,1)</f>
        <v>#N/A</v>
      </c>
    </row>
    <row r="64" x14ac:dyDescent="0.3">
      <c r="A64" s="13"/>
      <c r="B64" s="11" t="s">
        <v>707</v>
      </c>
      <c r="C64" s="7" t="s">
        <v>778</v>
      </c>
      <c r="D64" s="6">
        <v>39.596563045825803</v>
      </c>
      <c r="E64" s="6">
        <v>45.441120571612544</v>
      </c>
      <c r="F64" s="6">
        <v>37.470615132770185</v>
      </c>
      <c r="G64" s="6">
        <v>43.784890842903849</v>
      </c>
      <c r="H64" s="6">
        <v>49.603940553442207</v>
      </c>
      <c r="I64" s="6">
        <v>25.763663389989841</v>
      </c>
      <c r="J64" s="6">
        <v>86.386667418951248</v>
      </c>
      <c r="K64" s="6">
        <v>32.234999941822181</v>
      </c>
      <c r="L64" s="6">
        <v>42.318975991112652</v>
      </c>
      <c r="M64" s="6">
        <v>24.840328615390636</v>
      </c>
      <c r="N64" s="6"/>
      <c r="O64" s="6"/>
      <c r="P64" s="6"/>
      <c r="Q64" s="6"/>
      <c r="R64" s="6"/>
      <c r="S64" s="7"/>
      <c r="T64" s="7" t="s">
        <v>30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x14ac:dyDescent="0.3">
      <c r="A65" s="13"/>
      <c r="B65" s="12" t="s">
        <v>707</v>
      </c>
      <c r="C65" s="3" t="s">
        <v>779</v>
      </c>
      <c r="D65" s="4">
        <v>3.9088541666666665</v>
      </c>
      <c r="E65" s="4">
        <v>0.76249999999999996</v>
      </c>
      <c r="F65" s="4">
        <v>0.62187499999999996</v>
      </c>
      <c r="G65" s="4">
        <v>0.36354166666666665</v>
      </c>
      <c r="H65" s="4">
        <v>0.39427083333333335</v>
      </c>
      <c r="I65" s="4">
        <v>0.36510416666666667</v>
      </c>
      <c r="J65" s="4">
        <v>8.2895833333333329</v>
      </c>
      <c r="K65" s="4">
        <v>0.57187500000000002</v>
      </c>
      <c r="L65" s="4">
        <v>0.85364583333333333</v>
      </c>
      <c r="M65" s="4">
        <v>0.37656250000000002</v>
      </c>
      <c r="N65" s="4"/>
      <c r="O65" s="4"/>
      <c r="P65" s="4"/>
      <c r="Q65" s="4"/>
      <c r="R65" s="4"/>
      <c r="S65" s="3"/>
      <c r="T65" s="3" t="s">
        <v>31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x14ac:dyDescent="0.3">
      <c r="A66" s="13"/>
      <c r="B66" s="10" t="s">
        <v>708</v>
      </c>
      <c r="C66" s="1" t="s">
        <v>780</v>
      </c>
      <c r="D66" s="2">
        <v>2321.8686498973202</v>
      </c>
      <c r="E66" s="2">
        <v>7840.4136155718106</v>
      </c>
      <c r="F66" s="2">
        <v>7371.3773716840651</v>
      </c>
      <c r="G66" s="2">
        <v>4557.818017456374</v>
      </c>
      <c r="H66" s="2">
        <v>7705.0815160822431</v>
      </c>
      <c r="I66" s="2">
        <v>4952.3716486314861</v>
      </c>
      <c r="J66" s="2">
        <v>9407.1669504449492</v>
      </c>
      <c r="K66" s="2">
        <v>5071.5910395067576</v>
      </c>
      <c r="L66" s="2">
        <v>6377.9908064427846</v>
      </c>
      <c r="M66" s="2">
        <v>5050.985086742171</v>
      </c>
      <c r="N66" s="2"/>
      <c r="O66" s="2"/>
      <c r="P66" s="2"/>
      <c r="Q66" s="2"/>
      <c r="R66" s="2"/>
      <c r="S66" s="1" t="s">
        <v>20</v>
      </c>
      <c r="T66" s="1" t="s">
        <v>29</v>
      </c>
      <c r="W66" s="5">
        <f t="shared" ref="W66:W92" si="286">_xlfn.RANK.EQ(D66,$D66:$R66,1)</f>
        <v>1</v>
      </c>
      <c r="X66" s="5">
        <f t="shared" ref="X66:X92" si="287">_xlfn.RANK.EQ(E66,$D66:$R66,1)</f>
        <v>4</v>
      </c>
      <c r="Y66" s="5">
        <f t="shared" ref="Y66:Y92" si="288">_xlfn.RANK.EQ(F66,$D66:$R66,1)</f>
        <v>7</v>
      </c>
      <c r="Z66" s="5">
        <f t="shared" ref="Z66:Z92" si="289">_xlfn.RANK.EQ(G66,$D66:$R66,1)</f>
        <v>2</v>
      </c>
      <c r="AA66" s="5">
        <f t="shared" ref="AA66:AA92" si="290">_xlfn.RANK.EQ(H66,$D66:$R66,1)</f>
        <v>9</v>
      </c>
      <c r="AB66" s="5">
        <f t="shared" ref="AB66:AB92" si="291">_xlfn.RANK.EQ(I66,$D66:$R66,1)</f>
        <v>3</v>
      </c>
      <c r="AC66" s="5">
        <f t="shared" ref="AC66:AC92" si="292">_xlfn.RANK.EQ(J66,$D66:$R66,1)</f>
        <v>8</v>
      </c>
      <c r="AD66" s="5">
        <f t="shared" ref="AD66:AD92" si="293">_xlfn.RANK.EQ(K66,$D66:$R66,1)</f>
        <v>6</v>
      </c>
      <c r="AE66" s="5">
        <f t="shared" ref="AE66:AE92" si="294">_xlfn.RANK.EQ(L66,$D66:$R66,1)</f>
        <v>5</v>
      </c>
      <c r="AF66" s="5" t="e">
        <f t="shared" ref="AF66:AF92" si="295">_xlfn.RANK.EQ(M66,$D66:$R66,1)</f>
        <v>#N/A</v>
      </c>
      <c r="AG66" s="5" t="e">
        <f t="shared" ref="AG66:AG92" si="296">_xlfn.RANK.EQ(N66,$D66:$R66,1)</f>
        <v>#N/A</v>
      </c>
      <c r="AH66" s="5" t="e">
        <f t="shared" ref="AH66:AH92" si="297">_xlfn.RANK.EQ(O66,$D66:$R66,1)</f>
        <v>#N/A</v>
      </c>
      <c r="AI66" s="5" t="e">
        <f t="shared" ref="AI66:AI92" si="298">_xlfn.RANK.EQ(P66,$D66:$R66,1)</f>
        <v>#N/A</v>
      </c>
      <c r="AJ66" s="5" t="e">
        <f t="shared" ref="AJ66:AJ92" si="299">_xlfn.RANK.EQ(Q66,$D66:$R66,1)</f>
        <v>#N/A</v>
      </c>
      <c r="AK66" s="5" t="e">
        <f t="shared" ref="AK66:AK92" si="300">_xlfn.RANK.EQ(R66,$D66:$R66,1)</f>
        <v>#N/A</v>
      </c>
    </row>
    <row r="67" x14ac:dyDescent="0.3">
      <c r="A67" s="13"/>
      <c r="B67" s="11" t="s">
        <v>708</v>
      </c>
      <c r="C67" s="7" t="s">
        <v>781</v>
      </c>
      <c r="D67" s="6">
        <v>1.955654371515547</v>
      </c>
      <c r="E67" s="6">
        <v>1676.4492475133684</v>
      </c>
      <c r="F67" s="6">
        <v>784.78835267311376</v>
      </c>
      <c r="G67" s="6">
        <v>2537.5094414293453</v>
      </c>
      <c r="H67" s="6">
        <v>2056.6553446619137</v>
      </c>
      <c r="I67" s="6">
        <v>2037.9384101896676</v>
      </c>
      <c r="J67" s="6">
        <v>1682.6982225634742</v>
      </c>
      <c r="K67" s="6">
        <v>2141.1817583375368</v>
      </c>
      <c r="L67" s="6">
        <v>1563.0876389143748</v>
      </c>
      <c r="M67" s="6">
        <v>2719.0051819778487</v>
      </c>
      <c r="N67" s="6"/>
      <c r="O67" s="6"/>
      <c r="P67" s="6"/>
      <c r="Q67" s="6"/>
      <c r="R67" s="6"/>
      <c r="S67" s="7"/>
      <c r="T67" s="7" t="s">
        <v>30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x14ac:dyDescent="0.3">
      <c r="A68" s="13"/>
      <c r="B68" s="12" t="s">
        <v>708</v>
      </c>
      <c r="C68" s="3" t="s">
        <v>782</v>
      </c>
      <c r="D68" s="4">
        <v>4.4359374999999996</v>
      </c>
      <c r="E68" s="4">
        <v>0.85624999999999996</v>
      </c>
      <c r="F68" s="4">
        <v>0.6791666666666667</v>
      </c>
      <c r="G68" s="4">
        <v>0.38958333333333334</v>
      </c>
      <c r="H68" s="4">
        <v>0.43072916666666666</v>
      </c>
      <c r="I68" s="4">
        <v>0.37187500000000001</v>
      </c>
      <c r="J68" s="4">
        <v>13.105208333333334</v>
      </c>
      <c r="K68" s="4">
        <v>0.61197916666666663</v>
      </c>
      <c r="L68" s="4">
        <v>0.8354166666666667</v>
      </c>
      <c r="M68" s="4">
        <v>0.39010416666666664</v>
      </c>
      <c r="N68" s="4"/>
      <c r="O68" s="4"/>
      <c r="P68" s="4"/>
      <c r="Q68" s="4"/>
      <c r="R68" s="4"/>
      <c r="S68" s="3"/>
      <c r="T68" s="3" t="s">
        <v>31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4.4" customHeight="true" x14ac:dyDescent="0.3">
      <c r="A69" s="13"/>
      <c r="B69" s="10" t="s">
        <v>709</v>
      </c>
      <c r="C69" s="1" t="s">
        <v>783</v>
      </c>
      <c r="D69" s="2">
        <v>2990.8014914984765</v>
      </c>
      <c r="E69" s="2">
        <v>3332.9889752288509</v>
      </c>
      <c r="F69" s="2">
        <v>3273.2657175860663</v>
      </c>
      <c r="G69" s="2">
        <v>2830.9182409524833</v>
      </c>
      <c r="H69" s="2">
        <v>2787.564883802891</v>
      </c>
      <c r="I69" s="2">
        <v>2786.3094526529208</v>
      </c>
      <c r="J69" s="2">
        <v>3182.416725069917</v>
      </c>
      <c r="K69" s="2">
        <v>2796.2369047171082</v>
      </c>
      <c r="L69" s="2">
        <v>3242.3523324560106</v>
      </c>
      <c r="M69" s="2">
        <v>2832.9284453139494</v>
      </c>
      <c r="N69" s="2"/>
      <c r="O69" s="2"/>
      <c r="P69" s="2"/>
      <c r="Q69" s="2"/>
      <c r="R69" s="2"/>
      <c r="S69" s="1" t="s">
        <v>21</v>
      </c>
      <c r="T69" s="1" t="s">
        <v>29</v>
      </c>
      <c r="W69" s="5">
        <f t="shared" ref="W69:W92" si="301">_xlfn.RANK.EQ(D69,$D69:$R69,1)</f>
        <v>5</v>
      </c>
      <c r="X69" s="5">
        <f t="shared" ref="X69:X92" si="302">_xlfn.RANK.EQ(E69,$D69:$R69,1)</f>
        <v>4</v>
      </c>
      <c r="Y69" s="5">
        <f t="shared" ref="Y69:Y92" si="303">_xlfn.RANK.EQ(F69,$D69:$R69,1)</f>
        <v>8</v>
      </c>
      <c r="Z69" s="5">
        <f t="shared" ref="Z69:Z92" si="304">_xlfn.RANK.EQ(G69,$D69:$R69,1)</f>
        <v>6</v>
      </c>
      <c r="AA69" s="5">
        <f t="shared" ref="AA69:AA92" si="305">_xlfn.RANK.EQ(H69,$D69:$R69,1)</f>
        <v>7</v>
      </c>
      <c r="AB69" s="5">
        <f t="shared" ref="AB69:AB92" si="306">_xlfn.RANK.EQ(I69,$D69:$R69,1)</f>
        <v>3</v>
      </c>
      <c r="AC69" s="5">
        <f t="shared" ref="AC69:AC92" si="307">_xlfn.RANK.EQ(J69,$D69:$R69,1)</f>
        <v>9</v>
      </c>
      <c r="AD69" s="5">
        <f t="shared" ref="AD69:AD92" si="308">_xlfn.RANK.EQ(K69,$D69:$R69,1)</f>
        <v>1</v>
      </c>
      <c r="AE69" s="5">
        <f t="shared" ref="AE69:AE92" si="309">_xlfn.RANK.EQ(L69,$D69:$R69,1)</f>
        <v>2</v>
      </c>
      <c r="AF69" s="5" t="e">
        <f t="shared" ref="AF69:AF92" si="310">_xlfn.RANK.EQ(M69,$D69:$R69,1)</f>
        <v>#N/A</v>
      </c>
      <c r="AG69" s="5" t="e">
        <f t="shared" ref="AG69:AG92" si="311">_xlfn.RANK.EQ(N69,$D69:$R69,1)</f>
        <v>#N/A</v>
      </c>
      <c r="AH69" s="5" t="e">
        <f t="shared" ref="AH69:AH92" si="312">_xlfn.RANK.EQ(O69,$D69:$R69,1)</f>
        <v>#N/A</v>
      </c>
      <c r="AI69" s="5" t="e">
        <f t="shared" ref="AI69:AI92" si="313">_xlfn.RANK.EQ(P69,$D69:$R69,1)</f>
        <v>#N/A</v>
      </c>
      <c r="AJ69" s="5" t="e">
        <f t="shared" ref="AJ69:AJ92" si="314">_xlfn.RANK.EQ(Q69,$D69:$R69,1)</f>
        <v>#N/A</v>
      </c>
      <c r="AK69" s="5" t="e">
        <f t="shared" ref="AK69:AK92" si="315">_xlfn.RANK.EQ(R69,$D69:$R69,1)</f>
        <v>#N/A</v>
      </c>
    </row>
    <row r="70" x14ac:dyDescent="0.3">
      <c r="A70" s="13"/>
      <c r="B70" s="11" t="s">
        <v>709</v>
      </c>
      <c r="C70" s="7" t="s">
        <v>784</v>
      </c>
      <c r="D70" s="6">
        <v>92.781957786293248</v>
      </c>
      <c r="E70" s="6">
        <v>114.1574128446105</v>
      </c>
      <c r="F70" s="6">
        <v>121.97298104340157</v>
      </c>
      <c r="G70" s="6">
        <v>58.480728590877291</v>
      </c>
      <c r="H70" s="6">
        <v>42.711655182216532</v>
      </c>
      <c r="I70" s="6">
        <v>26.555261610640763</v>
      </c>
      <c r="J70" s="6">
        <v>154.74684646224856</v>
      </c>
      <c r="K70" s="6">
        <v>45.022272700993433</v>
      </c>
      <c r="L70" s="6">
        <v>98.70533134986664</v>
      </c>
      <c r="M70" s="6">
        <v>76.118686136573018</v>
      </c>
      <c r="N70" s="6"/>
      <c r="O70" s="6"/>
      <c r="P70" s="6"/>
      <c r="Q70" s="6"/>
      <c r="R70" s="6"/>
      <c r="S70" s="7"/>
      <c r="T70" s="7" t="s">
        <v>30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x14ac:dyDescent="0.3">
      <c r="A71" s="13"/>
      <c r="B71" s="12" t="s">
        <v>709</v>
      </c>
      <c r="C71" s="3" t="s">
        <v>785</v>
      </c>
      <c r="D71" s="4">
        <v>5.052083333333333</v>
      </c>
      <c r="E71" s="4">
        <v>0.99427083333333333</v>
      </c>
      <c r="F71" s="4">
        <v>0.77187499999999998</v>
      </c>
      <c r="G71" s="4">
        <v>0.42760416666666667</v>
      </c>
      <c r="H71" s="4">
        <v>0.46458333333333335</v>
      </c>
      <c r="I71" s="4">
        <v>0.41614583333333333</v>
      </c>
      <c r="J71" s="4">
        <v>15.121874999999999</v>
      </c>
      <c r="K71" s="4">
        <v>0.61510416666666667</v>
      </c>
      <c r="L71" s="4">
        <v>0.93489583333333337</v>
      </c>
      <c r="M71" s="4">
        <v>0.4375</v>
      </c>
      <c r="N71" s="4"/>
      <c r="O71" s="4"/>
      <c r="P71" s="4"/>
      <c r="Q71" s="4"/>
      <c r="R71" s="4"/>
      <c r="S71" s="3"/>
      <c r="T71" s="3" t="s">
        <v>31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x14ac:dyDescent="0.3">
      <c r="A72" s="13"/>
      <c r="B72" s="10" t="s">
        <v>710</v>
      </c>
      <c r="C72" s="1" t="s">
        <v>786</v>
      </c>
      <c r="D72" s="2">
        <v>3205.5188028119837</v>
      </c>
      <c r="E72" s="2">
        <v>3535.6458890118979</v>
      </c>
      <c r="F72" s="2">
        <v>3483.304985661799</v>
      </c>
      <c r="G72" s="2">
        <v>3000.5725761633316</v>
      </c>
      <c r="H72" s="2">
        <v>3020.7796202722097</v>
      </c>
      <c r="I72" s="2">
        <v>3035.3463054900622</v>
      </c>
      <c r="J72" s="2">
        <v>3347.3616906886073</v>
      </c>
      <c r="K72" s="2">
        <v>2962.0483783755285</v>
      </c>
      <c r="L72" s="2">
        <v>3594.9083506222428</v>
      </c>
      <c r="M72" s="2">
        <v>2998.2580944072315</v>
      </c>
      <c r="N72" s="2"/>
      <c r="O72" s="2"/>
      <c r="P72" s="2"/>
      <c r="Q72" s="2"/>
      <c r="R72" s="2"/>
      <c r="S72" s="1" t="s">
        <v>22</v>
      </c>
      <c r="T72" s="1" t="s">
        <v>29</v>
      </c>
      <c r="W72" s="5">
        <f t="shared" ref="W72:W92" si="316">_xlfn.RANK.EQ(D72,$D72:$R72,1)</f>
        <v>4</v>
      </c>
      <c r="X72" s="5">
        <f t="shared" ref="X72:X92" si="317">_xlfn.RANK.EQ(E72,$D72:$R72,1)</f>
        <v>2</v>
      </c>
      <c r="Y72" s="5">
        <f t="shared" ref="Y72:Y92" si="318">_xlfn.RANK.EQ(F72,$D72:$R72,1)</f>
        <v>8</v>
      </c>
      <c r="Z72" s="5">
        <f t="shared" ref="Z72:Z92" si="319">_xlfn.RANK.EQ(G72,$D72:$R72,1)</f>
        <v>5</v>
      </c>
      <c r="AA72" s="5">
        <f t="shared" ref="AA72:AA92" si="320">_xlfn.RANK.EQ(H72,$D72:$R72,1)</f>
        <v>7</v>
      </c>
      <c r="AB72" s="5">
        <f t="shared" ref="AB72:AB92" si="321">_xlfn.RANK.EQ(I72,$D72:$R72,1)</f>
        <v>1</v>
      </c>
      <c r="AC72" s="5">
        <f t="shared" ref="AC72:AC92" si="322">_xlfn.RANK.EQ(J72,$D72:$R72,1)</f>
        <v>9</v>
      </c>
      <c r="AD72" s="5">
        <f t="shared" ref="AD72:AD92" si="323">_xlfn.RANK.EQ(K72,$D72:$R72,1)</f>
        <v>3</v>
      </c>
      <c r="AE72" s="5">
        <f t="shared" ref="AE72:AE92" si="324">_xlfn.RANK.EQ(L72,$D72:$R72,1)</f>
        <v>6</v>
      </c>
      <c r="AF72" s="5" t="e">
        <f t="shared" ref="AF72:AF92" si="325">_xlfn.RANK.EQ(M72,$D72:$R72,1)</f>
        <v>#N/A</v>
      </c>
      <c r="AG72" s="5" t="e">
        <f t="shared" ref="AG72:AG92" si="326">_xlfn.RANK.EQ(N72,$D72:$R72,1)</f>
        <v>#N/A</v>
      </c>
      <c r="AH72" s="5" t="e">
        <f t="shared" ref="AH72:AH92" si="327">_xlfn.RANK.EQ(O72,$D72:$R72,1)</f>
        <v>#N/A</v>
      </c>
      <c r="AI72" s="5" t="e">
        <f t="shared" ref="AI72:AI92" si="328">_xlfn.RANK.EQ(P72,$D72:$R72,1)</f>
        <v>#N/A</v>
      </c>
      <c r="AJ72" s="5" t="e">
        <f t="shared" ref="AJ72:AJ92" si="329">_xlfn.RANK.EQ(Q72,$D72:$R72,1)</f>
        <v>#N/A</v>
      </c>
      <c r="AK72" s="5" t="e">
        <f t="shared" ref="AK72:AK92" si="330">_xlfn.RANK.EQ(R72,$D72:$R72,1)</f>
        <v>#N/A</v>
      </c>
    </row>
    <row r="73" x14ac:dyDescent="0.3">
      <c r="A73" s="13"/>
      <c r="B73" s="11" t="s">
        <v>710</v>
      </c>
      <c r="C73" s="7" t="s">
        <v>787</v>
      </c>
      <c r="D73" s="6">
        <v>78.995983892704899</v>
      </c>
      <c r="E73" s="6">
        <v>149.93421388214179</v>
      </c>
      <c r="F73" s="6">
        <v>163.35481995134981</v>
      </c>
      <c r="G73" s="6">
        <v>79.623447531917193</v>
      </c>
      <c r="H73" s="6">
        <v>27.103287087806724</v>
      </c>
      <c r="I73" s="6">
        <v>55.992825118399047</v>
      </c>
      <c r="J73" s="6">
        <v>136.60166027693009</v>
      </c>
      <c r="K73" s="6">
        <v>43.713482421286834</v>
      </c>
      <c r="L73" s="6">
        <v>109.28554497472263</v>
      </c>
      <c r="M73" s="6">
        <v>70.052219674176044</v>
      </c>
      <c r="N73" s="6"/>
      <c r="O73" s="6"/>
      <c r="P73" s="6"/>
      <c r="Q73" s="6"/>
      <c r="R73" s="6"/>
      <c r="S73" s="7"/>
      <c r="T73" s="7" t="s">
        <v>30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x14ac:dyDescent="0.3">
      <c r="A74" s="13"/>
      <c r="B74" s="12" t="s">
        <v>710</v>
      </c>
      <c r="C74" s="3" t="s">
        <v>788</v>
      </c>
      <c r="D74" s="4">
        <v>5.4182291666666664</v>
      </c>
      <c r="E74" s="4">
        <v>1.1244791666666667</v>
      </c>
      <c r="F74" s="4">
        <v>0.76979166666666665</v>
      </c>
      <c r="G74" s="4">
        <v>0.44114583333333335</v>
      </c>
      <c r="H74" s="4">
        <v>0.47812500000000002</v>
      </c>
      <c r="I74" s="4">
        <v>0.44583333333333336</v>
      </c>
      <c r="J74" s="4">
        <v>16.582291666666666</v>
      </c>
      <c r="K74" s="4">
        <v>0.61041666666666672</v>
      </c>
      <c r="L74" s="4">
        <v>0.88802083333333337</v>
      </c>
      <c r="M74" s="4">
        <v>0.45781250000000001</v>
      </c>
      <c r="N74" s="4"/>
      <c r="O74" s="4"/>
      <c r="P74" s="4"/>
      <c r="Q74" s="4"/>
      <c r="R74" s="4"/>
      <c r="S74" s="3"/>
      <c r="T74" s="3" t="s">
        <v>31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x14ac:dyDescent="0.3">
      <c r="A75" s="13"/>
      <c r="B75" s="10" t="s">
        <v>711</v>
      </c>
      <c r="C75" s="1" t="s">
        <v>789</v>
      </c>
      <c r="D75" s="2">
        <v>2917.5371565750406</v>
      </c>
      <c r="E75" s="2">
        <v>4014.0223191665104</v>
      </c>
      <c r="F75" s="2">
        <v>2940.9585592494468</v>
      </c>
      <c r="G75" s="2">
        <v>3033.5033327041065</v>
      </c>
      <c r="H75" s="2">
        <v>2940.6437440133241</v>
      </c>
      <c r="I75" s="2">
        <v>2996.2288687441592</v>
      </c>
      <c r="J75" s="2">
        <v>3761.1575018876015</v>
      </c>
      <c r="K75" s="2">
        <v>2925.1043107560981</v>
      </c>
      <c r="L75" s="2">
        <v>2925.3823970148524</v>
      </c>
      <c r="M75" s="2">
        <v>3004.7670938054644</v>
      </c>
      <c r="N75" s="2"/>
      <c r="O75" s="2"/>
      <c r="P75" s="2"/>
      <c r="Q75" s="2"/>
      <c r="R75" s="2"/>
      <c r="S75" s="1" t="s">
        <v>23</v>
      </c>
      <c r="T75" s="1" t="s">
        <v>29</v>
      </c>
      <c r="W75" s="5">
        <f t="shared" ref="W75:W92" si="331">_xlfn.RANK.EQ(D75,$D75:$R75,1)</f>
        <v>1</v>
      </c>
      <c r="X75" s="5">
        <f t="shared" ref="X75:X92" si="332">_xlfn.RANK.EQ(E75,$D75:$R75,1)</f>
        <v>2</v>
      </c>
      <c r="Y75" s="5">
        <f t="shared" ref="Y75:Y92" si="333">_xlfn.RANK.EQ(F75,$D75:$R75,1)</f>
        <v>3</v>
      </c>
      <c r="Z75" s="5">
        <f t="shared" ref="Z75:Z92" si="334">_xlfn.RANK.EQ(G75,$D75:$R75,1)</f>
        <v>5</v>
      </c>
      <c r="AA75" s="5">
        <f t="shared" ref="AA75:AA92" si="335">_xlfn.RANK.EQ(H75,$D75:$R75,1)</f>
        <v>9</v>
      </c>
      <c r="AB75" s="5">
        <f t="shared" ref="AB75:AB92" si="336">_xlfn.RANK.EQ(I75,$D75:$R75,1)</f>
        <v>6</v>
      </c>
      <c r="AC75" s="5">
        <f t="shared" ref="AC75:AC92" si="337">_xlfn.RANK.EQ(J75,$D75:$R75,1)</f>
        <v>8</v>
      </c>
      <c r="AD75" s="5">
        <f t="shared" ref="AD75:AD92" si="338">_xlfn.RANK.EQ(K75,$D75:$R75,1)</f>
        <v>4</v>
      </c>
      <c r="AE75" s="5">
        <f t="shared" ref="AE75:AE92" si="339">_xlfn.RANK.EQ(L75,$D75:$R75,1)</f>
        <v>7</v>
      </c>
      <c r="AF75" s="5" t="e">
        <f t="shared" ref="AF75:AF92" si="340">_xlfn.RANK.EQ(M75,$D75:$R75,1)</f>
        <v>#N/A</v>
      </c>
      <c r="AG75" s="5" t="e">
        <f t="shared" ref="AG75:AG92" si="341">_xlfn.RANK.EQ(N75,$D75:$R75,1)</f>
        <v>#N/A</v>
      </c>
      <c r="AH75" s="5" t="e">
        <f t="shared" ref="AH75:AH92" si="342">_xlfn.RANK.EQ(O75,$D75:$R75,1)</f>
        <v>#N/A</v>
      </c>
      <c r="AI75" s="5" t="e">
        <f t="shared" ref="AI75:AI92" si="343">_xlfn.RANK.EQ(P75,$D75:$R75,1)</f>
        <v>#N/A</v>
      </c>
      <c r="AJ75" s="5" t="e">
        <f t="shared" ref="AJ75:AJ92" si="344">_xlfn.RANK.EQ(Q75,$D75:$R75,1)</f>
        <v>#N/A</v>
      </c>
      <c r="AK75" s="5" t="e">
        <f t="shared" ref="AK75:AK92" si="345">_xlfn.RANK.EQ(R75,$D75:$R75,1)</f>
        <v>#N/A</v>
      </c>
    </row>
    <row r="76" x14ac:dyDescent="0.3">
      <c r="A76" s="13"/>
      <c r="B76" s="11" t="s">
        <v>711</v>
      </c>
      <c r="C76" s="7" t="s">
        <v>790</v>
      </c>
      <c r="D76" s="6">
        <v>25.651149156867309</v>
      </c>
      <c r="E76" s="6">
        <v>393.20466651103317</v>
      </c>
      <c r="F76" s="6">
        <v>23.654766343795892</v>
      </c>
      <c r="G76" s="6">
        <v>83.389171853966076</v>
      </c>
      <c r="H76" s="6">
        <v>29.004598307621119</v>
      </c>
      <c r="I76" s="6">
        <v>49.198906116776655</v>
      </c>
      <c r="J76" s="6">
        <v>541.87671425432518</v>
      </c>
      <c r="K76" s="6">
        <v>32.80934049972457</v>
      </c>
      <c r="L76" s="6">
        <v>21.887191505907747</v>
      </c>
      <c r="M76" s="6">
        <v>52.108685871124472</v>
      </c>
      <c r="N76" s="6"/>
      <c r="O76" s="6"/>
      <c r="P76" s="6"/>
      <c r="Q76" s="6"/>
      <c r="R76" s="6"/>
      <c r="S76" s="7"/>
      <c r="T76" s="7" t="s">
        <v>30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x14ac:dyDescent="0.3">
      <c r="A77" s="13"/>
      <c r="B77" s="12" t="s">
        <v>711</v>
      </c>
      <c r="C77" s="3" t="s">
        <v>791</v>
      </c>
      <c r="D77" s="4">
        <v>4.7359375000000004</v>
      </c>
      <c r="E77" s="4">
        <v>0.92760416666666667</v>
      </c>
      <c r="F77" s="4">
        <v>0.74791666666666667</v>
      </c>
      <c r="G77" s="4">
        <v>0.41875000000000001</v>
      </c>
      <c r="H77" s="4">
        <v>0.4453125</v>
      </c>
      <c r="I77" s="4">
        <v>0.3828125</v>
      </c>
      <c r="J77" s="4">
        <v>5.9822916666666668</v>
      </c>
      <c r="K77" s="4">
        <v>0.65208333333333335</v>
      </c>
      <c r="L77" s="4">
        <v>0.88177083333333328</v>
      </c>
      <c r="M77" s="4">
        <v>0.41979166666666667</v>
      </c>
      <c r="N77" s="4"/>
      <c r="O77" s="4"/>
      <c r="P77" s="4"/>
      <c r="Q77" s="4"/>
      <c r="R77" s="4"/>
      <c r="S77" s="3"/>
      <c r="T77" s="3" t="s">
        <v>31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x14ac:dyDescent="0.3">
      <c r="A78" s="13"/>
      <c r="B78" s="10" t="s">
        <v>712</v>
      </c>
      <c r="C78" s="1" t="s">
        <v>792</v>
      </c>
      <c r="D78" s="2">
        <v>5418.561755376164</v>
      </c>
      <c r="E78" s="2">
        <v>9344.9628361876348</v>
      </c>
      <c r="F78" s="2">
        <v>7717.7003379365578</v>
      </c>
      <c r="G78" s="2">
        <v>5006.1437342767813</v>
      </c>
      <c r="H78" s="2">
        <v>4797.9472786070291</v>
      </c>
      <c r="I78" s="2">
        <v>5072.1442724438248</v>
      </c>
      <c r="J78" s="2">
        <v>8946.1171478436772</v>
      </c>
      <c r="K78" s="2">
        <v>5019.9143390676727</v>
      </c>
      <c r="L78" s="2">
        <v>8537.6488206979666</v>
      </c>
      <c r="M78" s="2">
        <v>5141.1022097238565</v>
      </c>
      <c r="N78" s="2"/>
      <c r="O78" s="2"/>
      <c r="P78" s="2"/>
      <c r="Q78" s="2"/>
      <c r="R78" s="2"/>
      <c r="S78" s="1" t="s">
        <v>24</v>
      </c>
      <c r="T78" s="1" t="s">
        <v>29</v>
      </c>
      <c r="W78" s="5">
        <f t="shared" ref="W78:W92" si="346">_xlfn.RANK.EQ(D78,$D78:$R78,1)</f>
        <v>3</v>
      </c>
      <c r="X78" s="5">
        <f t="shared" ref="X78:X92" si="347">_xlfn.RANK.EQ(E78,$D78:$R78,1)</f>
        <v>4</v>
      </c>
      <c r="Y78" s="5">
        <f t="shared" ref="Y78:Y92" si="348">_xlfn.RANK.EQ(F78,$D78:$R78,1)</f>
        <v>7</v>
      </c>
      <c r="Z78" s="5">
        <f t="shared" ref="Z78:Z92" si="349">_xlfn.RANK.EQ(G78,$D78:$R78,1)</f>
        <v>6</v>
      </c>
      <c r="AA78" s="5">
        <f t="shared" ref="AA78:AA92" si="350">_xlfn.RANK.EQ(H78,$D78:$R78,1)</f>
        <v>8</v>
      </c>
      <c r="AB78" s="5">
        <f t="shared" ref="AB78:AB92" si="351">_xlfn.RANK.EQ(I78,$D78:$R78,1)</f>
        <v>2</v>
      </c>
      <c r="AC78" s="5">
        <f t="shared" ref="AC78:AC92" si="352">_xlfn.RANK.EQ(J78,$D78:$R78,1)</f>
        <v>9</v>
      </c>
      <c r="AD78" s="5">
        <f t="shared" ref="AD78:AD92" si="353">_xlfn.RANK.EQ(K78,$D78:$R78,1)</f>
        <v>1</v>
      </c>
      <c r="AE78" s="5">
        <f t="shared" ref="AE78:AE92" si="354">_xlfn.RANK.EQ(L78,$D78:$R78,1)</f>
        <v>5</v>
      </c>
      <c r="AF78" s="5" t="e">
        <f t="shared" ref="AF78:AF92" si="355">_xlfn.RANK.EQ(M78,$D78:$R78,1)</f>
        <v>#N/A</v>
      </c>
      <c r="AG78" s="5" t="e">
        <f t="shared" ref="AG78:AG92" si="356">_xlfn.RANK.EQ(N78,$D78:$R78,1)</f>
        <v>#N/A</v>
      </c>
      <c r="AH78" s="5" t="e">
        <f t="shared" ref="AH78:AH92" si="357">_xlfn.RANK.EQ(O78,$D78:$R78,1)</f>
        <v>#N/A</v>
      </c>
      <c r="AI78" s="5" t="e">
        <f t="shared" ref="AI78:AI92" si="358">_xlfn.RANK.EQ(P78,$D78:$R78,1)</f>
        <v>#N/A</v>
      </c>
      <c r="AJ78" s="5" t="e">
        <f t="shared" ref="AJ78:AJ92" si="359">_xlfn.RANK.EQ(Q78,$D78:$R78,1)</f>
        <v>#N/A</v>
      </c>
      <c r="AK78" s="5" t="e">
        <f t="shared" ref="AK78:AK92" si="360">_xlfn.RANK.EQ(R78,$D78:$R78,1)</f>
        <v>#N/A</v>
      </c>
    </row>
    <row r="79" x14ac:dyDescent="0.3">
      <c r="A79" s="13"/>
      <c r="B79" s="11" t="s">
        <v>712</v>
      </c>
      <c r="C79" s="7" t="s">
        <v>793</v>
      </c>
      <c r="D79" s="6">
        <v>1746.1734802874737</v>
      </c>
      <c r="E79" s="6">
        <v>603.65119943081822</v>
      </c>
      <c r="F79" s="6">
        <v>1422.7798520166507</v>
      </c>
      <c r="G79" s="6">
        <v>809.37756920977165</v>
      </c>
      <c r="H79" s="6">
        <v>581.36427479847691</v>
      </c>
      <c r="I79" s="6">
        <v>474.5314603754677</v>
      </c>
      <c r="J79" s="6">
        <v>1537.4729292048044</v>
      </c>
      <c r="K79" s="6">
        <v>849.32229539154537</v>
      </c>
      <c r="L79" s="6">
        <v>1308.0841497457347</v>
      </c>
      <c r="M79" s="6">
        <v>738.10050293501422</v>
      </c>
      <c r="N79" s="6"/>
      <c r="O79" s="6"/>
      <c r="P79" s="6"/>
      <c r="Q79" s="6"/>
      <c r="R79" s="6"/>
      <c r="S79" s="7"/>
      <c r="T79" s="7" t="s">
        <v>30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x14ac:dyDescent="0.3">
      <c r="A80" s="13"/>
      <c r="B80" s="12" t="s">
        <v>712</v>
      </c>
      <c r="C80" s="3" t="s">
        <v>794</v>
      </c>
      <c r="D80" s="4">
        <v>5.828125</v>
      </c>
      <c r="E80" s="4">
        <v>1.2682291666666667</v>
      </c>
      <c r="F80" s="4">
        <v>0.89322916666666663</v>
      </c>
      <c r="G80" s="4">
        <v>0.50156250000000002</v>
      </c>
      <c r="H80" s="4">
        <v>0.55781250000000004</v>
      </c>
      <c r="I80" s="4">
        <v>0.46354166666666669</v>
      </c>
      <c r="J80" s="4">
        <v>12.569270833333333</v>
      </c>
      <c r="K80" s="4">
        <v>0.66822916666666665</v>
      </c>
      <c r="L80" s="4">
        <v>0.94635416666666672</v>
      </c>
      <c r="M80" s="4">
        <v>0.50260416666666663</v>
      </c>
      <c r="N80" s="4"/>
      <c r="O80" s="4"/>
      <c r="P80" s="4"/>
      <c r="Q80" s="4"/>
      <c r="R80" s="4"/>
      <c r="S80" s="3"/>
      <c r="T80" s="3" t="s">
        <v>31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x14ac:dyDescent="0.3">
      <c r="A81" s="13"/>
      <c r="B81" s="10" t="s">
        <v>713</v>
      </c>
      <c r="C81" s="1" t="s">
        <v>795</v>
      </c>
      <c r="D81" s="2">
        <v>3280.93473455202</v>
      </c>
      <c r="E81" s="2">
        <v>3766.5280358924288</v>
      </c>
      <c r="F81" s="2">
        <v>3471.0668136755035</v>
      </c>
      <c r="G81" s="2">
        <v>3285.6699534904587</v>
      </c>
      <c r="H81" s="2">
        <v>3278.9839855521927</v>
      </c>
      <c r="I81" s="2">
        <v>3263.0780886420271</v>
      </c>
      <c r="J81" s="2">
        <v>3536.2274083417219</v>
      </c>
      <c r="K81" s="2">
        <v>3250.7296259411282</v>
      </c>
      <c r="L81" s="2">
        <v>4029.2702223256952</v>
      </c>
      <c r="M81" s="2">
        <v>3278.9713355408503</v>
      </c>
      <c r="N81" s="2"/>
      <c r="O81" s="2"/>
      <c r="P81" s="2"/>
      <c r="Q81" s="2"/>
      <c r="R81" s="2"/>
      <c r="S81" s="1" t="s">
        <v>25</v>
      </c>
      <c r="T81" s="1" t="s">
        <v>29</v>
      </c>
      <c r="W81" s="5">
        <f t="shared" ref="W81:W92" si="361">_xlfn.RANK.EQ(D81,$D81:$R81,1)</f>
        <v>4</v>
      </c>
      <c r="X81" s="5">
        <f t="shared" ref="X81:X92" si="362">_xlfn.RANK.EQ(E81,$D81:$R81,1)</f>
        <v>2</v>
      </c>
      <c r="Y81" s="5">
        <f t="shared" ref="Y81:Y92" si="363">_xlfn.RANK.EQ(F81,$D81:$R81,1)</f>
        <v>8</v>
      </c>
      <c r="Z81" s="5">
        <f t="shared" ref="Z81:Z92" si="364">_xlfn.RANK.EQ(G81,$D81:$R81,1)</f>
        <v>1</v>
      </c>
      <c r="AA81" s="5">
        <f t="shared" ref="AA81:AA92" si="365">_xlfn.RANK.EQ(H81,$D81:$R81,1)</f>
        <v>7</v>
      </c>
      <c r="AB81" s="5">
        <f t="shared" ref="AB81:AB92" si="366">_xlfn.RANK.EQ(I81,$D81:$R81,1)</f>
        <v>6</v>
      </c>
      <c r="AC81" s="5">
        <f t="shared" ref="AC81:AC92" si="367">_xlfn.RANK.EQ(J81,$D81:$R81,1)</f>
        <v>9</v>
      </c>
      <c r="AD81" s="5">
        <f t="shared" ref="AD81:AD92" si="368">_xlfn.RANK.EQ(K81,$D81:$R81,1)</f>
        <v>5</v>
      </c>
      <c r="AE81" s="5">
        <f t="shared" ref="AE81:AE92" si="369">_xlfn.RANK.EQ(L81,$D81:$R81,1)</f>
        <v>3</v>
      </c>
      <c r="AF81" s="5" t="e">
        <f t="shared" ref="AF81:AF92" si="370">_xlfn.RANK.EQ(M81,$D81:$R81,1)</f>
        <v>#N/A</v>
      </c>
      <c r="AG81" s="5" t="e">
        <f t="shared" ref="AG81:AG92" si="371">_xlfn.RANK.EQ(N81,$D81:$R81,1)</f>
        <v>#N/A</v>
      </c>
      <c r="AH81" s="5" t="e">
        <f t="shared" ref="AH81:AH92" si="372">_xlfn.RANK.EQ(O81,$D81:$R81,1)</f>
        <v>#N/A</v>
      </c>
      <c r="AI81" s="5" t="e">
        <f t="shared" ref="AI81:AI92" si="373">_xlfn.RANK.EQ(P81,$D81:$R81,1)</f>
        <v>#N/A</v>
      </c>
      <c r="AJ81" s="5" t="e">
        <f t="shared" ref="AJ81:AJ92" si="374">_xlfn.RANK.EQ(Q81,$D81:$R81,1)</f>
        <v>#N/A</v>
      </c>
      <c r="AK81" s="5" t="e">
        <f t="shared" ref="AK81:AK92" si="375">_xlfn.RANK.EQ(R81,$D81:$R81,1)</f>
        <v>#N/A</v>
      </c>
    </row>
    <row r="82" x14ac:dyDescent="0.3">
      <c r="A82" s="13"/>
      <c r="B82" s="11" t="s">
        <v>713</v>
      </c>
      <c r="C82" s="7" t="s">
        <v>796</v>
      </c>
      <c r="D82" s="6">
        <v>60.113189040564386</v>
      </c>
      <c r="E82" s="6">
        <v>166.32430693319461</v>
      </c>
      <c r="F82" s="6">
        <v>157.09999608374977</v>
      </c>
      <c r="G82" s="6">
        <v>42.94488628153087</v>
      </c>
      <c r="H82" s="6">
        <v>22.717794405374597</v>
      </c>
      <c r="I82" s="6">
        <v>19.673556747724195</v>
      </c>
      <c r="J82" s="6">
        <v>188.16986985644505</v>
      </c>
      <c r="K82" s="6">
        <v>29.417659911934702</v>
      </c>
      <c r="L82" s="6">
        <v>211.24649366682141</v>
      </c>
      <c r="M82" s="6">
        <v>33.197807144853158</v>
      </c>
      <c r="N82" s="6"/>
      <c r="O82" s="6"/>
      <c r="P82" s="6"/>
      <c r="Q82" s="6"/>
      <c r="R82" s="6"/>
      <c r="S82" s="7"/>
      <c r="T82" s="7" t="s">
        <v>30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x14ac:dyDescent="0.3">
      <c r="A83" s="13"/>
      <c r="B83" s="12" t="s">
        <v>713</v>
      </c>
      <c r="C83" s="3" t="s">
        <v>797</v>
      </c>
      <c r="D83" s="4">
        <v>6.9140625</v>
      </c>
      <c r="E83" s="4">
        <v>1.5015624999999999</v>
      </c>
      <c r="F83" s="4">
        <v>1.0010416666666666</v>
      </c>
      <c r="G83" s="4">
        <v>0.5161458333333333</v>
      </c>
      <c r="H83" s="4">
        <v>0.54218750000000004</v>
      </c>
      <c r="I83" s="4">
        <v>0.5072916666666667</v>
      </c>
      <c r="J83" s="4">
        <v>16.165624999999999</v>
      </c>
      <c r="K83" s="4">
        <v>0.68593749999999998</v>
      </c>
      <c r="L83" s="4">
        <v>0.9614583333333333</v>
      </c>
      <c r="M83" s="4">
        <v>0.5229166666666667</v>
      </c>
      <c r="N83" s="4"/>
      <c r="O83" s="4"/>
      <c r="P83" s="4"/>
      <c r="Q83" s="4"/>
      <c r="R83" s="4"/>
      <c r="S83" s="3"/>
      <c r="T83" s="3" t="s">
        <v>31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x14ac:dyDescent="0.3">
      <c r="A84" s="13"/>
      <c r="B84" s="10" t="s">
        <v>714</v>
      </c>
      <c r="C84" s="1" t="s">
        <v>798</v>
      </c>
      <c r="D84" s="2">
        <v>3252.5779023752198</v>
      </c>
      <c r="E84" s="2">
        <v>5305.0452100333605</v>
      </c>
      <c r="F84" s="2">
        <v>3302.7597253712279</v>
      </c>
      <c r="G84" s="2">
        <v>3586.1549753857166</v>
      </c>
      <c r="H84" s="2">
        <v>3334.2856007970722</v>
      </c>
      <c r="I84" s="2">
        <v>3362.9945101513422</v>
      </c>
      <c r="J84" s="2">
        <v>5216.3988150740342</v>
      </c>
      <c r="K84" s="2">
        <v>3298.7987328560757</v>
      </c>
      <c r="L84" s="2">
        <v>3267.6762095374447</v>
      </c>
      <c r="M84" s="2">
        <v>3481.1176051743805</v>
      </c>
      <c r="N84" s="2"/>
      <c r="O84" s="2"/>
      <c r="P84" s="2"/>
      <c r="Q84" s="2"/>
      <c r="R84" s="2"/>
      <c r="S84" s="1" t="s">
        <v>26</v>
      </c>
      <c r="T84" s="1" t="s">
        <v>29</v>
      </c>
      <c r="W84" s="5">
        <f t="shared" ref="W84:W92" si="376">_xlfn.RANK.EQ(D84,$D84:$R84,1)</f>
        <v>1</v>
      </c>
      <c r="X84" s="5">
        <f t="shared" ref="X84:X92" si="377">_xlfn.RANK.EQ(E84,$D84:$R84,1)</f>
        <v>3</v>
      </c>
      <c r="Y84" s="5">
        <f t="shared" ref="Y84:Y92" si="378">_xlfn.RANK.EQ(F84,$D84:$R84,1)</f>
        <v>2</v>
      </c>
      <c r="Z84" s="5">
        <f t="shared" ref="Z84:Z92" si="379">_xlfn.RANK.EQ(G84,$D84:$R84,1)</f>
        <v>7</v>
      </c>
      <c r="AA84" s="5">
        <f t="shared" ref="AA84:AA92" si="380">_xlfn.RANK.EQ(H84,$D84:$R84,1)</f>
        <v>9</v>
      </c>
      <c r="AB84" s="5">
        <f t="shared" ref="AB84:AB92" si="381">_xlfn.RANK.EQ(I84,$D84:$R84,1)</f>
        <v>5</v>
      </c>
      <c r="AC84" s="5">
        <f t="shared" ref="AC84:AC92" si="382">_xlfn.RANK.EQ(J84,$D84:$R84,1)</f>
        <v>8</v>
      </c>
      <c r="AD84" s="5">
        <f t="shared" ref="AD84:AD92" si="383">_xlfn.RANK.EQ(K84,$D84:$R84,1)</f>
        <v>4</v>
      </c>
      <c r="AE84" s="5">
        <f t="shared" ref="AE84:AE92" si="384">_xlfn.RANK.EQ(L84,$D84:$R84,1)</f>
        <v>6</v>
      </c>
      <c r="AF84" s="5" t="e">
        <f t="shared" ref="AF84:AF92" si="385">_xlfn.RANK.EQ(M84,$D84:$R84,1)</f>
        <v>#N/A</v>
      </c>
      <c r="AG84" s="5" t="e">
        <f t="shared" ref="AG84:AG92" si="386">_xlfn.RANK.EQ(N84,$D84:$R84,1)</f>
        <v>#N/A</v>
      </c>
      <c r="AH84" s="5" t="e">
        <f t="shared" ref="AH84:AH92" si="387">_xlfn.RANK.EQ(O84,$D84:$R84,1)</f>
        <v>#N/A</v>
      </c>
      <c r="AI84" s="5" t="e">
        <f t="shared" ref="AI84:AI92" si="388">_xlfn.RANK.EQ(P84,$D84:$R84,1)</f>
        <v>#N/A</v>
      </c>
      <c r="AJ84" s="5" t="e">
        <f t="shared" ref="AJ84:AJ92" si="389">_xlfn.RANK.EQ(Q84,$D84:$R84,1)</f>
        <v>#N/A</v>
      </c>
      <c r="AK84" s="5" t="e">
        <f t="shared" ref="AK84:AK92" si="390">_xlfn.RANK.EQ(R84,$D84:$R84,1)</f>
        <v>#N/A</v>
      </c>
    </row>
    <row r="85" x14ac:dyDescent="0.3">
      <c r="A85" s="13"/>
      <c r="B85" s="11" t="s">
        <v>714</v>
      </c>
      <c r="C85" s="7" t="s">
        <v>799</v>
      </c>
      <c r="D85" s="6">
        <v>25.213230006103608</v>
      </c>
      <c r="E85" s="6">
        <v>541.62463602256048</v>
      </c>
      <c r="F85" s="6">
        <v>23.927138286432619</v>
      </c>
      <c r="G85" s="6">
        <v>280.52897802772355</v>
      </c>
      <c r="H85" s="6">
        <v>56.104489533201338</v>
      </c>
      <c r="I85" s="6">
        <v>54.491535342994752</v>
      </c>
      <c r="J85" s="6">
        <v>1944.6664883822727</v>
      </c>
      <c r="K85" s="6">
        <v>47.463707192478765</v>
      </c>
      <c r="L85" s="6">
        <v>27.654400840818266</v>
      </c>
      <c r="M85" s="6">
        <v>107.4922701321121</v>
      </c>
      <c r="N85" s="6"/>
      <c r="O85" s="6"/>
      <c r="P85" s="6"/>
      <c r="Q85" s="6"/>
      <c r="R85" s="6"/>
      <c r="S85" s="7"/>
      <c r="T85" s="7" t="s">
        <v>30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x14ac:dyDescent="0.3">
      <c r="A86" s="13"/>
      <c r="B86" s="12" t="s">
        <v>714</v>
      </c>
      <c r="C86" s="3" t="s">
        <v>800</v>
      </c>
      <c r="D86" s="4">
        <v>5.609375</v>
      </c>
      <c r="E86" s="4">
        <v>1.2020833333333334</v>
      </c>
      <c r="F86" s="4">
        <v>0.8510416666666667</v>
      </c>
      <c r="G86" s="4">
        <v>0.46718749999999998</v>
      </c>
      <c r="H86" s="4">
        <v>0.4765625</v>
      </c>
      <c r="I86" s="4">
        <v>0.43854166666666666</v>
      </c>
      <c r="J86" s="4">
        <v>10.293229166666666</v>
      </c>
      <c r="K86" s="4">
        <v>0.78020833333333328</v>
      </c>
      <c r="L86" s="4">
        <v>0.97031250000000002</v>
      </c>
      <c r="M86" s="4">
        <v>0.47968749999999999</v>
      </c>
      <c r="N86" s="4"/>
      <c r="O86" s="4"/>
      <c r="P86" s="4"/>
      <c r="Q86" s="4"/>
      <c r="R86" s="4"/>
      <c r="S86" s="3"/>
      <c r="T86" s="3" t="s">
        <v>31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x14ac:dyDescent="0.3">
      <c r="A87" s="13"/>
      <c r="B87" s="10" t="s">
        <v>715</v>
      </c>
      <c r="C87" s="1" t="s">
        <v>801</v>
      </c>
      <c r="D87" s="2">
        <v>4233.3073972900647</v>
      </c>
      <c r="E87" s="2">
        <v>6015.575180354469</v>
      </c>
      <c r="F87" s="2">
        <v>4737.9755655864074</v>
      </c>
      <c r="G87" s="2">
        <v>3985.4218612094573</v>
      </c>
      <c r="H87" s="2">
        <v>3897.7110346013824</v>
      </c>
      <c r="I87" s="2">
        <v>3954.1922623817027</v>
      </c>
      <c r="J87" s="2">
        <v>5532.460947885007</v>
      </c>
      <c r="K87" s="2">
        <v>3915.6581078346071</v>
      </c>
      <c r="L87" s="2">
        <v>4402.6785345510089</v>
      </c>
      <c r="M87" s="2">
        <v>3987.0422390007343</v>
      </c>
      <c r="N87" s="2"/>
      <c r="O87" s="2"/>
      <c r="P87" s="2"/>
      <c r="Q87" s="2"/>
      <c r="R87" s="2"/>
      <c r="S87" s="1" t="s">
        <v>27</v>
      </c>
      <c r="T87" s="1" t="s">
        <v>29</v>
      </c>
      <c r="W87" s="5">
        <f t="shared" ref="W87:W92" si="391">_xlfn.RANK.EQ(D87,$D87:$R87,1)</f>
        <v>5</v>
      </c>
      <c r="X87" s="5">
        <f t="shared" ref="X87:X92" si="392">_xlfn.RANK.EQ(E87,$D87:$R87,1)</f>
        <v>1</v>
      </c>
      <c r="Y87" s="5">
        <f t="shared" ref="Y87:Y92" si="393">_xlfn.RANK.EQ(F87,$D87:$R87,1)</f>
        <v>7</v>
      </c>
      <c r="Z87" s="5">
        <f t="shared" ref="Z87:Z92" si="394">_xlfn.RANK.EQ(G87,$D87:$R87,1)</f>
        <v>2</v>
      </c>
      <c r="AA87" s="5">
        <f t="shared" ref="AA87:AA92" si="395">_xlfn.RANK.EQ(H87,$D87:$R87,1)</f>
        <v>8</v>
      </c>
      <c r="AB87" s="5">
        <f t="shared" ref="AB87:AB92" si="396">_xlfn.RANK.EQ(I87,$D87:$R87,1)</f>
        <v>6</v>
      </c>
      <c r="AC87" s="5">
        <f t="shared" ref="AC87:AC92" si="397">_xlfn.RANK.EQ(J87,$D87:$R87,1)</f>
        <v>9</v>
      </c>
      <c r="AD87" s="5">
        <f t="shared" ref="AD87:AD92" si="398">_xlfn.RANK.EQ(K87,$D87:$R87,1)</f>
        <v>3</v>
      </c>
      <c r="AE87" s="5">
        <f t="shared" ref="AE87:AE92" si="399">_xlfn.RANK.EQ(L87,$D87:$R87,1)</f>
        <v>4</v>
      </c>
      <c r="AF87" s="5" t="e">
        <f t="shared" ref="AF87:AF92" si="400">_xlfn.RANK.EQ(M87,$D87:$R87,1)</f>
        <v>#N/A</v>
      </c>
      <c r="AG87" s="5" t="e">
        <f t="shared" ref="AG87:AG92" si="401">_xlfn.RANK.EQ(N87,$D87:$R87,1)</f>
        <v>#N/A</v>
      </c>
      <c r="AH87" s="5" t="e">
        <f t="shared" ref="AH87:AH92" si="402">_xlfn.RANK.EQ(O87,$D87:$R87,1)</f>
        <v>#N/A</v>
      </c>
      <c r="AI87" s="5" t="e">
        <f t="shared" ref="AI87:AI92" si="403">_xlfn.RANK.EQ(P87,$D87:$R87,1)</f>
        <v>#N/A</v>
      </c>
      <c r="AJ87" s="5" t="e">
        <f t="shared" ref="AJ87:AJ92" si="404">_xlfn.RANK.EQ(Q87,$D87:$R87,1)</f>
        <v>#N/A</v>
      </c>
      <c r="AK87" s="5" t="e">
        <f t="shared" ref="AK87:AK92" si="405">_xlfn.RANK.EQ(R87,$D87:$R87,1)</f>
        <v>#N/A</v>
      </c>
    </row>
    <row r="88" x14ac:dyDescent="0.3">
      <c r="A88" s="13"/>
      <c r="B88" s="11" t="s">
        <v>715</v>
      </c>
      <c r="C88" s="7" t="s">
        <v>802</v>
      </c>
      <c r="D88" s="6">
        <v>265.72401807415537</v>
      </c>
      <c r="E88" s="6">
        <v>758.31674020974197</v>
      </c>
      <c r="F88" s="6">
        <v>374.4199787134441</v>
      </c>
      <c r="G88" s="6">
        <v>180.38149396280633</v>
      </c>
      <c r="H88" s="6">
        <v>191.90832026957136</v>
      </c>
      <c r="I88" s="6">
        <v>230.19891949810025</v>
      </c>
      <c r="J88" s="6">
        <v>719.80994322814729</v>
      </c>
      <c r="K88" s="6">
        <v>211.17519415347394</v>
      </c>
      <c r="L88" s="6">
        <v>333.28323783500423</v>
      </c>
      <c r="M88" s="6">
        <v>314.10222378622404</v>
      </c>
      <c r="N88" s="6"/>
      <c r="O88" s="6"/>
      <c r="P88" s="6"/>
      <c r="Q88" s="6"/>
      <c r="R88" s="6"/>
      <c r="S88" s="7"/>
      <c r="T88" s="7" t="s">
        <v>30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x14ac:dyDescent="0.3">
      <c r="A89" s="13"/>
      <c r="B89" s="12" t="s">
        <v>715</v>
      </c>
      <c r="C89" s="3" t="s">
        <v>803</v>
      </c>
      <c r="D89" s="4">
        <v>4.6479166666666663</v>
      </c>
      <c r="E89" s="4">
        <v>0.92656249999999996</v>
      </c>
      <c r="F89" s="4">
        <v>0.70833333333333337</v>
      </c>
      <c r="G89" s="4">
        <v>0.40364583333333331</v>
      </c>
      <c r="H89" s="4">
        <v>0.47395833333333331</v>
      </c>
      <c r="I89" s="4">
        <v>0.38750000000000001</v>
      </c>
      <c r="J89" s="4">
        <v>14.076041666666667</v>
      </c>
      <c r="K89" s="4">
        <v>0.59739583333333335</v>
      </c>
      <c r="L89" s="4">
        <v>0.86979166666666663</v>
      </c>
      <c r="M89" s="4">
        <v>0.44062499999999999</v>
      </c>
      <c r="N89" s="4"/>
      <c r="O89" s="4"/>
      <c r="P89" s="4"/>
      <c r="Q89" s="4"/>
      <c r="R89" s="4"/>
      <c r="S89" s="3"/>
      <c r="T89" s="3" t="s">
        <v>31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x14ac:dyDescent="0.3">
      <c r="A90" s="13"/>
      <c r="B90" s="10" t="s">
        <v>716</v>
      </c>
      <c r="C90" s="1" t="s">
        <v>804</v>
      </c>
      <c r="D90" s="2">
        <v>1976912.4499881526</v>
      </c>
      <c r="E90" s="2">
        <v>202596525.95084146</v>
      </c>
      <c r="F90" s="2">
        <v>6754336.081490865</v>
      </c>
      <c r="G90" s="2">
        <v>16568251.458933409</v>
      </c>
      <c r="H90" s="2">
        <v>76020.766533548769</v>
      </c>
      <c r="I90" s="2">
        <v>6605643.8460154682</v>
      </c>
      <c r="J90" s="2">
        <v>111188544.04476175</v>
      </c>
      <c r="K90" s="2">
        <v>37161.885930363329</v>
      </c>
      <c r="L90" s="2">
        <v>40955.471802144544</v>
      </c>
      <c r="M90" s="2">
        <v>13601939.215514196</v>
      </c>
      <c r="N90" s="2"/>
      <c r="O90" s="2"/>
      <c r="P90" s="2"/>
      <c r="Q90" s="2"/>
      <c r="R90" s="2"/>
      <c r="S90" s="1" t="s">
        <v>28</v>
      </c>
      <c r="T90" s="1" t="s">
        <v>29</v>
      </c>
      <c r="W90" s="5">
        <f t="shared" ref="W90:W92" si="406">_xlfn.RANK.EQ(D90,$D90:$R90,1)</f>
        <v>1</v>
      </c>
      <c r="X90" s="5">
        <f t="shared" ref="X90:X92" si="407">_xlfn.RANK.EQ(E90,$D90:$R90,1)</f>
        <v>3</v>
      </c>
      <c r="Y90" s="5">
        <f t="shared" ref="Y90:Y92" si="408">_xlfn.RANK.EQ(F90,$D90:$R90,1)</f>
        <v>2</v>
      </c>
      <c r="Z90" s="5">
        <f t="shared" ref="Z90:Z92" si="409">_xlfn.RANK.EQ(G90,$D90:$R90,1)</f>
        <v>5</v>
      </c>
      <c r="AA90" s="5">
        <f t="shared" ref="AA90:AA92" si="410">_xlfn.RANK.EQ(H90,$D90:$R90,1)</f>
        <v>9</v>
      </c>
      <c r="AB90" s="5">
        <f t="shared" ref="AB90:AB92" si="411">_xlfn.RANK.EQ(I90,$D90:$R90,1)</f>
        <v>7</v>
      </c>
      <c r="AC90" s="5">
        <f t="shared" ref="AC90:AC92" si="412">_xlfn.RANK.EQ(J90,$D90:$R90,1)</f>
        <v>8</v>
      </c>
      <c r="AD90" s="5">
        <f t="shared" ref="AD90:AD92" si="413">_xlfn.RANK.EQ(K90,$D90:$R90,1)</f>
        <v>4</v>
      </c>
      <c r="AE90" s="5">
        <f t="shared" ref="AE90:AE92" si="414">_xlfn.RANK.EQ(L90,$D90:$R90,1)</f>
        <v>6</v>
      </c>
      <c r="AF90" s="5" t="e">
        <f t="shared" ref="AF90:AF92" si="415">_xlfn.RANK.EQ(M90,$D90:$R90,1)</f>
        <v>#N/A</v>
      </c>
      <c r="AG90" s="5" t="e">
        <f t="shared" ref="AG90:AG92" si="416">_xlfn.RANK.EQ(N90,$D90:$R90,1)</f>
        <v>#N/A</v>
      </c>
      <c r="AH90" s="5" t="e">
        <f t="shared" ref="AH90:AH92" si="417">_xlfn.RANK.EQ(O90,$D90:$R90,1)</f>
        <v>#N/A</v>
      </c>
      <c r="AI90" s="5" t="e">
        <f t="shared" ref="AI90:AI92" si="418">_xlfn.RANK.EQ(P90,$D90:$R90,1)</f>
        <v>#N/A</v>
      </c>
      <c r="AJ90" s="5" t="e">
        <f t="shared" ref="AJ90:AJ92" si="419">_xlfn.RANK.EQ(Q90,$D90:$R90,1)</f>
        <v>#N/A</v>
      </c>
      <c r="AK90" s="5" t="e">
        <f t="shared" ref="AK90:AK92" si="420">_xlfn.RANK.EQ(R90,$D90:$R90,1)</f>
        <v>#N/A</v>
      </c>
    </row>
    <row r="91" x14ac:dyDescent="0.3">
      <c r="A91" s="13"/>
      <c r="B91" s="11" t="s">
        <v>716</v>
      </c>
      <c r="C91" s="7" t="s">
        <v>805</v>
      </c>
      <c r="D91" s="6">
        <v>1084611.2256348638</v>
      </c>
      <c r="E91" s="6">
        <v>197276415.89808115</v>
      </c>
      <c r="F91" s="6">
        <v>4431799.949112962</v>
      </c>
      <c r="G91" s="6">
        <v>12475558.277082385</v>
      </c>
      <c r="H91" s="6">
        <v>157945.45285998992</v>
      </c>
      <c r="I91" s="6">
        <v>6686875.7320046723</v>
      </c>
      <c r="J91" s="6">
        <v>84758251.447323769</v>
      </c>
      <c r="K91" s="6">
        <v>59873.653565535569</v>
      </c>
      <c r="L91" s="6">
        <v>28629.058103586958</v>
      </c>
      <c r="M91" s="6">
        <v>10033579.551633388</v>
      </c>
      <c r="N91" s="6"/>
      <c r="O91" s="6"/>
      <c r="P91" s="6"/>
      <c r="Q91" s="6"/>
      <c r="R91" s="6"/>
      <c r="S91" s="7"/>
      <c r="T91" s="7" t="s">
        <v>30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x14ac:dyDescent="0.3">
      <c r="A92" s="15"/>
      <c r="B92" s="12" t="s">
        <v>716</v>
      </c>
      <c r="C92" s="3" t="s">
        <v>806</v>
      </c>
      <c r="D92" s="4">
        <v>10.3578125</v>
      </c>
      <c r="E92" s="4">
        <v>2.4281250000000001</v>
      </c>
      <c r="F92" s="4">
        <v>1.5473958333333333</v>
      </c>
      <c r="G92" s="4">
        <v>0.77187499999999998</v>
      </c>
      <c r="H92" s="4">
        <v>0.8052083333333333</v>
      </c>
      <c r="I92" s="4">
        <v>0.76822916666666663</v>
      </c>
      <c r="J92" s="4">
        <v>12.313541666666667</v>
      </c>
      <c r="K92" s="4">
        <v>0.99375000000000002</v>
      </c>
      <c r="L92" s="4">
        <v>1.2385416666666667</v>
      </c>
      <c r="M92" s="4">
        <v>0.79218750000000004</v>
      </c>
      <c r="N92" s="4"/>
      <c r="O92" s="4"/>
      <c r="P92" s="4"/>
      <c r="Q92" s="4"/>
      <c r="R92" s="4"/>
      <c r="S92" s="7"/>
      <c r="T92" s="7" t="s">
        <v>31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32.4" customHeight="true" x14ac:dyDescent="0.3">
      <c r="A93" s="16" t="s">
        <v>40</v>
      </c>
      <c r="B93" s="10"/>
      <c r="C93" s="10"/>
      <c r="D93" s="1">
        <f>COUNTIF(W3:W92,1)</f>
        <v>15</v>
      </c>
      <c r="E93" s="1">
        <f t="shared" ref="E93:R93" si="421">COUNTIF(X3:X92,1)</f>
        <v>4</v>
      </c>
      <c r="F93" s="1">
        <f t="shared" si="421"/>
        <v>0</v>
      </c>
      <c r="G93" s="1">
        <f t="shared" si="421"/>
        <v>1</v>
      </c>
      <c r="H93" s="1">
        <f t="shared" si="421"/>
        <v>0</v>
      </c>
      <c r="I93" s="1">
        <f t="shared" si="421"/>
        <v>1</v>
      </c>
      <c r="J93" s="1">
        <f t="shared" si="421"/>
        <v>0</v>
      </c>
      <c r="K93" s="1">
        <f t="shared" si="421"/>
        <v>7</v>
      </c>
      <c r="L93" s="1">
        <f t="shared" si="421"/>
        <v>1</v>
      </c>
      <c r="M93" s="1">
        <f t="shared" si="421"/>
        <v>0</v>
      </c>
      <c r="N93" s="1">
        <f t="shared" si="421"/>
        <v>0</v>
      </c>
      <c r="O93" s="1">
        <f t="shared" si="421"/>
        <v>0</v>
      </c>
      <c r="P93" s="1">
        <f t="shared" si="421"/>
        <v>0</v>
      </c>
      <c r="Q93" s="1">
        <f t="shared" si="421"/>
        <v>0</v>
      </c>
      <c r="R93" s="1">
        <f t="shared" si="421"/>
        <v>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32.4" customHeight="true" x14ac:dyDescent="0.3">
      <c r="A94" s="13" t="s">
        <v>41</v>
      </c>
      <c r="B94" s="11"/>
      <c r="C94" s="11"/>
      <c r="D94" s="7">
        <f>_xlfn.RANK.EQ(D93,$D93:$R93,0)</f>
        <v>1</v>
      </c>
      <c r="E94" s="7">
        <f t="shared" ref="E94:R94" si="422">_xlfn.RANK.EQ(E93,$D93:$R93,0)</f>
        <v>3</v>
      </c>
      <c r="F94" s="7">
        <f t="shared" si="422"/>
        <v>7</v>
      </c>
      <c r="G94" s="7">
        <f t="shared" si="422"/>
        <v>4</v>
      </c>
      <c r="H94" s="7">
        <f t="shared" si="422"/>
        <v>7</v>
      </c>
      <c r="I94" s="7">
        <f t="shared" si="422"/>
        <v>4</v>
      </c>
      <c r="J94" s="7">
        <f t="shared" si="422"/>
        <v>7</v>
      </c>
      <c r="K94" s="7">
        <f t="shared" si="422"/>
        <v>2</v>
      </c>
      <c r="L94" s="7">
        <f t="shared" si="422"/>
        <v>4</v>
      </c>
      <c r="M94" s="7">
        <f t="shared" si="422"/>
        <v>7</v>
      </c>
      <c r="N94" s="7">
        <f t="shared" si="422"/>
        <v>7</v>
      </c>
      <c r="O94" s="7">
        <f t="shared" si="422"/>
        <v>7</v>
      </c>
      <c r="P94" s="7">
        <f t="shared" si="422"/>
        <v>7</v>
      </c>
      <c r="Q94" s="7">
        <f t="shared" si="422"/>
        <v>7</v>
      </c>
      <c r="R94" s="7">
        <f t="shared" si="422"/>
        <v>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32.4" customHeight="true" x14ac:dyDescent="0.3">
      <c r="A95" s="14" t="s">
        <v>42</v>
      </c>
      <c r="B95" s="11"/>
      <c r="C95" s="11"/>
      <c r="D95" s="23">
        <f>AVERAGE(W3:W92)</f>
        <v>2.5172413793103448</v>
      </c>
      <c r="E95" s="23">
        <f t="shared" ref="E95:R95" si="423">AVERAGE(X3:X92)</f>
        <v>2.9310344827586206</v>
      </c>
      <c r="F95" s="23">
        <f t="shared" si="423"/>
        <v>5.068965517241379</v>
      </c>
      <c r="G95" s="23">
        <f t="shared" si="423"/>
        <v>4.931034482758621</v>
      </c>
      <c r="H95" s="23">
        <f t="shared" si="423"/>
        <v>8.5517241379310338</v>
      </c>
      <c r="I95" s="23">
        <f t="shared" si="423"/>
        <v>4.8275862068965516</v>
      </c>
      <c r="J95" s="23">
        <f t="shared" si="423"/>
        <v>7.6206896551724137</v>
      </c>
      <c r="K95" s="23">
        <f t="shared" si="423"/>
        <v>3.3448275862068964</v>
      </c>
      <c r="L95" s="23">
        <f t="shared" si="423"/>
        <v>5.2068965517241379</v>
      </c>
      <c r="M95" s="23" t="e">
        <f t="shared" si="423"/>
        <v>#N/A</v>
      </c>
      <c r="N95" s="23" t="e">
        <f t="shared" si="423"/>
        <v>#N/A</v>
      </c>
      <c r="O95" s="23" t="e">
        <f t="shared" si="423"/>
        <v>#N/A</v>
      </c>
      <c r="P95" s="23" t="e">
        <f t="shared" si="423"/>
        <v>#N/A</v>
      </c>
      <c r="Q95" s="23" t="e">
        <f t="shared" si="423"/>
        <v>#N/A</v>
      </c>
      <c r="R95" s="23" t="e">
        <f t="shared" si="423"/>
        <v>#N/A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32.4" customHeight="true" x14ac:dyDescent="0.3">
      <c r="A96" s="15" t="s">
        <v>43</v>
      </c>
      <c r="B96" s="12"/>
      <c r="C96" s="12"/>
      <c r="D96" s="3" t="e">
        <f>_xlfn.RANK.EQ(D95,$D95:$R95,1)</f>
        <v>#N/A</v>
      </c>
      <c r="E96" s="3" t="e">
        <f t="shared" ref="E96:R96" si="424">_xlfn.RANK.EQ(E95,$D95:$R95,1)</f>
        <v>#N/A</v>
      </c>
      <c r="F96" s="3" t="e">
        <f t="shared" si="424"/>
        <v>#N/A</v>
      </c>
      <c r="G96" s="3" t="e">
        <f t="shared" si="424"/>
        <v>#N/A</v>
      </c>
      <c r="H96" s="3" t="e">
        <f t="shared" si="424"/>
        <v>#N/A</v>
      </c>
      <c r="I96" s="3" t="e">
        <f t="shared" si="424"/>
        <v>#N/A</v>
      </c>
      <c r="J96" s="3" t="e">
        <f t="shared" si="424"/>
        <v>#N/A</v>
      </c>
      <c r="K96" s="3" t="e">
        <f t="shared" si="424"/>
        <v>#N/A</v>
      </c>
      <c r="L96" s="3" t="e">
        <f t="shared" si="424"/>
        <v>#N/A</v>
      </c>
      <c r="M96" s="3" t="e">
        <f t="shared" si="424"/>
        <v>#N/A</v>
      </c>
      <c r="N96" s="3" t="e">
        <f t="shared" si="424"/>
        <v>#N/A</v>
      </c>
      <c r="O96" s="3" t="e">
        <f t="shared" si="424"/>
        <v>#N/A</v>
      </c>
      <c r="P96" s="3" t="e">
        <f t="shared" si="424"/>
        <v>#N/A</v>
      </c>
      <c r="Q96" s="3" t="e">
        <f t="shared" si="424"/>
        <v>#N/A</v>
      </c>
      <c r="R96" s="3" t="e">
        <f t="shared" si="424"/>
        <v>#N/A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</sheetData>
  <mergeCells count="9">
    <mergeCell ref="A94:C94"/>
    <mergeCell ref="A95:C95"/>
    <mergeCell ref="A96:C96"/>
    <mergeCell ref="A1:R1"/>
    <mergeCell ref="A9:A29"/>
    <mergeCell ref="A30:A59"/>
    <mergeCell ref="A60:A92"/>
    <mergeCell ref="A93:C93"/>
    <mergeCell ref="A3:A5"/>
  </mergeCells>
  <phoneticPr fontId="3" type="noConversion"/>
  <conditionalFormatting sqref="D3:R3">
    <cfRule type="top10" dxfId="35" priority="30" bottom="true" rank="1"/>
  </conditionalFormatting>
  <conditionalFormatting sqref="D6:R6">
    <cfRule type="top10" dxfId="34" priority="29" bottom="true" rank="1"/>
  </conditionalFormatting>
  <conditionalFormatting sqref="D9:R9">
    <cfRule type="top10" dxfId="33" priority="28" bottom="true" rank="1"/>
  </conditionalFormatting>
  <conditionalFormatting sqref="D12:R12">
    <cfRule type="top10" dxfId="32" priority="27" bottom="true" rank="1"/>
  </conditionalFormatting>
  <conditionalFormatting sqref="D15:R15">
    <cfRule type="top10" dxfId="31" priority="26" bottom="true" rank="1"/>
  </conditionalFormatting>
  <conditionalFormatting sqref="D18:R18">
    <cfRule type="top10" dxfId="30" priority="25" bottom="true" rank="1"/>
  </conditionalFormatting>
  <conditionalFormatting sqref="D21:R21">
    <cfRule type="top10" dxfId="29" priority="24" bottom="true" rank="1"/>
  </conditionalFormatting>
  <conditionalFormatting sqref="D24:R24">
    <cfRule type="top10" dxfId="28" priority="23" bottom="true" rank="1"/>
  </conditionalFormatting>
  <conditionalFormatting sqref="D27:R27">
    <cfRule type="top10" dxfId="27" priority="22" bottom="true" rank="1"/>
  </conditionalFormatting>
  <conditionalFormatting sqref="D30:R30">
    <cfRule type="top10" dxfId="26" priority="21" bottom="true" rank="1"/>
  </conditionalFormatting>
  <conditionalFormatting sqref="D33:R33">
    <cfRule type="top10" dxfId="25" priority="20" bottom="true" rank="1"/>
  </conditionalFormatting>
  <conditionalFormatting sqref="D36:R36">
    <cfRule type="top10" dxfId="24" priority="19" bottom="true" rank="1"/>
  </conditionalFormatting>
  <conditionalFormatting sqref="D39:R39">
    <cfRule type="top10" dxfId="23" priority="18" bottom="true" rank="1"/>
  </conditionalFormatting>
  <conditionalFormatting sqref="D42:R42">
    <cfRule type="top10" dxfId="22" priority="17" bottom="true" rank="1"/>
  </conditionalFormatting>
  <conditionalFormatting sqref="D45:R45">
    <cfRule type="top10" dxfId="21" priority="16" bottom="true" rank="1"/>
  </conditionalFormatting>
  <conditionalFormatting sqref="D48:R48">
    <cfRule type="top10" dxfId="20" priority="15" bottom="true" rank="1"/>
  </conditionalFormatting>
  <conditionalFormatting sqref="D51:R51">
    <cfRule type="top10" dxfId="19" priority="14" bottom="true" rank="1"/>
  </conditionalFormatting>
  <conditionalFormatting sqref="D54:R54">
    <cfRule type="top10" dxfId="18" priority="13" bottom="true" rank="1"/>
  </conditionalFormatting>
  <conditionalFormatting sqref="D57:R57">
    <cfRule type="top10" dxfId="17" priority="12" bottom="true" rank="1"/>
  </conditionalFormatting>
  <conditionalFormatting sqref="D60:R60">
    <cfRule type="top10" dxfId="16" priority="11" bottom="true" rank="1"/>
  </conditionalFormatting>
  <conditionalFormatting sqref="D63:R63">
    <cfRule type="top10" dxfId="15" priority="10" bottom="true" rank="1"/>
  </conditionalFormatting>
  <conditionalFormatting sqref="D66:R66">
    <cfRule type="top10" dxfId="14" priority="9" bottom="true" rank="1"/>
  </conditionalFormatting>
  <conditionalFormatting sqref="D69:R69">
    <cfRule type="top10" dxfId="13" priority="8" bottom="true" rank="1"/>
  </conditionalFormatting>
  <conditionalFormatting sqref="D72:R72">
    <cfRule type="top10" dxfId="12" priority="7" bottom="true" rank="1"/>
  </conditionalFormatting>
  <conditionalFormatting sqref="D75:R75">
    <cfRule type="top10" dxfId="11" priority="6" bottom="true" rank="1"/>
  </conditionalFormatting>
  <conditionalFormatting sqref="D78:R78">
    <cfRule type="top10" dxfId="10" priority="5" bottom="true" rank="1"/>
  </conditionalFormatting>
  <conditionalFormatting sqref="D81:R81">
    <cfRule type="top10" dxfId="9" priority="4" bottom="true" rank="1"/>
  </conditionalFormatting>
  <conditionalFormatting sqref="D84:R84">
    <cfRule type="top10" dxfId="8" priority="3" bottom="true" rank="1"/>
  </conditionalFormatting>
  <conditionalFormatting sqref="D87:R87">
    <cfRule type="top10" dxfId="7" priority="2" bottom="true" rank="1"/>
  </conditionalFormatting>
  <conditionalFormatting sqref="D90:R90">
    <cfRule type="top10" dxfId="6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activeCell="A2" sqref="A2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customWidth="true"/>
    <col min="9" max="9" width="14.37890625" bestFit="true" customWidth="true"/>
    <col min="10" max="10" width="15.37890625" bestFit="true" customWidth="true"/>
    <col min="8" max="8" width="15.37890625" customWidth="true"/>
    <col min="11" max="11" width="12" bestFit="true" customWidth="true"/>
  </cols>
  <sheetData>
    <row r="1" ht="15" thickBot="true" x14ac:dyDescent="0.35">
      <c r="A1" s="17" t="s">
        <v>348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x14ac:dyDescent="0.3">
      <c r="A2" s="3" t="s">
        <v>813</v>
      </c>
      <c r="B2" s="3" t="s">
        <v>844</v>
      </c>
      <c r="C2" s="3" t="s">
        <v>845</v>
      </c>
      <c r="D2" s="3" t="s">
        <v>846</v>
      </c>
      <c r="E2" s="3" t="s">
        <v>847</v>
      </c>
      <c r="F2" s="3" t="s">
        <v>848</v>
      </c>
      <c r="G2" s="3" t="s">
        <v>518</v>
      </c>
      <c r="H2" s="3" t="s">
        <v>519</v>
      </c>
      <c r="I2" s="3" t="s">
        <v>520</v>
      </c>
      <c r="J2" s="3" t="s">
        <v>521</v>
      </c>
      <c r="K2" s="3">
        <v>1.6456758646609115E-10</v>
      </c>
      <c r="L2" s="3"/>
      <c r="M2" s="3"/>
      <c r="N2" s="3"/>
      <c r="O2" s="3"/>
    </row>
    <row r="3" x14ac:dyDescent="0.3">
      <c r="A3" s="18" t="s">
        <v>814</v>
      </c>
      <c r="B3" s="2">
        <v>5.3839799864056633e-23</v>
      </c>
      <c r="C3" s="2">
        <v>2.6375696467839939e-11</v>
      </c>
      <c r="D3" s="2">
        <v>1.6336694067333813e-08</v>
      </c>
      <c r="E3" s="2">
        <v>2.0724155856858546e-11</v>
      </c>
      <c r="F3" s="2">
        <v>2.4577572739000055e-16</v>
      </c>
      <c r="G3" s="2">
        <v>1.7475207668391624e-14</v>
      </c>
      <c r="H3" s="2">
        <v>0.057126484640555156</v>
      </c>
      <c r="I3" s="2">
        <v>1.8541599104596635e-16</v>
      </c>
      <c r="J3" s="2">
        <v>1.3847048470873625e-09</v>
      </c>
      <c r="K3" s="2"/>
      <c r="L3" s="2"/>
      <c r="M3" s="2"/>
      <c r="N3" s="2"/>
      <c r="O3" s="18"/>
    </row>
    <row r="4" x14ac:dyDescent="0.3">
      <c r="A4" s="24" t="s">
        <v>815</v>
      </c>
      <c r="B4" s="6"/>
      <c r="C4" s="6"/>
      <c r="D4" s="6"/>
      <c r="E4" s="6"/>
      <c r="F4" s="6"/>
      <c r="G4" s="6"/>
      <c r="H4" s="6"/>
      <c r="I4" s="6"/>
      <c r="J4" s="6"/>
      <c r="K4" s="6">
        <v>2.2204134859282399E-12</v>
      </c>
      <c r="L4" s="6"/>
      <c r="M4" s="6"/>
      <c r="N4" s="6"/>
      <c r="O4" s="24"/>
    </row>
    <row r="5" x14ac:dyDescent="0.3">
      <c r="A5" s="24" t="s">
        <v>816</v>
      </c>
      <c r="B5" s="6">
        <v>4.6418585096083074e-31</v>
      </c>
      <c r="C5" s="6">
        <v>4.4553927720810536e-24</v>
      </c>
      <c r="D5" s="6">
        <v>6.466668197457521e-20</v>
      </c>
      <c r="E5" s="6">
        <v>9.0791970841694375e-20</v>
      </c>
      <c r="F5" s="6">
        <v>3.00826447384961e-16</v>
      </c>
      <c r="G5" s="6">
        <v>3.7294231966083228e-13</v>
      </c>
      <c r="H5" s="6">
        <v>1.2596914162872011e-18</v>
      </c>
      <c r="I5" s="6">
        <v>2.8722137193578663e-14</v>
      </c>
      <c r="J5" s="6">
        <v>1.6490043092958869e-20</v>
      </c>
      <c r="K5" s="6">
        <v>1.7216212853986522E-6</v>
      </c>
      <c r="L5" s="6"/>
      <c r="M5" s="6"/>
      <c r="N5" s="6"/>
      <c r="O5" s="24"/>
    </row>
    <row r="6" x14ac:dyDescent="0.3">
      <c r="A6" s="24" t="s">
        <v>817</v>
      </c>
      <c r="B6" s="6">
        <v>4.090307517894773e-16</v>
      </c>
      <c r="C6" s="6">
        <v>2.9565326683290574e-06</v>
      </c>
      <c r="D6" s="6">
        <v>2.5255411468318363e-05</v>
      </c>
      <c r="E6" s="6">
        <v>2.731513891421315e-08</v>
      </c>
      <c r="F6" s="6">
        <v>1.2294211308833474e-08</v>
      </c>
      <c r="G6" s="6">
        <v>1.786980690072772e-09</v>
      </c>
      <c r="H6" s="6">
        <v>1.1551735941102429e-08</v>
      </c>
      <c r="I6" s="6">
        <v>3.2262270517423252e-13</v>
      </c>
      <c r="J6" s="6">
        <v>0.0001400181761814418</v>
      </c>
      <c r="K6" s="6">
        <v>0.17535045968937923</v>
      </c>
      <c r="L6" s="6"/>
      <c r="M6" s="6"/>
      <c r="N6" s="6"/>
      <c r="O6" s="24"/>
    </row>
    <row r="7" x14ac:dyDescent="0.3">
      <c r="A7" s="24" t="s">
        <v>818</v>
      </c>
      <c r="B7" s="6">
        <v>2.276065503945397e-17</v>
      </c>
      <c r="C7" s="6">
        <v>1.6971340409328226e-06</v>
      </c>
      <c r="D7" s="6">
        <v>0.33212596427010188</v>
      </c>
      <c r="E7" s="6">
        <v>0.019246602598349677</v>
      </c>
      <c r="F7" s="6">
        <v>8.3448524658482961e-06</v>
      </c>
      <c r="G7" s="6">
        <v>1.0610418908180739e-13</v>
      </c>
      <c r="H7" s="6">
        <v>2.3603669391564522e-05</v>
      </c>
      <c r="I7" s="6">
        <v>0.00064204844506181627</v>
      </c>
      <c r="J7" s="6">
        <v>0.0019223310101120314</v>
      </c>
      <c r="K7" s="6">
        <v>7.5140777771540978E-23</v>
      </c>
      <c r="L7" s="6"/>
      <c r="M7" s="6"/>
      <c r="N7" s="6"/>
      <c r="O7" s="24"/>
    </row>
    <row r="8" x14ac:dyDescent="0.3">
      <c r="A8" s="24" t="s">
        <v>819</v>
      </c>
      <c r="B8" s="6">
        <v>1.8885571425102238e-08</v>
      </c>
      <c r="C8" s="6">
        <v>1.5780174893334791e-05</v>
      </c>
      <c r="D8" s="6">
        <v>1.3030411491856434e-13</v>
      </c>
      <c r="E8" s="6">
        <v>1.0285765223761461e-18</v>
      </c>
      <c r="F8" s="6">
        <v>1.0447692684607259e-18</v>
      </c>
      <c r="G8" s="6">
        <v>2.9000680238367771e-14</v>
      </c>
      <c r="H8" s="6">
        <v>0.0081201969197334713</v>
      </c>
      <c r="I8" s="6">
        <v>4.0561910143641019e-08</v>
      </c>
      <c r="J8" s="6">
        <v>1.6834074028488415e-08</v>
      </c>
      <c r="K8" s="6">
        <v>0.10954523308498121</v>
      </c>
      <c r="L8" s="6"/>
      <c r="M8" s="6"/>
      <c r="N8" s="6"/>
      <c r="O8" s="24"/>
    </row>
    <row r="9" x14ac:dyDescent="0.3">
      <c r="A9" s="24" t="s">
        <v>820</v>
      </c>
      <c r="B9" s="6">
        <v>2.305751113914135e-17</v>
      </c>
      <c r="C9" s="6">
        <v>4.2953055526264627e-15</v>
      </c>
      <c r="D9" s="6">
        <v>9.8802846203216404e-12</v>
      </c>
      <c r="E9" s="6">
        <v>4.9000017937973335e-11</v>
      </c>
      <c r="F9" s="6">
        <v>1.4974568150736346e-13</v>
      </c>
      <c r="G9" s="6">
        <v>5.8500356569603124e-10</v>
      </c>
      <c r="H9" s="6">
        <v>0.018585016380699058</v>
      </c>
      <c r="I9" s="6">
        <v>5.2384061223827759e-14</v>
      </c>
      <c r="J9" s="6">
        <v>0.0004409115146622463</v>
      </c>
      <c r="K9" s="6">
        <v>0.39676947565031284</v>
      </c>
      <c r="L9" s="6"/>
      <c r="M9" s="6"/>
      <c r="N9" s="6"/>
      <c r="O9" s="24"/>
    </row>
    <row r="10" x14ac:dyDescent="0.3">
      <c r="A10" s="24" t="s">
        <v>821</v>
      </c>
      <c r="B10" s="6">
        <v>2.7790744265143346e-21</v>
      </c>
      <c r="C10" s="6">
        <v>0.00011344112138823953</v>
      </c>
      <c r="D10" s="6">
        <v>1.0999503427696954e-05</v>
      </c>
      <c r="E10" s="6">
        <v>0.075759782156702746</v>
      </c>
      <c r="F10" s="6">
        <v>0.00015568395924262749</v>
      </c>
      <c r="G10" s="6">
        <v>8.2091436402140603e-14</v>
      </c>
      <c r="H10" s="6">
        <v>0.00041962743678038372</v>
      </c>
      <c r="I10" s="6">
        <v>0.28969856194619847</v>
      </c>
      <c r="J10" s="6">
        <v>0.021495533584708258</v>
      </c>
      <c r="K10" s="6">
        <v>5.3101211029226581E-15</v>
      </c>
      <c r="L10" s="6"/>
      <c r="M10" s="6"/>
      <c r="N10" s="6"/>
      <c r="O10" s="24"/>
    </row>
    <row r="11" x14ac:dyDescent="0.3">
      <c r="A11" s="24" t="s">
        <v>822</v>
      </c>
      <c r="B11" s="6">
        <v>1.3834513166540936e-09</v>
      </c>
      <c r="C11" s="6">
        <v>8.5094374094287444e-07</v>
      </c>
      <c r="D11" s="6">
        <v>2.377813737052243e-05</v>
      </c>
      <c r="E11" s="6">
        <v>2.0144492451894717e-11</v>
      </c>
      <c r="F11" s="6">
        <v>3.6349960795977737e-07</v>
      </c>
      <c r="G11" s="6">
        <v>2.1564728999144339e-13</v>
      </c>
      <c r="H11" s="6">
        <v>5.7413450687825399e-06</v>
      </c>
      <c r="I11" s="6">
        <v>1.7792829437065754e-14</v>
      </c>
      <c r="J11" s="6">
        <v>0.012103450509673019</v>
      </c>
      <c r="K11" s="6">
        <v>7.6965410740222549E-8</v>
      </c>
      <c r="L11" s="6"/>
      <c r="M11" s="6"/>
      <c r="N11" s="6"/>
      <c r="O11" s="24"/>
    </row>
    <row r="12" x14ac:dyDescent="0.3">
      <c r="A12" s="24" t="s">
        <v>823</v>
      </c>
      <c r="B12" s="6">
        <v>7.0210645292071158e-17</v>
      </c>
      <c r="C12" s="6">
        <v>0.0020643874831298486</v>
      </c>
      <c r="D12" s="6">
        <v>0.20218023443956068</v>
      </c>
      <c r="E12" s="6">
        <v>3.00570116928664e-07</v>
      </c>
      <c r="F12" s="6">
        <v>0.035273204649307319</v>
      </c>
      <c r="G12" s="6">
        <v>9.6633354351051692e-21</v>
      </c>
      <c r="H12" s="6">
        <v>0.00023622263298223975</v>
      </c>
      <c r="I12" s="6">
        <v>0.015682148719839632</v>
      </c>
      <c r="J12" s="6">
        <v>0.00096837108585843428</v>
      </c>
      <c r="K12" s="6">
        <v>5.6930237961029989E-11</v>
      </c>
      <c r="L12" s="6"/>
      <c r="M12" s="6"/>
      <c r="N12" s="6"/>
      <c r="O12" s="24"/>
    </row>
    <row r="13" x14ac:dyDescent="0.3">
      <c r="A13" s="24" t="s">
        <v>824</v>
      </c>
      <c r="B13" s="6">
        <v>9.6943144579506191e-19</v>
      </c>
      <c r="C13" s="6">
        <v>0.00092866211776058299</v>
      </c>
      <c r="D13" s="6">
        <v>1.7020569119348924e-05</v>
      </c>
      <c r="E13" s="6">
        <v>6.6249187439624516e-07</v>
      </c>
      <c r="F13" s="6">
        <v>7.0708761654844668e-07</v>
      </c>
      <c r="G13" s="6">
        <v>7.760137438143782e-13</v>
      </c>
      <c r="H13" s="6">
        <v>0.01742388356477597</v>
      </c>
      <c r="I13" s="6">
        <v>0.00014849500784960024</v>
      </c>
      <c r="J13" s="6">
        <v>6.6291063954389234e-07</v>
      </c>
      <c r="K13" s="6">
        <v>5.2691686558409335E-7</v>
      </c>
      <c r="L13" s="6"/>
      <c r="M13" s="6"/>
      <c r="N13" s="6"/>
      <c r="O13" s="24"/>
    </row>
    <row r="14" x14ac:dyDescent="0.3">
      <c r="A14" s="24" t="s">
        <v>825</v>
      </c>
      <c r="B14" s="6">
        <v>4.0038648840685072e-11</v>
      </c>
      <c r="C14" s="6">
        <v>0.0017603257556831143</v>
      </c>
      <c r="D14" s="6">
        <v>2.8349946546923709e-05</v>
      </c>
      <c r="E14" s="6">
        <v>1.7988409108280087e-07</v>
      </c>
      <c r="F14" s="6">
        <v>0.00046115057579644277</v>
      </c>
      <c r="G14" s="6">
        <v>4.8440392384150529e-06</v>
      </c>
      <c r="H14" s="6">
        <v>1.3508688958982592e-05</v>
      </c>
      <c r="I14" s="6">
        <v>2.7408628659149123e-10</v>
      </c>
      <c r="J14" s="6">
        <v>2.4186042930785727e-06</v>
      </c>
      <c r="K14" s="6">
        <v>1.5810253426200563E-9</v>
      </c>
      <c r="L14" s="6"/>
      <c r="M14" s="6"/>
      <c r="N14" s="6"/>
      <c r="O14" s="24"/>
    </row>
    <row r="15" x14ac:dyDescent="0.3">
      <c r="A15" s="24" t="s">
        <v>826</v>
      </c>
      <c r="B15" s="6">
        <v>4.684476281569153e-07</v>
      </c>
      <c r="C15" s="6">
        <v>9.7128359881265829e-05</v>
      </c>
      <c r="D15" s="6">
        <v>0.09214614174368238</v>
      </c>
      <c r="E15" s="6">
        <v>1.5609533825605467e-05</v>
      </c>
      <c r="F15" s="6">
        <v>6.0020466978048979e-06</v>
      </c>
      <c r="G15" s="6">
        <v>0.001488638180401722</v>
      </c>
      <c r="H15" s="6">
        <v>0.32546502410457068</v>
      </c>
      <c r="I15" s="6">
        <v>0.016836564282803407</v>
      </c>
      <c r="J15" s="6">
        <v>0.2359422719324995</v>
      </c>
      <c r="K15" s="6">
        <v>9.3182033844135854E-6</v>
      </c>
      <c r="L15" s="6"/>
      <c r="M15" s="6"/>
      <c r="N15" s="6"/>
      <c r="O15" s="24"/>
    </row>
    <row r="16" x14ac:dyDescent="0.3">
      <c r="A16" s="24" t="s">
        <v>827</v>
      </c>
      <c r="B16" s="6">
        <v>2.7232756664600629e-09</v>
      </c>
      <c r="C16" s="6">
        <v>1.5936526573018043e-05</v>
      </c>
      <c r="D16" s="6">
        <v>0.00039708496246862782</v>
      </c>
      <c r="E16" s="6">
        <v>0.0063299813626084972</v>
      </c>
      <c r="F16" s="6">
        <v>1.333118215170381e-06</v>
      </c>
      <c r="G16" s="6">
        <v>3.3285881563370315e-05</v>
      </c>
      <c r="H16" s="6">
        <v>0.00038312973524488192</v>
      </c>
      <c r="I16" s="6">
        <v>4.5306988642942149e-07</v>
      </c>
      <c r="J16" s="6">
        <v>0.00011068712584675037</v>
      </c>
      <c r="K16" s="6">
        <v>1.1897023738410249E-7</v>
      </c>
      <c r="L16" s="6"/>
      <c r="M16" s="6"/>
      <c r="N16" s="6"/>
      <c r="O16" s="24"/>
    </row>
    <row r="17" x14ac:dyDescent="0.3">
      <c r="A17" s="24" t="s">
        <v>828</v>
      </c>
      <c r="B17" s="6">
        <v>0.00021836686366988773</v>
      </c>
      <c r="C17" s="6">
        <v>0.00088940677712001312</v>
      </c>
      <c r="D17" s="6">
        <v>0.048626322500489809</v>
      </c>
      <c r="E17" s="6">
        <v>0.037741128868495129</v>
      </c>
      <c r="F17" s="6">
        <v>8.8792976122538008e-07</v>
      </c>
      <c r="G17" s="6">
        <v>0.0032921849377963433</v>
      </c>
      <c r="H17" s="6">
        <v>5.0282620162882139e-05</v>
      </c>
      <c r="I17" s="6">
        <v>0.00097984574055530634</v>
      </c>
      <c r="J17" s="6">
        <v>0.052261611967794185</v>
      </c>
      <c r="K17" s="6">
        <v>6.7994008986155068E-4</v>
      </c>
      <c r="L17" s="6"/>
      <c r="M17" s="6"/>
      <c r="N17" s="6"/>
      <c r="O17" s="24"/>
    </row>
    <row r="18" x14ac:dyDescent="0.3">
      <c r="A18" s="24" t="s">
        <v>829</v>
      </c>
      <c r="B18" s="6">
        <v>4.2396157301165285e-10</v>
      </c>
      <c r="C18" s="6">
        <v>0.0051712578510817678</v>
      </c>
      <c r="D18" s="6">
        <v>4.3325383446769958e-05</v>
      </c>
      <c r="E18" s="6">
        <v>0.00024891441666296252</v>
      </c>
      <c r="F18" s="6">
        <v>0.10183791016169869</v>
      </c>
      <c r="G18" s="6">
        <v>4.4719793014005955e-13</v>
      </c>
      <c r="H18" s="6">
        <v>0.022690083272054625</v>
      </c>
      <c r="I18" s="6">
        <v>0.0026113593746571176</v>
      </c>
      <c r="J18" s="6">
        <v>0.51459907213773604</v>
      </c>
      <c r="K18" s="6">
        <v>2.0599008874537106E-7</v>
      </c>
      <c r="L18" s="6"/>
      <c r="M18" s="6"/>
      <c r="N18" s="6"/>
      <c r="O18" s="24"/>
    </row>
    <row r="19" x14ac:dyDescent="0.3">
      <c r="A19" s="24" t="s">
        <v>830</v>
      </c>
      <c r="B19" s="6">
        <v>2.9035275014916246e-10</v>
      </c>
      <c r="C19" s="6">
        <v>8.7764614165278675e-07</v>
      </c>
      <c r="D19" s="6">
        <v>0.0003848951868406835</v>
      </c>
      <c r="E19" s="6">
        <v>0.081183327758341556</v>
      </c>
      <c r="F19" s="6">
        <v>0.026202463076556642</v>
      </c>
      <c r="G19" s="6">
        <v>3.4340526501554893e-06</v>
      </c>
      <c r="H19" s="6">
        <v>3.083732697637673e-05</v>
      </c>
      <c r="I19" s="6">
        <v>0.033073681987657998</v>
      </c>
      <c r="J19" s="6">
        <v>0.00085482010250490317</v>
      </c>
      <c r="K19" s="6">
        <v>1.7945535216151104E-3</v>
      </c>
      <c r="L19" s="6"/>
      <c r="M19" s="6"/>
      <c r="N19" s="6"/>
      <c r="O19" s="24"/>
    </row>
    <row r="20" x14ac:dyDescent="0.3">
      <c r="A20" s="24" t="s">
        <v>831</v>
      </c>
      <c r="B20" s="6">
        <v>0.00021054763234811379</v>
      </c>
      <c r="C20" s="6">
        <v>0.0002451037387937048</v>
      </c>
      <c r="D20" s="6">
        <v>0.021339418147527496</v>
      </c>
      <c r="E20" s="6">
        <v>0.00030417852704989797</v>
      </c>
      <c r="F20" s="6">
        <v>8.4393409847185548e-07</v>
      </c>
      <c r="G20" s="6">
        <v>0.003075123958846241</v>
      </c>
      <c r="H20" s="6">
        <v>0.0015820184380225058</v>
      </c>
      <c r="I20" s="6">
        <v>6.2650493712402825e-07</v>
      </c>
      <c r="J20" s="6">
        <v>0.01158085080504335</v>
      </c>
      <c r="K20" s="6">
        <v>3.1188417107528182E-9</v>
      </c>
      <c r="L20" s="6"/>
      <c r="M20" s="6"/>
      <c r="N20" s="6"/>
      <c r="O20" s="24"/>
    </row>
    <row r="21" x14ac:dyDescent="0.3">
      <c r="A21" s="24" t="s">
        <v>832</v>
      </c>
      <c r="B21" s="6">
        <v>1.3498588673834401e-06</v>
      </c>
      <c r="C21" s="6">
        <v>0.0034288915060303581</v>
      </c>
      <c r="D21" s="6">
        <v>0.15059305121046007</v>
      </c>
      <c r="E21" s="6">
        <v>7.0910717339933616e-08</v>
      </c>
      <c r="F21" s="6">
        <v>0.0039151985660140151</v>
      </c>
      <c r="G21" s="6">
        <v>0.00012890110334874371</v>
      </c>
      <c r="H21" s="6">
        <v>0.0046156418134162495</v>
      </c>
      <c r="I21" s="6">
        <v>0.017304329611141339</v>
      </c>
      <c r="J21" s="6">
        <v>0.10512250357614861</v>
      </c>
      <c r="K21" s="6">
        <v>1.2539018588936851E-6</v>
      </c>
      <c r="L21" s="6"/>
      <c r="M21" s="6"/>
      <c r="N21" s="6"/>
      <c r="O21" s="24"/>
    </row>
    <row r="22" x14ac:dyDescent="0.3">
      <c r="A22" s="24" t="s">
        <v>833</v>
      </c>
      <c r="B22" s="6">
        <v>2.8859629917478308e-07</v>
      </c>
      <c r="C22" s="6">
        <v>6.1332927566730856e-08</v>
      </c>
      <c r="D22" s="6">
        <v>0.82815543047736218</v>
      </c>
      <c r="E22" s="6">
        <v>0.020925874416574449</v>
      </c>
      <c r="F22" s="6">
        <v>0.052814565491181562</v>
      </c>
      <c r="G22" s="6">
        <v>4.9097740007125788e-10</v>
      </c>
      <c r="H22" s="6">
        <v>0.41568596946922809</v>
      </c>
      <c r="I22" s="6">
        <v>0.0022401115174774462</v>
      </c>
      <c r="J22" s="6">
        <v>0.35102221261366662</v>
      </c>
      <c r="K22" s="6">
        <v>0.25168657803410366</v>
      </c>
      <c r="L22" s="6"/>
      <c r="M22" s="6"/>
      <c r="N22" s="6"/>
      <c r="O22" s="24"/>
    </row>
    <row r="23" x14ac:dyDescent="0.3">
      <c r="A23" s="24" t="s">
        <v>834</v>
      </c>
      <c r="B23" s="6">
        <v>1.7855424442275194e-14</v>
      </c>
      <c r="C23" s="6">
        <v>1.5195749414526301e-09</v>
      </c>
      <c r="D23" s="6">
        <v>6.7645290914122725e-07</v>
      </c>
      <c r="E23" s="6">
        <v>1.4572292829905708e-05</v>
      </c>
      <c r="F23" s="6">
        <v>3.5387465667643107e-07</v>
      </c>
      <c r="G23" s="6">
        <v>1.0522203311785401e-10</v>
      </c>
      <c r="H23" s="6">
        <v>0.002668910396780323</v>
      </c>
      <c r="I23" s="6">
        <v>0.00041683581862101505</v>
      </c>
      <c r="J23" s="6">
        <v>3.9083909921323752e-06</v>
      </c>
      <c r="K23" s="6">
        <v>1.3136547746234271E-7</v>
      </c>
      <c r="L23" s="6"/>
      <c r="M23" s="6"/>
      <c r="N23" s="6"/>
      <c r="O23" s="24"/>
    </row>
    <row r="24" x14ac:dyDescent="0.3">
      <c r="A24" s="24" t="s">
        <v>835</v>
      </c>
      <c r="B24" s="6">
        <v>2.6670438588139931e-17</v>
      </c>
      <c r="C24" s="6">
        <v>2.3176004063330791e-25</v>
      </c>
      <c r="D24" s="6">
        <v>4.1115299400068054e-05</v>
      </c>
      <c r="E24" s="6">
        <v>1.0659190802142486e-14</v>
      </c>
      <c r="F24" s="6">
        <v>8.8792586912442671e-08</v>
      </c>
      <c r="G24" s="6">
        <v>5.1944027869785556e-14</v>
      </c>
      <c r="H24" s="6">
        <v>0.00015760497539140609</v>
      </c>
      <c r="I24" s="6">
        <v>1.5608240271070932e-08</v>
      </c>
      <c r="J24" s="6">
        <v>0.0002248381064934692</v>
      </c>
      <c r="K24" s="6">
        <v>4.8555198263537894E-2</v>
      </c>
      <c r="L24" s="6"/>
      <c r="M24" s="6"/>
      <c r="N24" s="6"/>
      <c r="O24" s="24"/>
    </row>
    <row r="25" x14ac:dyDescent="0.3">
      <c r="A25" s="24" t="s">
        <v>836</v>
      </c>
      <c r="B25" s="6">
        <v>1.8387948900998095e-13</v>
      </c>
      <c r="C25" s="6">
        <v>5.6831789822229749e-12</v>
      </c>
      <c r="D25" s="6">
        <v>3.6550978210838355e-09</v>
      </c>
      <c r="E25" s="6">
        <v>1.4690367052134291e-12</v>
      </c>
      <c r="F25" s="6">
        <v>2.2954220795009487e-13</v>
      </c>
      <c r="G25" s="6">
        <v>2.1264522573883608e-10</v>
      </c>
      <c r="H25" s="6">
        <v>0.00084384329246646017</v>
      </c>
      <c r="I25" s="6">
        <v>3.7778869765748692e-16</v>
      </c>
      <c r="J25" s="6">
        <v>0.25168414633849479</v>
      </c>
      <c r="K25" s="6">
        <v>1.4312163226106966E-4</v>
      </c>
      <c r="L25" s="6"/>
      <c r="M25" s="6"/>
      <c r="N25" s="6"/>
      <c r="O25" s="24"/>
    </row>
    <row r="26" x14ac:dyDescent="0.3">
      <c r="A26" s="24" t="s">
        <v>837</v>
      </c>
      <c r="B26" s="6">
        <v>1.6773404603378268e-11</v>
      </c>
      <c r="C26" s="6">
        <v>1.9987725512709503e-09</v>
      </c>
      <c r="D26" s="6">
        <v>1.4164967969321489e-10</v>
      </c>
      <c r="E26" s="6">
        <v>1.8633777385727959e-12</v>
      </c>
      <c r="F26" s="6">
        <v>6.0381869841589431e-10</v>
      </c>
      <c r="G26" s="6">
        <v>5.1214417580262567e-13</v>
      </c>
      <c r="H26" s="6">
        <v>0.0036067156766894609</v>
      </c>
      <c r="I26" s="6">
        <v>8.9794905247815615e-22</v>
      </c>
      <c r="J26" s="6">
        <v>0.43150016971292737</v>
      </c>
      <c r="K26" s="6">
        <v>5.5029056908441018E-9</v>
      </c>
      <c r="L26" s="6"/>
      <c r="M26" s="6"/>
      <c r="N26" s="6"/>
      <c r="O26" s="24"/>
    </row>
    <row r="27" x14ac:dyDescent="0.3">
      <c r="A27" s="24" t="s">
        <v>838</v>
      </c>
      <c r="B27" s="6">
        <v>2.5855369115175794e-15</v>
      </c>
      <c r="C27" s="6">
        <v>0.0012279708467012301</v>
      </c>
      <c r="D27" s="6">
        <v>1.2932546404974717e-08</v>
      </c>
      <c r="E27" s="6">
        <v>0.0048999787325398848</v>
      </c>
      <c r="F27" s="6">
        <v>4.0350612572185973e-08</v>
      </c>
      <c r="G27" s="6">
        <v>1.2973939826877015e-09</v>
      </c>
      <c r="H27" s="6">
        <v>3.0562562962350805e-05</v>
      </c>
      <c r="I27" s="6">
        <v>5.6905814255499972e-06</v>
      </c>
      <c r="J27" s="6">
        <v>1.0526142643729523e-12</v>
      </c>
      <c r="K27" s="6">
        <v>0.38515558176849896</v>
      </c>
      <c r="L27" s="6"/>
      <c r="M27" s="6"/>
      <c r="N27" s="6"/>
      <c r="O27" s="24"/>
    </row>
    <row r="28" x14ac:dyDescent="0.3">
      <c r="A28" s="24" t="s">
        <v>839</v>
      </c>
      <c r="B28" s="6">
        <v>3.6169273145612704e-12</v>
      </c>
      <c r="C28" s="6">
        <v>1.2847393849218424e-05</v>
      </c>
      <c r="D28" s="6">
        <v>0.31517737132809465</v>
      </c>
      <c r="E28" s="6">
        <v>0.071088508258821126</v>
      </c>
      <c r="F28" s="6">
        <v>0.30461339059446491</v>
      </c>
      <c r="G28" s="6">
        <v>6.5188083846957922e-10</v>
      </c>
      <c r="H28" s="6">
        <v>0.79446795891022193</v>
      </c>
      <c r="I28" s="6">
        <v>4.2423601781799983e-10</v>
      </c>
      <c r="J28" s="6">
        <v>0.53896649372304695</v>
      </c>
      <c r="K28" s="6">
        <v>8.0852848091914035E-11</v>
      </c>
      <c r="L28" s="6"/>
      <c r="M28" s="6"/>
      <c r="N28" s="6"/>
      <c r="O28" s="24"/>
    </row>
    <row r="29" x14ac:dyDescent="0.3">
      <c r="A29" s="24" t="s">
        <v>840</v>
      </c>
      <c r="B29" s="6">
        <v>6.9964478891272839e-16</v>
      </c>
      <c r="C29" s="6">
        <v>5.781442851441406e-07</v>
      </c>
      <c r="D29" s="6">
        <v>0.72520221231636461</v>
      </c>
      <c r="E29" s="6">
        <v>0.85814110136987309</v>
      </c>
      <c r="F29" s="6">
        <v>0.1301170579145472</v>
      </c>
      <c r="G29" s="6">
        <v>7.908854048725747e-09</v>
      </c>
      <c r="H29" s="6">
        <v>0.16405577599612242</v>
      </c>
      <c r="I29" s="6">
        <v>4.7513986021888113e-18</v>
      </c>
      <c r="J29" s="6">
        <v>0.017652625490482216</v>
      </c>
      <c r="K29" s="6">
        <v>2.9970809296146475E-11</v>
      </c>
      <c r="L29" s="6"/>
      <c r="M29" s="6"/>
      <c r="N29" s="6"/>
      <c r="O29" s="24"/>
    </row>
    <row r="30" x14ac:dyDescent="0.3">
      <c r="A30" s="24" t="s">
        <v>841</v>
      </c>
      <c r="B30" s="6">
        <v>5.9528592474245848e-19</v>
      </c>
      <c r="C30" s="6">
        <v>8.8726256169789732e-10</v>
      </c>
      <c r="D30" s="6">
        <v>5.0998486521007903e-07</v>
      </c>
      <c r="E30" s="6">
        <v>8.044250941302198e-08</v>
      </c>
      <c r="F30" s="6">
        <v>1.9084747164548629e-11</v>
      </c>
      <c r="G30" s="6">
        <v>1.6987342996985501e-06</v>
      </c>
      <c r="H30" s="6">
        <v>2.037189660331773e-17</v>
      </c>
      <c r="I30" s="6">
        <v>2.0262720667976071e-18</v>
      </c>
      <c r="J30" s="6">
        <v>1.8196907148037536e-17</v>
      </c>
      <c r="K30" s="6">
        <v>1.04107018811732E-8</v>
      </c>
      <c r="L30" s="6"/>
      <c r="M30" s="6"/>
      <c r="N30" s="6"/>
      <c r="O30" s="24"/>
    </row>
    <row r="31" x14ac:dyDescent="0.3">
      <c r="A31" s="24" t="s">
        <v>842</v>
      </c>
      <c r="B31" s="6">
        <v>4.7497271055139287e-14</v>
      </c>
      <c r="C31" s="6">
        <v>4.9911937995475338e-06</v>
      </c>
      <c r="D31" s="6">
        <v>0.00040159605127063975</v>
      </c>
      <c r="E31" s="6">
        <v>2.6250438011930292e-05</v>
      </c>
      <c r="F31" s="6">
        <v>1.6943856149029408e-05</v>
      </c>
      <c r="G31" s="6">
        <v>2.628164358741312e-10</v>
      </c>
      <c r="H31" s="6">
        <v>0.0004908146704576408</v>
      </c>
      <c r="I31" s="6">
        <v>0.0013890689605909265</v>
      </c>
      <c r="J31" s="6">
        <v>0.037493783900406565</v>
      </c>
      <c r="K31" s="6">
        <v>5.0502194785523476E-9</v>
      </c>
      <c r="L31" s="6"/>
      <c r="M31" s="6"/>
      <c r="N31" s="6"/>
      <c r="O31" s="24"/>
    </row>
    <row r="32" x14ac:dyDescent="0.3">
      <c r="A32" s="19" t="s">
        <v>843</v>
      </c>
      <c r="B32" s="9">
        <v>5.2527689019606799e-06</v>
      </c>
      <c r="C32" s="9">
        <v>3.406252813939228e-06</v>
      </c>
      <c r="D32" s="9">
        <v>6.4175409092550118e-07</v>
      </c>
      <c r="E32" s="9">
        <v>4.3286203471038821e-10</v>
      </c>
      <c r="F32" s="9">
        <v>0.0010289129997150238</v>
      </c>
      <c r="G32" s="9">
        <v>6.5725188785218357e-08</v>
      </c>
      <c r="H32" s="9">
        <v>0.019083352368803687</v>
      </c>
      <c r="I32" s="9">
        <v>3.8895600762183477e-06</v>
      </c>
      <c r="J32" s="9">
        <v>3.5475833734222706e-08</v>
      </c>
      <c r="K32" s="9"/>
      <c r="L32" s="9"/>
      <c r="M32" s="9"/>
      <c r="N32" s="9"/>
      <c r="O32" s="19"/>
    </row>
  </sheetData>
  <mergeCells count="1">
    <mergeCell ref="A1:O1"/>
  </mergeCells>
  <conditionalFormatting sqref="B3:N32">
    <cfRule type="cellIs" dxfId="5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activeCell="A2" sqref="A2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customWidth="true"/>
    <col min="4" max="4" width="18.046875" customWidth="true"/>
    <col min="5" max="5" width="16.93359375" customWidth="true"/>
    <col min="6" max="6" width="16.046875" customWidth="true"/>
    <col min="7" max="7" width="14.046875" customWidth="true"/>
    <col min="9" max="9" width="14.37890625" customWidth="true"/>
    <col min="10" max="10" width="15.37890625" bestFit="true" customWidth="true"/>
    <col min="8" max="8" width="15.37890625" customWidth="true"/>
    <col min="11" max="11" width="2" bestFit="true" customWidth="true"/>
  </cols>
  <sheetData>
    <row r="1" ht="15" thickBot="true" x14ac:dyDescent="0.35">
      <c r="A1" s="17" t="s">
        <v>349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x14ac:dyDescent="0.3">
      <c r="A2" s="3" t="s">
        <v>849</v>
      </c>
      <c r="B2" s="3" t="s">
        <v>880</v>
      </c>
      <c r="C2" s="3" t="s">
        <v>881</v>
      </c>
      <c r="D2" s="3" t="s">
        <v>882</v>
      </c>
      <c r="E2" s="3" t="s">
        <v>883</v>
      </c>
      <c r="F2" s="3" t="s">
        <v>884</v>
      </c>
      <c r="G2" s="3" t="s">
        <v>558</v>
      </c>
      <c r="H2" s="3" t="s">
        <v>559</v>
      </c>
      <c r="I2" s="3" t="s">
        <v>560</v>
      </c>
      <c r="J2" s="3" t="s">
        <v>561</v>
      </c>
      <c r="K2" s="3">
        <v>1</v>
      </c>
      <c r="L2" s="3"/>
      <c r="M2" s="3"/>
      <c r="N2" s="3"/>
      <c r="O2" s="3"/>
    </row>
    <row r="3" x14ac:dyDescent="0.3">
      <c r="A3" s="18" t="s">
        <v>850</v>
      </c>
      <c r="B3" s="25">
        <v>1</v>
      </c>
      <c r="C3" s="25">
        <v>1</v>
      </c>
      <c r="D3" s="25">
        <v>1</v>
      </c>
      <c r="E3" s="25">
        <v>1</v>
      </c>
      <c r="F3" s="25">
        <v>1</v>
      </c>
      <c r="G3" s="25">
        <v>1</v>
      </c>
      <c r="H3" s="25">
        <v>0</v>
      </c>
      <c r="I3" s="25">
        <v>1</v>
      </c>
      <c r="J3" s="25">
        <v>1</v>
      </c>
      <c r="K3" s="25"/>
      <c r="L3" s="25"/>
      <c r="M3" s="25"/>
      <c r="N3" s="25"/>
      <c r="O3" s="25"/>
    </row>
    <row r="4" x14ac:dyDescent="0.3">
      <c r="A4" s="24" t="s">
        <v>851</v>
      </c>
      <c r="B4" s="26"/>
      <c r="C4" s="26"/>
      <c r="D4" s="26"/>
      <c r="E4" s="26"/>
      <c r="F4" s="26"/>
      <c r="G4" s="26"/>
      <c r="H4" s="26"/>
      <c r="I4" s="26"/>
      <c r="J4" s="26"/>
      <c r="K4" s="26">
        <v>1</v>
      </c>
      <c r="L4" s="26"/>
      <c r="M4" s="26"/>
      <c r="N4" s="26"/>
      <c r="O4" s="26"/>
    </row>
    <row r="5" x14ac:dyDescent="0.3">
      <c r="A5" s="24" t="s">
        <v>852</v>
      </c>
      <c r="B5" s="26">
        <v>1</v>
      </c>
      <c r="C5" s="26"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/>
      <c r="M5" s="26"/>
      <c r="N5" s="26"/>
      <c r="O5" s="26"/>
    </row>
    <row r="6" x14ac:dyDescent="0.3">
      <c r="A6" s="24" t="s">
        <v>853</v>
      </c>
      <c r="B6" s="26">
        <v>1</v>
      </c>
      <c r="C6" s="26">
        <v>1</v>
      </c>
      <c r="D6" s="26">
        <v>1</v>
      </c>
      <c r="E6" s="26">
        <v>1</v>
      </c>
      <c r="F6" s="26">
        <v>1</v>
      </c>
      <c r="G6" s="26">
        <v>1</v>
      </c>
      <c r="H6" s="26">
        <v>1</v>
      </c>
      <c r="I6" s="26">
        <v>1</v>
      </c>
      <c r="J6" s="26">
        <v>1</v>
      </c>
      <c r="K6" s="26">
        <v>0</v>
      </c>
      <c r="L6" s="26"/>
      <c r="M6" s="26"/>
      <c r="N6" s="26"/>
      <c r="O6" s="26"/>
    </row>
    <row r="7" x14ac:dyDescent="0.3">
      <c r="A7" s="24" t="s">
        <v>854</v>
      </c>
      <c r="B7" s="26">
        <v>1</v>
      </c>
      <c r="C7" s="26">
        <v>1</v>
      </c>
      <c r="D7" s="26">
        <v>0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1</v>
      </c>
      <c r="K7" s="26">
        <v>1</v>
      </c>
      <c r="L7" s="26"/>
      <c r="M7" s="26"/>
      <c r="N7" s="26"/>
      <c r="O7" s="26"/>
    </row>
    <row r="8" x14ac:dyDescent="0.3">
      <c r="A8" s="24" t="s">
        <v>855</v>
      </c>
      <c r="B8" s="26">
        <v>1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0</v>
      </c>
      <c r="L8" s="26"/>
      <c r="M8" s="26"/>
      <c r="N8" s="26"/>
      <c r="O8" s="26"/>
    </row>
    <row r="9" x14ac:dyDescent="0.3">
      <c r="A9" s="24" t="s">
        <v>856</v>
      </c>
      <c r="B9" s="26">
        <v>1</v>
      </c>
      <c r="C9" s="26"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0</v>
      </c>
      <c r="L9" s="26"/>
      <c r="M9" s="26"/>
      <c r="N9" s="26"/>
      <c r="O9" s="26"/>
    </row>
    <row r="10" x14ac:dyDescent="0.3">
      <c r="A10" s="24" t="s">
        <v>857</v>
      </c>
      <c r="B10" s="26">
        <v>1</v>
      </c>
      <c r="C10" s="26">
        <v>1</v>
      </c>
      <c r="D10" s="26">
        <v>1</v>
      </c>
      <c r="E10" s="26">
        <v>0</v>
      </c>
      <c r="F10" s="26">
        <v>1</v>
      </c>
      <c r="G10" s="26">
        <v>1</v>
      </c>
      <c r="H10" s="26">
        <v>1</v>
      </c>
      <c r="I10" s="26">
        <v>0</v>
      </c>
      <c r="J10" s="26">
        <v>1</v>
      </c>
      <c r="K10" s="26">
        <v>1</v>
      </c>
      <c r="L10" s="26"/>
      <c r="M10" s="26"/>
      <c r="N10" s="26"/>
      <c r="O10" s="26"/>
    </row>
    <row r="11" x14ac:dyDescent="0.3">
      <c r="A11" s="24" t="s">
        <v>858</v>
      </c>
      <c r="B11" s="26">
        <v>1</v>
      </c>
      <c r="C11" s="26"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1</v>
      </c>
      <c r="K11" s="26">
        <v>1</v>
      </c>
      <c r="L11" s="26"/>
      <c r="M11" s="26"/>
      <c r="N11" s="26"/>
      <c r="O11" s="26"/>
    </row>
    <row r="12" x14ac:dyDescent="0.3">
      <c r="A12" s="24" t="s">
        <v>859</v>
      </c>
      <c r="B12" s="26">
        <v>1</v>
      </c>
      <c r="C12" s="26">
        <v>1</v>
      </c>
      <c r="D12" s="26">
        <v>0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/>
      <c r="M12" s="26"/>
      <c r="N12" s="26"/>
      <c r="O12" s="26"/>
    </row>
    <row r="13" x14ac:dyDescent="0.3">
      <c r="A13" s="24" t="s">
        <v>860</v>
      </c>
      <c r="B13" s="26">
        <v>1</v>
      </c>
      <c r="C13" s="26">
        <v>1</v>
      </c>
      <c r="D13" s="26">
        <v>1</v>
      </c>
      <c r="E13" s="26">
        <v>1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>
        <v>1</v>
      </c>
      <c r="L13" s="26"/>
      <c r="M13" s="26"/>
      <c r="N13" s="26"/>
      <c r="O13" s="26"/>
    </row>
    <row r="14" x14ac:dyDescent="0.3">
      <c r="A14" s="24" t="s">
        <v>861</v>
      </c>
      <c r="B14" s="26">
        <v>1</v>
      </c>
      <c r="C14" s="26"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  <c r="L14" s="26"/>
      <c r="M14" s="26"/>
      <c r="N14" s="26"/>
      <c r="O14" s="26"/>
    </row>
    <row r="15" x14ac:dyDescent="0.3">
      <c r="A15" s="24" t="s">
        <v>862</v>
      </c>
      <c r="B15" s="26">
        <v>1</v>
      </c>
      <c r="C15" s="26">
        <v>1</v>
      </c>
      <c r="D15" s="26">
        <v>0</v>
      </c>
      <c r="E15" s="26">
        <v>1</v>
      </c>
      <c r="F15" s="26">
        <v>1</v>
      </c>
      <c r="G15" s="26">
        <v>1</v>
      </c>
      <c r="H15" s="26">
        <v>0</v>
      </c>
      <c r="I15" s="26">
        <v>1</v>
      </c>
      <c r="J15" s="26">
        <v>0</v>
      </c>
      <c r="K15" s="26">
        <v>1</v>
      </c>
      <c r="L15" s="26"/>
      <c r="M15" s="26"/>
      <c r="N15" s="26"/>
      <c r="O15" s="26"/>
    </row>
    <row r="16" x14ac:dyDescent="0.3">
      <c r="A16" s="24" t="s">
        <v>863</v>
      </c>
      <c r="B16" s="26">
        <v>1</v>
      </c>
      <c r="C16" s="26"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/>
      <c r="M16" s="26"/>
      <c r="N16" s="26"/>
      <c r="O16" s="26"/>
    </row>
    <row r="17" x14ac:dyDescent="0.3">
      <c r="A17" s="24" t="s">
        <v>864</v>
      </c>
      <c r="B17" s="26">
        <v>1</v>
      </c>
      <c r="C17" s="26"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0</v>
      </c>
      <c r="K17" s="26">
        <v>1</v>
      </c>
      <c r="L17" s="26"/>
      <c r="M17" s="26"/>
      <c r="N17" s="26"/>
      <c r="O17" s="26"/>
    </row>
    <row r="18" x14ac:dyDescent="0.3">
      <c r="A18" s="24" t="s">
        <v>865</v>
      </c>
      <c r="B18" s="26">
        <v>1</v>
      </c>
      <c r="C18" s="26">
        <v>1</v>
      </c>
      <c r="D18" s="26">
        <v>1</v>
      </c>
      <c r="E18" s="26">
        <v>1</v>
      </c>
      <c r="F18" s="26">
        <v>0</v>
      </c>
      <c r="G18" s="26">
        <v>1</v>
      </c>
      <c r="H18" s="26">
        <v>1</v>
      </c>
      <c r="I18" s="26">
        <v>1</v>
      </c>
      <c r="J18" s="26">
        <v>0</v>
      </c>
      <c r="K18" s="26">
        <v>1</v>
      </c>
      <c r="L18" s="26"/>
      <c r="M18" s="26"/>
      <c r="N18" s="26"/>
      <c r="O18" s="26"/>
    </row>
    <row r="19" x14ac:dyDescent="0.3">
      <c r="A19" s="24" t="s">
        <v>866</v>
      </c>
      <c r="B19" s="26">
        <v>1</v>
      </c>
      <c r="C19" s="26">
        <v>1</v>
      </c>
      <c r="D19" s="26">
        <v>1</v>
      </c>
      <c r="E19" s="26">
        <v>0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  <c r="L19" s="26"/>
      <c r="M19" s="26"/>
      <c r="N19" s="26"/>
      <c r="O19" s="26"/>
    </row>
    <row r="20" x14ac:dyDescent="0.3">
      <c r="A20" s="24" t="s">
        <v>867</v>
      </c>
      <c r="B20" s="26">
        <v>1</v>
      </c>
      <c r="C20" s="26">
        <v>1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  <c r="J20" s="26">
        <v>1</v>
      </c>
      <c r="K20" s="26">
        <v>1</v>
      </c>
      <c r="L20" s="26"/>
      <c r="M20" s="26"/>
      <c r="N20" s="26"/>
      <c r="O20" s="26"/>
    </row>
    <row r="21" x14ac:dyDescent="0.3">
      <c r="A21" s="24" t="s">
        <v>868</v>
      </c>
      <c r="B21" s="26">
        <v>1</v>
      </c>
      <c r="C21" s="26">
        <v>1</v>
      </c>
      <c r="D21" s="26">
        <v>0</v>
      </c>
      <c r="E21" s="26">
        <v>1</v>
      </c>
      <c r="F21" s="26">
        <v>1</v>
      </c>
      <c r="G21" s="26">
        <v>1</v>
      </c>
      <c r="H21" s="26">
        <v>1</v>
      </c>
      <c r="I21" s="26">
        <v>1</v>
      </c>
      <c r="J21" s="26">
        <v>0</v>
      </c>
      <c r="K21" s="26">
        <v>1</v>
      </c>
      <c r="L21" s="26"/>
      <c r="M21" s="26"/>
      <c r="N21" s="26"/>
      <c r="O21" s="26"/>
    </row>
    <row r="22" x14ac:dyDescent="0.3">
      <c r="A22" s="24" t="s">
        <v>869</v>
      </c>
      <c r="B22" s="26">
        <v>1</v>
      </c>
      <c r="C22" s="26">
        <v>1</v>
      </c>
      <c r="D22" s="26">
        <v>0</v>
      </c>
      <c r="E22" s="26">
        <v>1</v>
      </c>
      <c r="F22" s="26">
        <v>0</v>
      </c>
      <c r="G22" s="26">
        <v>1</v>
      </c>
      <c r="H22" s="26">
        <v>0</v>
      </c>
      <c r="I22" s="26">
        <v>1</v>
      </c>
      <c r="J22" s="26">
        <v>0</v>
      </c>
      <c r="K22" s="26">
        <v>0</v>
      </c>
      <c r="L22" s="26"/>
      <c r="M22" s="26"/>
      <c r="N22" s="26"/>
      <c r="O22" s="26"/>
    </row>
    <row r="23" x14ac:dyDescent="0.3">
      <c r="A23" s="24" t="s">
        <v>870</v>
      </c>
      <c r="B23" s="26">
        <v>1</v>
      </c>
      <c r="C23" s="26">
        <v>1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6"/>
      <c r="M23" s="26"/>
      <c r="N23" s="26"/>
      <c r="O23" s="26"/>
    </row>
    <row r="24" x14ac:dyDescent="0.3">
      <c r="A24" s="24" t="s">
        <v>871</v>
      </c>
      <c r="B24" s="26">
        <v>1</v>
      </c>
      <c r="C24" s="26"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6"/>
      <c r="M24" s="26"/>
      <c r="N24" s="26"/>
      <c r="O24" s="26"/>
    </row>
    <row r="25" x14ac:dyDescent="0.3">
      <c r="A25" s="24" t="s">
        <v>872</v>
      </c>
      <c r="B25" s="26">
        <v>1</v>
      </c>
      <c r="C25" s="26">
        <v>1</v>
      </c>
      <c r="D25" s="26">
        <v>1</v>
      </c>
      <c r="E25" s="26">
        <v>1</v>
      </c>
      <c r="F25" s="26">
        <v>1</v>
      </c>
      <c r="G25" s="26">
        <v>1</v>
      </c>
      <c r="H25" s="26">
        <v>1</v>
      </c>
      <c r="I25" s="26">
        <v>1</v>
      </c>
      <c r="J25" s="26">
        <v>0</v>
      </c>
      <c r="K25" s="26">
        <v>1</v>
      </c>
      <c r="L25" s="26"/>
      <c r="M25" s="26"/>
      <c r="N25" s="26"/>
      <c r="O25" s="26"/>
    </row>
    <row r="26" x14ac:dyDescent="0.3">
      <c r="A26" s="24" t="s">
        <v>873</v>
      </c>
      <c r="B26" s="26">
        <v>1</v>
      </c>
      <c r="C26" s="26">
        <v>1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>
        <v>1</v>
      </c>
      <c r="J26" s="26">
        <v>0</v>
      </c>
      <c r="K26" s="26">
        <v>1</v>
      </c>
      <c r="L26" s="26"/>
      <c r="M26" s="26"/>
      <c r="N26" s="26"/>
      <c r="O26" s="26"/>
    </row>
    <row r="27" x14ac:dyDescent="0.3">
      <c r="A27" s="24" t="s">
        <v>874</v>
      </c>
      <c r="B27" s="26">
        <v>1</v>
      </c>
      <c r="C27" s="26">
        <v>1</v>
      </c>
      <c r="D27" s="26">
        <v>1</v>
      </c>
      <c r="E27" s="26">
        <v>1</v>
      </c>
      <c r="F27" s="26">
        <v>1</v>
      </c>
      <c r="G27" s="26">
        <v>1</v>
      </c>
      <c r="H27" s="26">
        <v>1</v>
      </c>
      <c r="I27" s="26">
        <v>1</v>
      </c>
      <c r="J27" s="26">
        <v>1</v>
      </c>
      <c r="K27" s="26">
        <v>0</v>
      </c>
      <c r="L27" s="26"/>
      <c r="M27" s="26"/>
      <c r="N27" s="26"/>
      <c r="O27" s="26"/>
    </row>
    <row r="28" x14ac:dyDescent="0.3">
      <c r="A28" s="24" t="s">
        <v>875</v>
      </c>
      <c r="B28" s="26">
        <v>1</v>
      </c>
      <c r="C28" s="26">
        <v>1</v>
      </c>
      <c r="D28" s="26">
        <v>0</v>
      </c>
      <c r="E28" s="26">
        <v>0</v>
      </c>
      <c r="F28" s="26">
        <v>0</v>
      </c>
      <c r="G28" s="26">
        <v>1</v>
      </c>
      <c r="H28" s="26">
        <v>0</v>
      </c>
      <c r="I28" s="26">
        <v>1</v>
      </c>
      <c r="J28" s="26">
        <v>0</v>
      </c>
      <c r="K28" s="26">
        <v>1</v>
      </c>
      <c r="L28" s="26"/>
      <c r="M28" s="26"/>
      <c r="N28" s="26"/>
      <c r="O28" s="26"/>
    </row>
    <row r="29" x14ac:dyDescent="0.3">
      <c r="A29" s="24" t="s">
        <v>876</v>
      </c>
      <c r="B29" s="26">
        <v>1</v>
      </c>
      <c r="C29" s="26">
        <v>1</v>
      </c>
      <c r="D29" s="26">
        <v>0</v>
      </c>
      <c r="E29" s="26">
        <v>0</v>
      </c>
      <c r="F29" s="26">
        <v>0</v>
      </c>
      <c r="G29" s="26">
        <v>1</v>
      </c>
      <c r="H29" s="26">
        <v>0</v>
      </c>
      <c r="I29" s="26">
        <v>1</v>
      </c>
      <c r="J29" s="26">
        <v>1</v>
      </c>
      <c r="K29" s="26">
        <v>1</v>
      </c>
      <c r="L29" s="26"/>
      <c r="M29" s="26"/>
      <c r="N29" s="26"/>
      <c r="O29" s="26"/>
    </row>
    <row r="30" x14ac:dyDescent="0.3">
      <c r="A30" s="24" t="s">
        <v>877</v>
      </c>
      <c r="B30" s="26">
        <v>1</v>
      </c>
      <c r="C30" s="26">
        <v>1</v>
      </c>
      <c r="D30" s="26">
        <v>1</v>
      </c>
      <c r="E30" s="26">
        <v>1</v>
      </c>
      <c r="F30" s="26">
        <v>1</v>
      </c>
      <c r="G30" s="26">
        <v>1</v>
      </c>
      <c r="H30" s="26">
        <v>1</v>
      </c>
      <c r="I30" s="26">
        <v>1</v>
      </c>
      <c r="J30" s="26">
        <v>1</v>
      </c>
      <c r="K30" s="26">
        <v>1</v>
      </c>
      <c r="L30" s="26"/>
      <c r="M30" s="26"/>
      <c r="N30" s="26"/>
      <c r="O30" s="26"/>
    </row>
    <row r="31" x14ac:dyDescent="0.3">
      <c r="A31" s="24" t="s">
        <v>878</v>
      </c>
      <c r="B31" s="26">
        <v>1</v>
      </c>
      <c r="C31" s="26">
        <v>1</v>
      </c>
      <c r="D31" s="26">
        <v>1</v>
      </c>
      <c r="E31" s="26">
        <v>1</v>
      </c>
      <c r="F31" s="26">
        <v>1</v>
      </c>
      <c r="G31" s="26">
        <v>1</v>
      </c>
      <c r="H31" s="26">
        <v>1</v>
      </c>
      <c r="I31" s="26">
        <v>1</v>
      </c>
      <c r="J31" s="26">
        <v>1</v>
      </c>
      <c r="K31" s="26">
        <v>1</v>
      </c>
      <c r="L31" s="26"/>
      <c r="M31" s="26"/>
      <c r="N31" s="26"/>
      <c r="O31" s="26"/>
    </row>
    <row r="32" x14ac:dyDescent="0.3">
      <c r="A32" s="19" t="s">
        <v>879</v>
      </c>
      <c r="B32" s="27">
        <v>1</v>
      </c>
      <c r="C32" s="27">
        <v>1</v>
      </c>
      <c r="D32" s="27">
        <v>1</v>
      </c>
      <c r="E32" s="27">
        <v>1</v>
      </c>
      <c r="F32" s="27">
        <v>1</v>
      </c>
      <c r="G32" s="27">
        <v>1</v>
      </c>
      <c r="H32" s="27">
        <v>1</v>
      </c>
      <c r="I32" s="27">
        <v>1</v>
      </c>
      <c r="J32" s="27">
        <v>1</v>
      </c>
      <c r="K32" s="27"/>
      <c r="L32" s="27"/>
      <c r="M32" s="27"/>
      <c r="N32" s="27"/>
      <c r="O32" s="27"/>
    </row>
  </sheetData>
  <mergeCells count="1">
    <mergeCell ref="A1:O1"/>
  </mergeCells>
  <conditionalFormatting sqref="B3:O32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>
      <selection activeCell="L6" sqref="L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8" max="8" width="15.37890625" bestFit="true" customWidth="true"/>
    <col min="10" max="10" width="15.37890625" customWidth="true"/>
  </cols>
  <sheetData>
    <row r="1" ht="15" thickBot="true" x14ac:dyDescent="0.35">
      <c r="A1" s="17" t="s">
        <v>332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x14ac:dyDescent="0.3">
      <c r="A2" s="19" t="s">
        <v>885</v>
      </c>
      <c r="B2" s="19" t="s">
        <v>916</v>
      </c>
      <c r="C2" s="19" t="s">
        <v>917</v>
      </c>
      <c r="D2" s="19" t="s">
        <v>918</v>
      </c>
      <c r="E2" s="19" t="s">
        <v>919</v>
      </c>
      <c r="F2" s="19" t="s">
        <v>920</v>
      </c>
      <c r="G2" s="19" t="s">
        <v>598</v>
      </c>
      <c r="H2" s="19" t="s">
        <v>599</v>
      </c>
      <c r="I2" s="19" t="s">
        <v>600</v>
      </c>
      <c r="J2" s="19" t="s">
        <v>601</v>
      </c>
      <c r="K2" s="19"/>
      <c r="L2" s="19"/>
      <c r="M2" s="19"/>
      <c r="N2" s="19"/>
      <c r="O2" s="19"/>
    </row>
    <row r="3" x14ac:dyDescent="0.3">
      <c r="A3" s="18" t="s">
        <v>886</v>
      </c>
      <c r="B3" s="2">
        <v>1.7343976283205826e-06</v>
      </c>
      <c r="C3" s="2">
        <v>3.1816794109698638e-06</v>
      </c>
      <c r="D3" s="2">
        <v>1.7343976283205826e-06</v>
      </c>
      <c r="E3" s="2">
        <v>1.7343976283205826e-06</v>
      </c>
      <c r="F3" s="2">
        <v>1.7343976283205826e-06</v>
      </c>
      <c r="G3" s="2">
        <v>1.7343976283205826e-06</v>
      </c>
      <c r="H3" s="2">
        <v>1.7343976283205826e-06</v>
      </c>
      <c r="I3" s="2">
        <v>1.7343976283205826e-06</v>
      </c>
      <c r="J3" s="2">
        <v>1.7343976283205826e-06</v>
      </c>
      <c r="K3" s="2"/>
      <c r="L3" s="2"/>
      <c r="M3" s="2"/>
      <c r="N3" s="2"/>
      <c r="O3" s="2"/>
    </row>
    <row r="4" x14ac:dyDescent="0.3">
      <c r="A4" s="24" t="s">
        <v>887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x14ac:dyDescent="0.3">
      <c r="A5" s="24" t="s">
        <v>888</v>
      </c>
      <c r="B5" s="6">
        <v>1.7343976283205826e-06</v>
      </c>
      <c r="C5" s="6">
        <v>1.7343976283205826e-06</v>
      </c>
      <c r="D5" s="6">
        <v>1.7343976283205826e-06</v>
      </c>
      <c r="E5" s="6">
        <v>1.7343976283205826e-06</v>
      </c>
      <c r="F5" s="6">
        <v>1.7343976283205826e-06</v>
      </c>
      <c r="G5" s="6">
        <v>1.7343976283205826e-06</v>
      </c>
      <c r="H5" s="6">
        <v>1.7343976283205826e-06</v>
      </c>
      <c r="I5" s="6">
        <v>1.7343976283205826e-06</v>
      </c>
      <c r="J5" s="6">
        <v>1.7343976283205826e-06</v>
      </c>
      <c r="K5" s="6"/>
      <c r="L5" s="6"/>
      <c r="M5" s="6"/>
      <c r="N5" s="6"/>
      <c r="O5" s="6"/>
    </row>
    <row r="6" x14ac:dyDescent="0.3">
      <c r="A6" s="24" t="s">
        <v>889</v>
      </c>
      <c r="B6" s="6">
        <v>1.7343976283205826e-06</v>
      </c>
      <c r="C6" s="6">
        <v>9.3156585911051691e-06</v>
      </c>
      <c r="D6" s="6">
        <v>2.6033283895389329e-06</v>
      </c>
      <c r="E6" s="6">
        <v>2.12663601073143e-06</v>
      </c>
      <c r="F6" s="6">
        <v>2.12663601073143e-06</v>
      </c>
      <c r="G6" s="6">
        <v>1.7343976283205826e-06</v>
      </c>
      <c r="H6" s="6">
        <v>1.7343976283205826e-06</v>
      </c>
      <c r="I6" s="6">
        <v>1.7343976283205826e-06</v>
      </c>
      <c r="J6" s="6">
        <v>1.7343976283205826e-06</v>
      </c>
      <c r="K6" s="6"/>
      <c r="L6" s="6"/>
      <c r="M6" s="6"/>
      <c r="N6" s="6"/>
      <c r="O6" s="6"/>
    </row>
    <row r="7" x14ac:dyDescent="0.3">
      <c r="A7" s="24" t="s">
        <v>890</v>
      </c>
      <c r="B7" s="6">
        <v>1.7343976283205826e-06</v>
      </c>
      <c r="C7" s="6">
        <v>2.1630223983536977e-05</v>
      </c>
      <c r="D7" s="6">
        <v>0.22888042228496513</v>
      </c>
      <c r="E7" s="6">
        <v>0.011079229099818117</v>
      </c>
      <c r="F7" s="6">
        <v>8.9187274244597068e-05</v>
      </c>
      <c r="G7" s="6">
        <v>1.7343976283205826e-06</v>
      </c>
      <c r="H7" s="6">
        <v>0.00013594767036744976</v>
      </c>
      <c r="I7" s="6">
        <v>0.0019645813713265515</v>
      </c>
      <c r="J7" s="6">
        <v>0.0018325799471705243</v>
      </c>
      <c r="K7" s="6"/>
      <c r="L7" s="6"/>
      <c r="M7" s="6"/>
      <c r="N7" s="6"/>
      <c r="O7" s="6"/>
    </row>
    <row r="8" x14ac:dyDescent="0.3">
      <c r="A8" s="24" t="s">
        <v>891</v>
      </c>
      <c r="B8" s="6">
        <v>5.216493447033382e-06</v>
      </c>
      <c r="C8" s="6">
        <v>9.7110489760716314e-05</v>
      </c>
      <c r="D8" s="6">
        <v>1.9209211049031476e-06</v>
      </c>
      <c r="E8" s="6">
        <v>1.7343976283205826e-06</v>
      </c>
      <c r="F8" s="6">
        <v>1.7343976283205826e-06</v>
      </c>
      <c r="G8" s="6">
        <v>1.7343976283205826e-06</v>
      </c>
      <c r="H8" s="6">
        <v>0.013974564120258329</v>
      </c>
      <c r="I8" s="6">
        <v>4.7292023374470689e-06</v>
      </c>
      <c r="J8" s="6">
        <v>2.8785992193943049e-06</v>
      </c>
      <c r="K8" s="6"/>
      <c r="L8" s="6"/>
      <c r="M8" s="6"/>
      <c r="N8" s="6"/>
      <c r="O8" s="6"/>
    </row>
    <row r="9" x14ac:dyDescent="0.3">
      <c r="A9" s="24" t="s">
        <v>892</v>
      </c>
      <c r="B9" s="6">
        <v>1.7343976283205826e-06</v>
      </c>
      <c r="C9" s="6">
        <v>1.9209211049031476e-06</v>
      </c>
      <c r="D9" s="6">
        <v>1.7343976283205826e-06</v>
      </c>
      <c r="E9" s="6">
        <v>2.12663601073143e-06</v>
      </c>
      <c r="F9" s="6">
        <v>1.7343976283205826e-06</v>
      </c>
      <c r="G9" s="6">
        <v>2.8785992193943049e-06</v>
      </c>
      <c r="H9" s="6">
        <v>0.014795424247745157</v>
      </c>
      <c r="I9" s="6">
        <v>1.7343976283205826e-06</v>
      </c>
      <c r="J9" s="6">
        <v>0.0013820358574399949</v>
      </c>
      <c r="K9" s="6"/>
      <c r="L9" s="6"/>
      <c r="M9" s="6"/>
      <c r="N9" s="6"/>
      <c r="O9" s="6"/>
    </row>
    <row r="10" x14ac:dyDescent="0.3">
      <c r="A10" s="24" t="s">
        <v>893</v>
      </c>
      <c r="B10" s="6">
        <v>1.7343976283205826e-06</v>
      </c>
      <c r="C10" s="6">
        <v>0.00052872483715050533</v>
      </c>
      <c r="D10" s="6">
        <v>9.7110489760716314e-05</v>
      </c>
      <c r="E10" s="6">
        <v>0.082206465950992819</v>
      </c>
      <c r="F10" s="6">
        <v>0.00045335631776461944</v>
      </c>
      <c r="G10" s="6">
        <v>1.7343976283205826e-06</v>
      </c>
      <c r="H10" s="6">
        <v>0.0004896900705332653</v>
      </c>
      <c r="I10" s="6">
        <v>0.37093530784512468</v>
      </c>
      <c r="J10" s="6">
        <v>0.025637124030657647</v>
      </c>
      <c r="K10" s="6"/>
      <c r="L10" s="6"/>
      <c r="M10" s="6"/>
      <c r="N10" s="6"/>
      <c r="O10" s="6"/>
    </row>
    <row r="11" x14ac:dyDescent="0.3">
      <c r="A11" s="24" t="s">
        <v>894</v>
      </c>
      <c r="B11" s="6">
        <v>3.1816794109698638e-06</v>
      </c>
      <c r="C11" s="6">
        <v>2.5967125848447441e-05</v>
      </c>
      <c r="D11" s="6">
        <v>0.00020515292261877847</v>
      </c>
      <c r="E11" s="6">
        <v>1.7343976283205826e-06</v>
      </c>
      <c r="F11" s="6">
        <v>1.2380795614564495e-05</v>
      </c>
      <c r="G11" s="6">
        <v>1.7343976283205826e-06</v>
      </c>
      <c r="H11" s="6">
        <v>4.8602606066773001e-05</v>
      </c>
      <c r="I11" s="6">
        <v>1.7343976283205826e-06</v>
      </c>
      <c r="J11" s="6">
        <v>0.0092710251720259165</v>
      </c>
      <c r="K11" s="6"/>
      <c r="L11" s="6"/>
      <c r="M11" s="6"/>
      <c r="N11" s="6"/>
      <c r="O11" s="6"/>
    </row>
    <row r="12" x14ac:dyDescent="0.3">
      <c r="A12" s="24" t="s">
        <v>895</v>
      </c>
      <c r="B12" s="6">
        <v>1.7343976283205826e-06</v>
      </c>
      <c r="C12" s="6">
        <v>0.0025845592065520105</v>
      </c>
      <c r="D12" s="6">
        <v>0.50383296887814133</v>
      </c>
      <c r="E12" s="6">
        <v>1.2380795614564495e-05</v>
      </c>
      <c r="F12" s="6">
        <v>0.068713630796882016</v>
      </c>
      <c r="G12" s="6">
        <v>1.7343976283205826e-06</v>
      </c>
      <c r="H12" s="6">
        <v>0.00066392128426448005</v>
      </c>
      <c r="I12" s="6">
        <v>0.025637124030657647</v>
      </c>
      <c r="J12" s="6">
        <v>0.0019645813713265515</v>
      </c>
      <c r="K12" s="6"/>
      <c r="L12" s="6"/>
      <c r="M12" s="6"/>
      <c r="N12" s="6"/>
      <c r="O12" s="6"/>
    </row>
    <row r="13" x14ac:dyDescent="0.3">
      <c r="A13" s="24" t="s">
        <v>896</v>
      </c>
      <c r="B13" s="6">
        <v>1.7343976283205826e-06</v>
      </c>
      <c r="C13" s="6">
        <v>0.0015927015020870084</v>
      </c>
      <c r="D13" s="6">
        <v>1.7343976283205826e-06</v>
      </c>
      <c r="E13" s="6">
        <v>1.7988480691799094e-05</v>
      </c>
      <c r="F13" s="6">
        <v>1.7343976283205826e-06</v>
      </c>
      <c r="G13" s="6">
        <v>1.7343976283205826e-06</v>
      </c>
      <c r="H13" s="6">
        <v>0.019569215233846415</v>
      </c>
      <c r="I13" s="6">
        <v>4.7292023374470689e-06</v>
      </c>
      <c r="J13" s="6">
        <v>1.7343976283205826e-06</v>
      </c>
      <c r="K13" s="6"/>
      <c r="L13" s="6"/>
      <c r="M13" s="6"/>
      <c r="N13" s="6"/>
      <c r="O13" s="6"/>
    </row>
    <row r="14" x14ac:dyDescent="0.3">
      <c r="A14" s="24" t="s">
        <v>897</v>
      </c>
      <c r="B14" s="6">
        <v>1.7343976283205826e-06</v>
      </c>
      <c r="C14" s="6">
        <v>0.00096265892906591331</v>
      </c>
      <c r="D14" s="6">
        <v>3.8821823860608705e-06</v>
      </c>
      <c r="E14" s="6">
        <v>5.216493447033382e-06</v>
      </c>
      <c r="F14" s="6">
        <v>0.00030649986921763651</v>
      </c>
      <c r="G14" s="6">
        <v>1.7343976283205826e-06</v>
      </c>
      <c r="H14" s="6">
        <v>1.7343976283205826e-06</v>
      </c>
      <c r="I14" s="6">
        <v>1.7343976283205826e-06</v>
      </c>
      <c r="J14" s="6">
        <v>1.7343976283205826e-06</v>
      </c>
      <c r="K14" s="6"/>
      <c r="L14" s="6"/>
      <c r="M14" s="6"/>
      <c r="N14" s="6"/>
      <c r="O14" s="6"/>
    </row>
    <row r="15" x14ac:dyDescent="0.3">
      <c r="A15" s="24" t="s">
        <v>898</v>
      </c>
      <c r="B15" s="6">
        <v>1.7343976283205826e-06</v>
      </c>
      <c r="C15" s="6">
        <v>1.4935639298398709e-05</v>
      </c>
      <c r="D15" s="6">
        <v>0.29894375201959067</v>
      </c>
      <c r="E15" s="6">
        <v>1.7343976283205826e-06</v>
      </c>
      <c r="F15" s="6">
        <v>1.7343976283205826e-06</v>
      </c>
      <c r="G15" s="6">
        <v>1.7343976283205826e-06</v>
      </c>
      <c r="H15" s="6">
        <v>0.028485956184747363</v>
      </c>
      <c r="I15" s="6">
        <v>0.015658483342200588</v>
      </c>
      <c r="J15" s="6">
        <v>1.7343976283205826e-06</v>
      </c>
      <c r="K15" s="6"/>
      <c r="L15" s="6"/>
      <c r="M15" s="6"/>
      <c r="N15" s="6"/>
      <c r="O15" s="6"/>
    </row>
    <row r="16" x14ac:dyDescent="0.3">
      <c r="A16" s="24" t="s">
        <v>899</v>
      </c>
      <c r="B16" s="6">
        <v>1.7343976283205826e-06</v>
      </c>
      <c r="C16" s="6">
        <v>1.7343976283205826e-06</v>
      </c>
      <c r="D16" s="6">
        <v>1.4935639298398709e-05</v>
      </c>
      <c r="E16" s="6">
        <v>0.004681835234144679</v>
      </c>
      <c r="F16" s="6">
        <v>1.7343976283205826e-06</v>
      </c>
      <c r="G16" s="6">
        <v>1.7343976283205826e-06</v>
      </c>
      <c r="H16" s="6">
        <v>1.7343976283205826e-06</v>
      </c>
      <c r="I16" s="6">
        <v>1.7343976283205826e-06</v>
      </c>
      <c r="J16" s="6">
        <v>1.7343976283205826e-06</v>
      </c>
      <c r="K16" s="6"/>
      <c r="L16" s="6"/>
      <c r="M16" s="6"/>
      <c r="N16" s="6"/>
      <c r="O16" s="6"/>
    </row>
    <row r="17" x14ac:dyDescent="0.3">
      <c r="A17" s="24" t="s">
        <v>900</v>
      </c>
      <c r="B17" s="6">
        <v>1.7343976283205826e-06</v>
      </c>
      <c r="C17" s="6">
        <v>0.00057064367104546639</v>
      </c>
      <c r="D17" s="6">
        <v>0.00018909720229770742</v>
      </c>
      <c r="E17" s="6">
        <v>0.00022248266458074997</v>
      </c>
      <c r="F17" s="6">
        <v>1.7343976283205826e-06</v>
      </c>
      <c r="G17" s="6">
        <v>1.7343976283205826e-06</v>
      </c>
      <c r="H17" s="6">
        <v>8.4660816903838918e-06</v>
      </c>
      <c r="I17" s="6">
        <v>0.00066392128426448005</v>
      </c>
      <c r="J17" s="6">
        <v>1.7343976283205826e-06</v>
      </c>
      <c r="K17" s="6"/>
      <c r="L17" s="6"/>
      <c r="M17" s="6"/>
      <c r="N17" s="6"/>
      <c r="O17" s="6"/>
    </row>
    <row r="18" x14ac:dyDescent="0.3">
      <c r="A18" s="24" t="s">
        <v>901</v>
      </c>
      <c r="B18" s="6">
        <v>1.9209211049031476e-06</v>
      </c>
      <c r="C18" s="6">
        <v>0.0053196840239812283</v>
      </c>
      <c r="D18" s="6">
        <v>0.000241179610558752</v>
      </c>
      <c r="E18" s="6">
        <v>0.0011138009078172097</v>
      </c>
      <c r="F18" s="6">
        <v>0.13059163494446677</v>
      </c>
      <c r="G18" s="6">
        <v>1.7343976283205826e-06</v>
      </c>
      <c r="H18" s="6">
        <v>0.035008956819850154</v>
      </c>
      <c r="I18" s="6">
        <v>0.0053196840239812283</v>
      </c>
      <c r="J18" s="6">
        <v>0.70356369987000766</v>
      </c>
      <c r="K18" s="6"/>
      <c r="L18" s="6"/>
      <c r="M18" s="6"/>
      <c r="N18" s="6"/>
      <c r="O18" s="6"/>
    </row>
    <row r="19" x14ac:dyDescent="0.3">
      <c r="A19" s="24" t="s">
        <v>902</v>
      </c>
      <c r="B19" s="6">
        <v>2.8785992193943049e-06</v>
      </c>
      <c r="C19" s="6">
        <v>3.405256723280547e-05</v>
      </c>
      <c r="D19" s="6">
        <v>0.00096265892906591331</v>
      </c>
      <c r="E19" s="6">
        <v>0.10639417319061395</v>
      </c>
      <c r="F19" s="6">
        <v>0.038723026479358991</v>
      </c>
      <c r="G19" s="6">
        <v>4.8602606066773001e-05</v>
      </c>
      <c r="H19" s="6">
        <v>0.00020515292261877847</v>
      </c>
      <c r="I19" s="6">
        <v>0.033268897067405039</v>
      </c>
      <c r="J19" s="6">
        <v>0.0014839276312951807</v>
      </c>
      <c r="K19" s="6"/>
      <c r="L19" s="6"/>
      <c r="M19" s="6"/>
      <c r="N19" s="6"/>
      <c r="O19" s="6"/>
    </row>
    <row r="20" x14ac:dyDescent="0.3">
      <c r="A20" s="24" t="s">
        <v>903</v>
      </c>
      <c r="B20" s="6">
        <v>1.7343976283205826e-06</v>
      </c>
      <c r="C20" s="6">
        <v>2.6033283895389329e-06</v>
      </c>
      <c r="D20" s="6">
        <v>0.00011499217543570143</v>
      </c>
      <c r="E20" s="6">
        <v>9.3156585911051691e-06</v>
      </c>
      <c r="F20" s="6">
        <v>2.3534209951215406e-06</v>
      </c>
      <c r="G20" s="6">
        <v>1.7343976283205826e-06</v>
      </c>
      <c r="H20" s="6">
        <v>1.7343976283205826e-06</v>
      </c>
      <c r="I20" s="6">
        <v>1.7343976283205826e-06</v>
      </c>
      <c r="J20" s="6">
        <v>1.7343976283205826e-06</v>
      </c>
      <c r="K20" s="6"/>
      <c r="L20" s="6"/>
      <c r="M20" s="6"/>
      <c r="N20" s="6"/>
      <c r="O20" s="6"/>
    </row>
    <row r="21" x14ac:dyDescent="0.3">
      <c r="A21" s="24" t="s">
        <v>904</v>
      </c>
      <c r="B21" s="6">
        <v>1.9209211049031476e-06</v>
      </c>
      <c r="C21" s="6">
        <v>0.0038542362868791286</v>
      </c>
      <c r="D21" s="6">
        <v>0.078646660274103497</v>
      </c>
      <c r="E21" s="6">
        <v>5.7516532694018495e-06</v>
      </c>
      <c r="F21" s="6">
        <v>1.7343976283205826e-06</v>
      </c>
      <c r="G21" s="6">
        <v>1.7343976283205826e-06</v>
      </c>
      <c r="H21" s="6">
        <v>0.004681835234144679</v>
      </c>
      <c r="I21" s="6">
        <v>0.035008956819850154</v>
      </c>
      <c r="J21" s="6">
        <v>1.7343976283205826e-06</v>
      </c>
      <c r="K21" s="6"/>
      <c r="L21" s="6"/>
      <c r="M21" s="6"/>
      <c r="N21" s="6"/>
      <c r="O21" s="6"/>
    </row>
    <row r="22" x14ac:dyDescent="0.3">
      <c r="A22" s="24" t="s">
        <v>905</v>
      </c>
      <c r="B22" s="6">
        <v>2.5967125848447441e-05</v>
      </c>
      <c r="C22" s="6">
        <v>9.3156585911051691e-06</v>
      </c>
      <c r="D22" s="6">
        <v>0.99179456443409042</v>
      </c>
      <c r="E22" s="6">
        <v>0.031603381642055166</v>
      </c>
      <c r="F22" s="6">
        <v>0.12044472790832518</v>
      </c>
      <c r="G22" s="6">
        <v>2.8785992193943049e-06</v>
      </c>
      <c r="H22" s="6">
        <v>0.29894375201959067</v>
      </c>
      <c r="I22" s="6">
        <v>0.004681835234144679</v>
      </c>
      <c r="J22" s="6">
        <v>0.40483472215742078</v>
      </c>
      <c r="K22" s="6"/>
      <c r="L22" s="6"/>
      <c r="M22" s="6"/>
      <c r="N22" s="6"/>
      <c r="O22" s="6"/>
    </row>
    <row r="23" x14ac:dyDescent="0.3">
      <c r="A23" s="24" t="s">
        <v>906</v>
      </c>
      <c r="B23" s="6">
        <v>1.7343976283205826e-06</v>
      </c>
      <c r="C23" s="6">
        <v>3.8821823860608705e-06</v>
      </c>
      <c r="D23" s="6">
        <v>4.8602606066773001e-05</v>
      </c>
      <c r="E23" s="6">
        <v>0.00017422813359654337</v>
      </c>
      <c r="F23" s="6">
        <v>2.3704477025504914e-05</v>
      </c>
      <c r="G23" s="6">
        <v>1.7343976283205826e-06</v>
      </c>
      <c r="H23" s="6">
        <v>0.0011138009078172097</v>
      </c>
      <c r="I23" s="6">
        <v>0.0010356813035458732</v>
      </c>
      <c r="J23" s="6">
        <v>1.972948451580373e-05</v>
      </c>
      <c r="K23" s="6"/>
      <c r="L23" s="6"/>
      <c r="M23" s="6"/>
      <c r="N23" s="6"/>
      <c r="O23" s="6"/>
    </row>
    <row r="24" x14ac:dyDescent="0.3">
      <c r="A24" s="24" t="s">
        <v>907</v>
      </c>
      <c r="B24" s="6">
        <v>1.7343976283205826e-06</v>
      </c>
      <c r="C24" s="6">
        <v>1.7343976283205826e-06</v>
      </c>
      <c r="D24" s="6">
        <v>1.7343976283205826e-06</v>
      </c>
      <c r="E24" s="6">
        <v>3.1816794109698638e-06</v>
      </c>
      <c r="F24" s="6">
        <v>1.7343976283205826e-06</v>
      </c>
      <c r="G24" s="6">
        <v>2.8785992193943049e-06</v>
      </c>
      <c r="H24" s="6">
        <v>0.00022248266458074997</v>
      </c>
      <c r="I24" s="6">
        <v>2.3704477025504914e-05</v>
      </c>
      <c r="J24" s="6">
        <v>4.8602606066773001e-05</v>
      </c>
      <c r="K24" s="6"/>
      <c r="L24" s="6"/>
      <c r="M24" s="6"/>
      <c r="N24" s="6"/>
      <c r="O24" s="6"/>
    </row>
    <row r="25" x14ac:dyDescent="0.3">
      <c r="A25" s="24" t="s">
        <v>908</v>
      </c>
      <c r="B25" s="6">
        <v>1.7343976283205826e-06</v>
      </c>
      <c r="C25" s="6">
        <v>1.7343976283205826e-06</v>
      </c>
      <c r="D25" s="6">
        <v>2.8785992193943049e-06</v>
      </c>
      <c r="E25" s="6">
        <v>1.7343976283205826e-06</v>
      </c>
      <c r="F25" s="6">
        <v>1.7343976283205826e-06</v>
      </c>
      <c r="G25" s="6">
        <v>2.12663601073143e-06</v>
      </c>
      <c r="H25" s="6">
        <v>0.0013820358574399949</v>
      </c>
      <c r="I25" s="6">
        <v>1.7343976283205826e-06</v>
      </c>
      <c r="J25" s="6">
        <v>0.24519030932096381</v>
      </c>
      <c r="K25" s="6"/>
      <c r="L25" s="6"/>
      <c r="M25" s="6"/>
      <c r="N25" s="6"/>
      <c r="O25" s="6"/>
    </row>
    <row r="26" x14ac:dyDescent="0.3">
      <c r="A26" s="24" t="s">
        <v>909</v>
      </c>
      <c r="B26" s="6">
        <v>1.9209211049031476e-06</v>
      </c>
      <c r="C26" s="6">
        <v>5.7516532694018495e-06</v>
      </c>
      <c r="D26" s="6">
        <v>2.12663601073143e-06</v>
      </c>
      <c r="E26" s="6">
        <v>1.7343976283205826e-06</v>
      </c>
      <c r="F26" s="6">
        <v>2.8785992193943049e-06</v>
      </c>
      <c r="G26" s="6">
        <v>1.7343976283205826e-06</v>
      </c>
      <c r="H26" s="6">
        <v>0.010444400581851162</v>
      </c>
      <c r="I26" s="6">
        <v>1.7343976283205826e-06</v>
      </c>
      <c r="J26" s="6">
        <v>0.29894375201959067</v>
      </c>
      <c r="K26" s="6"/>
      <c r="L26" s="6"/>
      <c r="M26" s="6"/>
      <c r="N26" s="6"/>
      <c r="O26" s="6"/>
    </row>
    <row r="27" x14ac:dyDescent="0.3">
      <c r="A27" s="24" t="s">
        <v>910</v>
      </c>
      <c r="B27" s="6">
        <v>1.7343976283205826e-06</v>
      </c>
      <c r="C27" s="6">
        <v>0.002765274196991639</v>
      </c>
      <c r="D27" s="6">
        <v>1.7343976283205826e-06</v>
      </c>
      <c r="E27" s="6">
        <v>0.006835856425301233</v>
      </c>
      <c r="F27" s="6">
        <v>6.9837831474771065e-06</v>
      </c>
      <c r="G27" s="6">
        <v>1.7343976283205826e-06</v>
      </c>
      <c r="H27" s="6">
        <v>1.1265398499821105e-05</v>
      </c>
      <c r="I27" s="6">
        <v>0.00010569503498431315</v>
      </c>
      <c r="J27" s="6">
        <v>1.7343976283205826e-06</v>
      </c>
      <c r="K27" s="6"/>
      <c r="L27" s="6"/>
      <c r="M27" s="6"/>
      <c r="N27" s="6"/>
      <c r="O27" s="6"/>
    </row>
    <row r="28" x14ac:dyDescent="0.3">
      <c r="A28" s="24" t="s">
        <v>911</v>
      </c>
      <c r="B28" s="6">
        <v>1.7343976283205826e-06</v>
      </c>
      <c r="C28" s="6">
        <v>9.7110489760716314e-05</v>
      </c>
      <c r="D28" s="6">
        <v>0.34934556237492975</v>
      </c>
      <c r="E28" s="6">
        <v>0.22102157481330351</v>
      </c>
      <c r="F28" s="6">
        <v>0.45280650466919581</v>
      </c>
      <c r="G28" s="6">
        <v>2.12663601073143e-06</v>
      </c>
      <c r="H28" s="6">
        <v>0.70356369987000766</v>
      </c>
      <c r="I28" s="6">
        <v>1.9209211049031476e-06</v>
      </c>
      <c r="J28" s="6">
        <v>0.50383296887814133</v>
      </c>
      <c r="K28" s="6"/>
      <c r="L28" s="6"/>
      <c r="M28" s="6"/>
      <c r="N28" s="6"/>
      <c r="O28" s="6"/>
    </row>
    <row r="29" x14ac:dyDescent="0.3">
      <c r="A29" s="24" t="s">
        <v>912</v>
      </c>
      <c r="B29" s="6">
        <v>1.7343976283205826e-06</v>
      </c>
      <c r="C29" s="6">
        <v>3.8821823860608705e-06</v>
      </c>
      <c r="D29" s="6">
        <v>0.29894375201959067</v>
      </c>
      <c r="E29" s="6">
        <v>0.58571156934686908</v>
      </c>
      <c r="F29" s="6">
        <v>0.27115519770883234</v>
      </c>
      <c r="G29" s="6">
        <v>1.7343976283205826e-06</v>
      </c>
      <c r="H29" s="6">
        <v>0.15286069407970185</v>
      </c>
      <c r="I29" s="6">
        <v>1.7343976283205826e-06</v>
      </c>
      <c r="J29" s="6">
        <v>0.028485956184747363</v>
      </c>
      <c r="K29" s="6"/>
      <c r="L29" s="6"/>
      <c r="M29" s="6"/>
      <c r="N29" s="6"/>
      <c r="O29" s="6"/>
    </row>
    <row r="30" x14ac:dyDescent="0.3">
      <c r="A30" s="24" t="s">
        <v>913</v>
      </c>
      <c r="B30" s="6">
        <v>1.7343976283205826e-06</v>
      </c>
      <c r="C30" s="6">
        <v>2.6033283895389329e-06</v>
      </c>
      <c r="D30" s="6">
        <v>1.7343976283205826e-06</v>
      </c>
      <c r="E30" s="6">
        <v>6.3391355731224854e-06</v>
      </c>
      <c r="F30" s="6">
        <v>1.7343976283205826e-06</v>
      </c>
      <c r="G30" s="6">
        <v>1.7343976283205826e-06</v>
      </c>
      <c r="H30" s="6">
        <v>1.7343976283205826e-06</v>
      </c>
      <c r="I30" s="6">
        <v>1.9209211049031476e-06</v>
      </c>
      <c r="J30" s="6">
        <v>1.7343976283205826e-06</v>
      </c>
      <c r="K30" s="6"/>
      <c r="L30" s="6"/>
      <c r="M30" s="6"/>
      <c r="N30" s="6"/>
      <c r="O30" s="6"/>
    </row>
    <row r="31" x14ac:dyDescent="0.3">
      <c r="A31" s="24" t="s">
        <v>914</v>
      </c>
      <c r="B31" s="6">
        <v>1.7343976283205826e-06</v>
      </c>
      <c r="C31" s="6">
        <v>2.5967125848447441e-05</v>
      </c>
      <c r="D31" s="6">
        <v>0.00083070700668700509</v>
      </c>
      <c r="E31" s="6">
        <v>0.00020515292261877847</v>
      </c>
      <c r="F31" s="6">
        <v>8.1877534396493002e-05</v>
      </c>
      <c r="G31" s="6">
        <v>1.7343976283205826e-06</v>
      </c>
      <c r="H31" s="6">
        <v>0.0019645813713265515</v>
      </c>
      <c r="I31" s="6">
        <v>0.0019645813713265515</v>
      </c>
      <c r="J31" s="6">
        <v>0.059835601391349295</v>
      </c>
      <c r="K31" s="6"/>
      <c r="L31" s="6"/>
      <c r="M31" s="6"/>
      <c r="N31" s="6"/>
      <c r="O31" s="6"/>
    </row>
    <row r="32" x14ac:dyDescent="0.3">
      <c r="A32" s="19" t="s">
        <v>915</v>
      </c>
      <c r="B32" s="9">
        <v>1.7343976283205826e-06</v>
      </c>
      <c r="C32" s="9">
        <v>1.6394463016779945e-05</v>
      </c>
      <c r="D32" s="9">
        <v>3.5152372790448369e-06</v>
      </c>
      <c r="E32" s="9">
        <v>1.7343976283205826e-06</v>
      </c>
      <c r="F32" s="9">
        <v>0.00016046383716795373</v>
      </c>
      <c r="G32" s="9">
        <v>1.7343976283205826e-06</v>
      </c>
      <c r="H32" s="9">
        <v>0.00028307894351654194</v>
      </c>
      <c r="I32" s="9">
        <v>4.7292023374470689e-06</v>
      </c>
      <c r="J32" s="9">
        <v>1.7343976283205826e-06</v>
      </c>
      <c r="K32" s="9"/>
      <c r="L32" s="9"/>
      <c r="M32" s="9"/>
      <c r="N32" s="9"/>
      <c r="O32" s="9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activeCell="M8" sqref="M8"/>
    </sheetView>
  </sheetViews>
  <sheetFormatPr defaultRowHeight="14.4" x14ac:dyDescent="0.3"/>
  <cols>
    <col min="1" max="1" width="8.15625" bestFit="true" customWidth="true"/>
    <col min="2" max="2" width="16.82421875" customWidth="true"/>
    <col min="3" max="3" width="17.48828125" customWidth="true"/>
    <col min="4" max="4" width="18.046875" customWidth="true"/>
    <col min="5" max="5" width="16.93359375" customWidth="true"/>
    <col min="6" max="6" width="16.046875" customWidth="true"/>
    <col min="7" max="7" width="14.046875" customWidth="true"/>
    <col min="9" max="9" width="14.37890625" customWidth="true"/>
    <col min="10" max="10" width="15.37890625" bestFit="true" customWidth="true"/>
    <col min="8" max="8" width="15.37890625" customWidth="true"/>
    <col min="11" max="11" width="2" bestFit="true" customWidth="true"/>
  </cols>
  <sheetData>
    <row r="1" ht="15" thickBot="true" x14ac:dyDescent="0.35">
      <c r="A1" s="17" t="s">
        <v>350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x14ac:dyDescent="0.3">
      <c r="A2" s="3" t="s">
        <v>921</v>
      </c>
      <c r="B2" s="3" t="s">
        <v>952</v>
      </c>
      <c r="C2" s="3" t="s">
        <v>953</v>
      </c>
      <c r="D2" s="3" t="s">
        <v>954</v>
      </c>
      <c r="E2" s="3" t="s">
        <v>955</v>
      </c>
      <c r="F2" s="3" t="s">
        <v>956</v>
      </c>
      <c r="G2" s="3" t="s">
        <v>638</v>
      </c>
      <c r="H2" s="3" t="s">
        <v>639</v>
      </c>
      <c r="I2" s="3" t="s">
        <v>640</v>
      </c>
      <c r="J2" s="3" t="s">
        <v>641</v>
      </c>
      <c r="K2" s="3">
        <v>1</v>
      </c>
      <c r="L2" s="3"/>
      <c r="M2" s="3"/>
      <c r="N2" s="3"/>
      <c r="O2" s="3"/>
    </row>
    <row r="3" x14ac:dyDescent="0.3">
      <c r="A3" s="1" t="s">
        <v>922</v>
      </c>
      <c r="B3" s="25">
        <v>1</v>
      </c>
      <c r="C3" s="25">
        <v>1</v>
      </c>
      <c r="D3" s="25">
        <v>1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1</v>
      </c>
      <c r="K3" s="25"/>
      <c r="L3" s="25"/>
      <c r="M3" s="25"/>
      <c r="N3" s="25"/>
      <c r="O3" s="25"/>
    </row>
    <row r="4" x14ac:dyDescent="0.3">
      <c r="A4" s="7" t="s">
        <v>923</v>
      </c>
      <c r="B4" s="26"/>
      <c r="C4" s="26"/>
      <c r="D4" s="26"/>
      <c r="E4" s="26"/>
      <c r="F4" s="26"/>
      <c r="G4" s="26"/>
      <c r="H4" s="26"/>
      <c r="I4" s="26"/>
      <c r="J4" s="26"/>
      <c r="K4" s="26">
        <v>1</v>
      </c>
      <c r="L4" s="26"/>
      <c r="M4" s="26"/>
      <c r="N4" s="26"/>
      <c r="O4" s="26"/>
    </row>
    <row r="5" x14ac:dyDescent="0.3">
      <c r="A5" s="7" t="s">
        <v>924</v>
      </c>
      <c r="B5" s="26">
        <v>1</v>
      </c>
      <c r="C5" s="26"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/>
      <c r="M5" s="26"/>
      <c r="N5" s="26"/>
      <c r="O5" s="26"/>
    </row>
    <row r="6" x14ac:dyDescent="0.3">
      <c r="A6" s="7" t="s">
        <v>925</v>
      </c>
      <c r="B6" s="26">
        <v>1</v>
      </c>
      <c r="C6" s="26">
        <v>1</v>
      </c>
      <c r="D6" s="26">
        <v>1</v>
      </c>
      <c r="E6" s="26">
        <v>1</v>
      </c>
      <c r="F6" s="26">
        <v>1</v>
      </c>
      <c r="G6" s="26">
        <v>1</v>
      </c>
      <c r="H6" s="26">
        <v>1</v>
      </c>
      <c r="I6" s="26">
        <v>1</v>
      </c>
      <c r="J6" s="26">
        <v>1</v>
      </c>
      <c r="K6" s="26">
        <v>0</v>
      </c>
      <c r="L6" s="26"/>
      <c r="M6" s="26"/>
      <c r="N6" s="26"/>
      <c r="O6" s="26"/>
    </row>
    <row r="7" x14ac:dyDescent="0.3">
      <c r="A7" s="7" t="s">
        <v>926</v>
      </c>
      <c r="B7" s="26">
        <v>1</v>
      </c>
      <c r="C7" s="26">
        <v>1</v>
      </c>
      <c r="D7" s="26">
        <v>0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1</v>
      </c>
      <c r="K7" s="26">
        <v>1</v>
      </c>
      <c r="L7" s="26"/>
      <c r="M7" s="26"/>
      <c r="N7" s="26"/>
      <c r="O7" s="26"/>
    </row>
    <row r="8" x14ac:dyDescent="0.3">
      <c r="A8" s="7" t="s">
        <v>927</v>
      </c>
      <c r="B8" s="26">
        <v>1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0</v>
      </c>
      <c r="L8" s="26"/>
      <c r="M8" s="26"/>
      <c r="N8" s="26"/>
      <c r="O8" s="26"/>
    </row>
    <row r="9" x14ac:dyDescent="0.3">
      <c r="A9" s="7" t="s">
        <v>928</v>
      </c>
      <c r="B9" s="26">
        <v>1</v>
      </c>
      <c r="C9" s="26"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0</v>
      </c>
      <c r="L9" s="26"/>
      <c r="M9" s="26"/>
      <c r="N9" s="26"/>
      <c r="O9" s="26"/>
    </row>
    <row r="10" x14ac:dyDescent="0.3">
      <c r="A10" s="7" t="s">
        <v>929</v>
      </c>
      <c r="B10" s="26">
        <v>1</v>
      </c>
      <c r="C10" s="26">
        <v>1</v>
      </c>
      <c r="D10" s="26">
        <v>1</v>
      </c>
      <c r="E10" s="26">
        <v>0</v>
      </c>
      <c r="F10" s="26">
        <v>1</v>
      </c>
      <c r="G10" s="26">
        <v>1</v>
      </c>
      <c r="H10" s="26">
        <v>1</v>
      </c>
      <c r="I10" s="26">
        <v>0</v>
      </c>
      <c r="J10" s="26">
        <v>1</v>
      </c>
      <c r="K10" s="26">
        <v>1</v>
      </c>
      <c r="L10" s="26"/>
      <c r="M10" s="26"/>
      <c r="N10" s="26"/>
      <c r="O10" s="26"/>
    </row>
    <row r="11" x14ac:dyDescent="0.3">
      <c r="A11" s="7" t="s">
        <v>930</v>
      </c>
      <c r="B11" s="26">
        <v>1</v>
      </c>
      <c r="C11" s="26"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1</v>
      </c>
      <c r="K11" s="26">
        <v>1</v>
      </c>
      <c r="L11" s="26"/>
      <c r="M11" s="26"/>
      <c r="N11" s="26"/>
      <c r="O11" s="26"/>
    </row>
    <row r="12" x14ac:dyDescent="0.3">
      <c r="A12" s="7" t="s">
        <v>931</v>
      </c>
      <c r="B12" s="26">
        <v>1</v>
      </c>
      <c r="C12" s="26">
        <v>1</v>
      </c>
      <c r="D12" s="26">
        <v>0</v>
      </c>
      <c r="E12" s="26">
        <v>1</v>
      </c>
      <c r="F12" s="26">
        <v>0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/>
      <c r="M12" s="26"/>
      <c r="N12" s="26"/>
      <c r="O12" s="26"/>
    </row>
    <row r="13" x14ac:dyDescent="0.3">
      <c r="A13" s="7" t="s">
        <v>932</v>
      </c>
      <c r="B13" s="26">
        <v>1</v>
      </c>
      <c r="C13" s="26">
        <v>1</v>
      </c>
      <c r="D13" s="26">
        <v>1</v>
      </c>
      <c r="E13" s="26">
        <v>1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>
        <v>1</v>
      </c>
      <c r="L13" s="26"/>
      <c r="M13" s="26"/>
      <c r="N13" s="26"/>
      <c r="O13" s="26"/>
    </row>
    <row r="14" x14ac:dyDescent="0.3">
      <c r="A14" s="7" t="s">
        <v>933</v>
      </c>
      <c r="B14" s="26">
        <v>1</v>
      </c>
      <c r="C14" s="26"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  <c r="L14" s="26"/>
      <c r="M14" s="26"/>
      <c r="N14" s="26"/>
      <c r="O14" s="26"/>
    </row>
    <row r="15" x14ac:dyDescent="0.3">
      <c r="A15" s="7" t="s">
        <v>934</v>
      </c>
      <c r="B15" s="26">
        <v>1</v>
      </c>
      <c r="C15" s="26">
        <v>1</v>
      </c>
      <c r="D15" s="26">
        <v>0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>
        <v>1</v>
      </c>
      <c r="L15" s="26"/>
      <c r="M15" s="26"/>
      <c r="N15" s="26"/>
      <c r="O15" s="26"/>
    </row>
    <row r="16" x14ac:dyDescent="0.3">
      <c r="A16" s="7" t="s">
        <v>935</v>
      </c>
      <c r="B16" s="26">
        <v>1</v>
      </c>
      <c r="C16" s="26"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/>
      <c r="M16" s="26"/>
      <c r="N16" s="26"/>
      <c r="O16" s="26"/>
    </row>
    <row r="17" x14ac:dyDescent="0.3">
      <c r="A17" s="7" t="s">
        <v>936</v>
      </c>
      <c r="B17" s="26">
        <v>1</v>
      </c>
      <c r="C17" s="26"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26"/>
      <c r="M17" s="26"/>
      <c r="N17" s="26"/>
      <c r="O17" s="26"/>
    </row>
    <row r="18" x14ac:dyDescent="0.3">
      <c r="A18" s="7" t="s">
        <v>937</v>
      </c>
      <c r="B18" s="26">
        <v>1</v>
      </c>
      <c r="C18" s="26">
        <v>1</v>
      </c>
      <c r="D18" s="26">
        <v>1</v>
      </c>
      <c r="E18" s="26">
        <v>1</v>
      </c>
      <c r="F18" s="26">
        <v>0</v>
      </c>
      <c r="G18" s="26">
        <v>1</v>
      </c>
      <c r="H18" s="26">
        <v>1</v>
      </c>
      <c r="I18" s="26">
        <v>1</v>
      </c>
      <c r="J18" s="26">
        <v>0</v>
      </c>
      <c r="K18" s="26">
        <v>1</v>
      </c>
      <c r="L18" s="26"/>
      <c r="M18" s="26"/>
      <c r="N18" s="26"/>
      <c r="O18" s="26"/>
    </row>
    <row r="19" x14ac:dyDescent="0.3">
      <c r="A19" s="7" t="s">
        <v>938</v>
      </c>
      <c r="B19" s="26">
        <v>1</v>
      </c>
      <c r="C19" s="26">
        <v>1</v>
      </c>
      <c r="D19" s="26">
        <v>1</v>
      </c>
      <c r="E19" s="26">
        <v>0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  <c r="L19" s="26"/>
      <c r="M19" s="26"/>
      <c r="N19" s="26"/>
      <c r="O19" s="26"/>
    </row>
    <row r="20" x14ac:dyDescent="0.3">
      <c r="A20" s="7" t="s">
        <v>939</v>
      </c>
      <c r="B20" s="26">
        <v>1</v>
      </c>
      <c r="C20" s="26">
        <v>1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  <c r="J20" s="26">
        <v>1</v>
      </c>
      <c r="K20" s="26">
        <v>1</v>
      </c>
      <c r="L20" s="26"/>
      <c r="M20" s="26"/>
      <c r="N20" s="26"/>
      <c r="O20" s="26"/>
    </row>
    <row r="21" x14ac:dyDescent="0.3">
      <c r="A21" s="7" t="s">
        <v>940</v>
      </c>
      <c r="B21" s="26">
        <v>1</v>
      </c>
      <c r="C21" s="26">
        <v>1</v>
      </c>
      <c r="D21" s="26">
        <v>0</v>
      </c>
      <c r="E21" s="26">
        <v>1</v>
      </c>
      <c r="F21" s="26">
        <v>1</v>
      </c>
      <c r="G21" s="26">
        <v>1</v>
      </c>
      <c r="H21" s="26">
        <v>1</v>
      </c>
      <c r="I21" s="26">
        <v>1</v>
      </c>
      <c r="J21" s="26">
        <v>1</v>
      </c>
      <c r="K21" s="26">
        <v>1</v>
      </c>
      <c r="L21" s="26"/>
      <c r="M21" s="26"/>
      <c r="N21" s="26"/>
      <c r="O21" s="26"/>
    </row>
    <row r="22" x14ac:dyDescent="0.3">
      <c r="A22" s="7" t="s">
        <v>941</v>
      </c>
      <c r="B22" s="26">
        <v>1</v>
      </c>
      <c r="C22" s="26">
        <v>1</v>
      </c>
      <c r="D22" s="26">
        <v>0</v>
      </c>
      <c r="E22" s="26">
        <v>1</v>
      </c>
      <c r="F22" s="26">
        <v>0</v>
      </c>
      <c r="G22" s="26">
        <v>1</v>
      </c>
      <c r="H22" s="26">
        <v>0</v>
      </c>
      <c r="I22" s="26">
        <v>1</v>
      </c>
      <c r="J22" s="26">
        <v>0</v>
      </c>
      <c r="K22" s="26">
        <v>0</v>
      </c>
      <c r="L22" s="26"/>
      <c r="M22" s="26"/>
      <c r="N22" s="26"/>
      <c r="O22" s="26"/>
    </row>
    <row r="23" x14ac:dyDescent="0.3">
      <c r="A23" s="7" t="s">
        <v>942</v>
      </c>
      <c r="B23" s="26">
        <v>1</v>
      </c>
      <c r="C23" s="26">
        <v>1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6"/>
      <c r="M23" s="26"/>
      <c r="N23" s="26"/>
      <c r="O23" s="26"/>
    </row>
    <row r="24" x14ac:dyDescent="0.3">
      <c r="A24" s="7" t="s">
        <v>943</v>
      </c>
      <c r="B24" s="26">
        <v>1</v>
      </c>
      <c r="C24" s="26"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1</v>
      </c>
      <c r="J24" s="26">
        <v>1</v>
      </c>
      <c r="K24" s="26">
        <v>0</v>
      </c>
      <c r="L24" s="26"/>
      <c r="M24" s="26"/>
      <c r="N24" s="26"/>
      <c r="O24" s="26"/>
    </row>
    <row r="25" x14ac:dyDescent="0.3">
      <c r="A25" s="7" t="s">
        <v>944</v>
      </c>
      <c r="B25" s="26">
        <v>1</v>
      </c>
      <c r="C25" s="26">
        <v>1</v>
      </c>
      <c r="D25" s="26">
        <v>1</v>
      </c>
      <c r="E25" s="26">
        <v>1</v>
      </c>
      <c r="F25" s="26">
        <v>1</v>
      </c>
      <c r="G25" s="26">
        <v>1</v>
      </c>
      <c r="H25" s="26">
        <v>1</v>
      </c>
      <c r="I25" s="26">
        <v>1</v>
      </c>
      <c r="J25" s="26">
        <v>0</v>
      </c>
      <c r="K25" s="26">
        <v>1</v>
      </c>
      <c r="L25" s="26"/>
      <c r="M25" s="26"/>
      <c r="N25" s="26"/>
      <c r="O25" s="26"/>
    </row>
    <row r="26" x14ac:dyDescent="0.3">
      <c r="A26" s="7" t="s">
        <v>945</v>
      </c>
      <c r="B26" s="26">
        <v>1</v>
      </c>
      <c r="C26" s="26">
        <v>1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>
        <v>1</v>
      </c>
      <c r="J26" s="26">
        <v>0</v>
      </c>
      <c r="K26" s="26">
        <v>1</v>
      </c>
      <c r="L26" s="26"/>
      <c r="M26" s="26"/>
      <c r="N26" s="26"/>
      <c r="O26" s="26"/>
    </row>
    <row r="27" x14ac:dyDescent="0.3">
      <c r="A27" s="7" t="s">
        <v>946</v>
      </c>
      <c r="B27" s="26">
        <v>1</v>
      </c>
      <c r="C27" s="26">
        <v>1</v>
      </c>
      <c r="D27" s="26">
        <v>1</v>
      </c>
      <c r="E27" s="26">
        <v>1</v>
      </c>
      <c r="F27" s="26">
        <v>1</v>
      </c>
      <c r="G27" s="26">
        <v>1</v>
      </c>
      <c r="H27" s="26">
        <v>1</v>
      </c>
      <c r="I27" s="26">
        <v>1</v>
      </c>
      <c r="J27" s="26">
        <v>1</v>
      </c>
      <c r="K27" s="26">
        <v>0</v>
      </c>
      <c r="L27" s="26"/>
      <c r="M27" s="26"/>
      <c r="N27" s="26"/>
      <c r="O27" s="26"/>
    </row>
    <row r="28" x14ac:dyDescent="0.3">
      <c r="A28" s="7" t="s">
        <v>947</v>
      </c>
      <c r="B28" s="26">
        <v>1</v>
      </c>
      <c r="C28" s="26">
        <v>1</v>
      </c>
      <c r="D28" s="26">
        <v>0</v>
      </c>
      <c r="E28" s="26">
        <v>0</v>
      </c>
      <c r="F28" s="26">
        <v>0</v>
      </c>
      <c r="G28" s="26">
        <v>1</v>
      </c>
      <c r="H28" s="26">
        <v>0</v>
      </c>
      <c r="I28" s="26">
        <v>1</v>
      </c>
      <c r="J28" s="26">
        <v>0</v>
      </c>
      <c r="K28" s="26">
        <v>1</v>
      </c>
      <c r="L28" s="26"/>
      <c r="M28" s="26"/>
      <c r="N28" s="26"/>
      <c r="O28" s="26"/>
    </row>
    <row r="29" x14ac:dyDescent="0.3">
      <c r="A29" s="7" t="s">
        <v>948</v>
      </c>
      <c r="B29" s="26">
        <v>1</v>
      </c>
      <c r="C29" s="26">
        <v>1</v>
      </c>
      <c r="D29" s="26">
        <v>0</v>
      </c>
      <c r="E29" s="26">
        <v>0</v>
      </c>
      <c r="F29" s="26">
        <v>0</v>
      </c>
      <c r="G29" s="26">
        <v>1</v>
      </c>
      <c r="H29" s="26">
        <v>0</v>
      </c>
      <c r="I29" s="26">
        <v>1</v>
      </c>
      <c r="J29" s="26">
        <v>1</v>
      </c>
      <c r="K29" s="26">
        <v>1</v>
      </c>
      <c r="L29" s="26"/>
      <c r="M29" s="26"/>
      <c r="N29" s="26"/>
      <c r="O29" s="26"/>
    </row>
    <row r="30" x14ac:dyDescent="0.3">
      <c r="A30" s="7" t="s">
        <v>949</v>
      </c>
      <c r="B30" s="26">
        <v>1</v>
      </c>
      <c r="C30" s="26">
        <v>1</v>
      </c>
      <c r="D30" s="26">
        <v>1</v>
      </c>
      <c r="E30" s="26">
        <v>1</v>
      </c>
      <c r="F30" s="26">
        <v>1</v>
      </c>
      <c r="G30" s="26">
        <v>1</v>
      </c>
      <c r="H30" s="26">
        <v>1</v>
      </c>
      <c r="I30" s="26">
        <v>1</v>
      </c>
      <c r="J30" s="26">
        <v>1</v>
      </c>
      <c r="K30" s="26">
        <v>1</v>
      </c>
      <c r="L30" s="26"/>
      <c r="M30" s="26"/>
      <c r="N30" s="26"/>
      <c r="O30" s="26"/>
    </row>
    <row r="31" x14ac:dyDescent="0.3">
      <c r="A31" s="7" t="s">
        <v>950</v>
      </c>
      <c r="B31" s="26">
        <v>1</v>
      </c>
      <c r="C31" s="26">
        <v>1</v>
      </c>
      <c r="D31" s="26">
        <v>1</v>
      </c>
      <c r="E31" s="26">
        <v>1</v>
      </c>
      <c r="F31" s="26">
        <v>1</v>
      </c>
      <c r="G31" s="26">
        <v>1</v>
      </c>
      <c r="H31" s="26">
        <v>1</v>
      </c>
      <c r="I31" s="26">
        <v>1</v>
      </c>
      <c r="J31" s="26">
        <v>0</v>
      </c>
      <c r="K31" s="26">
        <v>1</v>
      </c>
      <c r="L31" s="26"/>
      <c r="M31" s="26"/>
      <c r="N31" s="26"/>
      <c r="O31" s="26"/>
    </row>
    <row r="32" x14ac:dyDescent="0.3">
      <c r="A32" s="3" t="s">
        <v>951</v>
      </c>
      <c r="B32" s="27">
        <v>1</v>
      </c>
      <c r="C32" s="27">
        <v>1</v>
      </c>
      <c r="D32" s="27">
        <v>1</v>
      </c>
      <c r="E32" s="27">
        <v>1</v>
      </c>
      <c r="F32" s="27">
        <v>1</v>
      </c>
      <c r="G32" s="27">
        <v>1</v>
      </c>
      <c r="H32" s="27">
        <v>1</v>
      </c>
      <c r="I32" s="27">
        <v>1</v>
      </c>
      <c r="J32" s="27">
        <v>1</v>
      </c>
      <c r="K32" s="27"/>
      <c r="L32" s="27"/>
      <c r="M32" s="27"/>
      <c r="N32" s="27"/>
      <c r="O32" s="27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activeCell="B7" sqref="B7"/>
    </sheetView>
  </sheetViews>
  <sheetFormatPr defaultRowHeight="14.4" x14ac:dyDescent="0.3"/>
  <cols>
    <col min="1" max="1" width="8.15625" style="5" bestFit="true" customWidth="true"/>
    <col min="2" max="2" width="16.82421875" style="5" customWidth="true"/>
    <col min="3" max="3" width="17.48828125" style="5" customWidth="true"/>
    <col min="4" max="4" width="18.046875" style="5" customWidth="true"/>
    <col min="5" max="5" width="16.93359375" style="5" customWidth="true"/>
    <col min="6" max="6" width="16.046875" style="5" customWidth="true"/>
    <col min="7" max="7" width="14.046875" style="5" customWidth="true"/>
    <col min="9" max="9" width="14.37890625" style="5" customWidth="true"/>
    <col min="10" max="10" width="15.37890625" style="5" bestFit="true" customWidth="true"/>
    <col min="12" max="15" width="8.88671875" style="5"/>
    <col min="8" max="8" width="15.37890625" style="5" customWidth="true"/>
    <col min="11" max="11" width="4" style="5" bestFit="true" customWidth="true"/>
  </cols>
  <sheetData>
    <row r="1" ht="15" thickBot="true" x14ac:dyDescent="0.35">
      <c r="A1" s="17" t="s">
        <v>351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x14ac:dyDescent="0.3">
      <c r="A2" s="3" t="s">
        <v>957</v>
      </c>
      <c r="B2" s="3" t="s">
        <v>988</v>
      </c>
      <c r="C2" s="3" t="s">
        <v>989</v>
      </c>
      <c r="D2" s="3" t="s">
        <v>990</v>
      </c>
      <c r="E2" s="3" t="s">
        <v>991</v>
      </c>
      <c r="F2" s="3" t="s">
        <v>992</v>
      </c>
      <c r="G2" s="3" t="s">
        <v>678</v>
      </c>
      <c r="H2" s="3" t="s">
        <v>679</v>
      </c>
      <c r="I2" s="3" t="s">
        <v>680</v>
      </c>
      <c r="J2" s="3" t="s">
        <v>681</v>
      </c>
      <c r="K2" s="3">
        <v>465</v>
      </c>
      <c r="L2" s="3"/>
      <c r="M2" s="3"/>
      <c r="N2" s="3"/>
      <c r="O2" s="3"/>
    </row>
    <row r="3" x14ac:dyDescent="0.3">
      <c r="A3" s="1" t="s">
        <v>958</v>
      </c>
      <c r="B3" s="1">
        <v>0</v>
      </c>
      <c r="C3" s="1">
        <v>6</v>
      </c>
      <c r="D3" s="1">
        <v>0</v>
      </c>
      <c r="E3" s="1">
        <v>465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/>
      <c r="L3" s="1"/>
      <c r="M3" s="1"/>
      <c r="N3" s="1"/>
      <c r="O3" s="1"/>
    </row>
    <row r="4" x14ac:dyDescent="0.3">
      <c r="A4" s="7" t="s">
        <v>959</v>
      </c>
      <c r="B4" s="7"/>
      <c r="C4" s="7"/>
      <c r="D4" s="7"/>
      <c r="E4" s="7"/>
      <c r="F4" s="7"/>
      <c r="G4" s="7"/>
      <c r="H4" s="7"/>
      <c r="I4" s="7"/>
      <c r="J4" s="7"/>
      <c r="K4" s="7">
        <v>0</v>
      </c>
      <c r="L4" s="7"/>
      <c r="M4" s="7"/>
      <c r="N4" s="7"/>
      <c r="O4" s="7"/>
    </row>
    <row r="5" x14ac:dyDescent="0.3">
      <c r="A5" s="7" t="s">
        <v>960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/>
      <c r="M5" s="7"/>
      <c r="N5" s="7"/>
      <c r="O5" s="7"/>
    </row>
    <row r="6" x14ac:dyDescent="0.3">
      <c r="A6" s="7" t="s">
        <v>961</v>
      </c>
      <c r="B6" s="7">
        <v>0</v>
      </c>
      <c r="C6" s="7">
        <v>17</v>
      </c>
      <c r="D6" s="7">
        <v>4</v>
      </c>
      <c r="E6" s="7">
        <v>2</v>
      </c>
      <c r="F6" s="7">
        <v>2</v>
      </c>
      <c r="G6" s="7">
        <v>0</v>
      </c>
      <c r="H6" s="7">
        <v>0</v>
      </c>
      <c r="I6" s="7">
        <v>0</v>
      </c>
      <c r="J6" s="7">
        <v>0</v>
      </c>
      <c r="K6" s="7">
        <v>180</v>
      </c>
      <c r="L6" s="7"/>
      <c r="M6" s="7"/>
      <c r="N6" s="7"/>
      <c r="O6" s="7"/>
    </row>
    <row r="7" x14ac:dyDescent="0.3">
      <c r="A7" s="7" t="s">
        <v>962</v>
      </c>
      <c r="B7" s="7">
        <v>0</v>
      </c>
      <c r="C7" s="7">
        <v>26</v>
      </c>
      <c r="D7" s="7">
        <v>291</v>
      </c>
      <c r="E7" s="7">
        <v>356</v>
      </c>
      <c r="F7" s="7">
        <v>423</v>
      </c>
      <c r="G7" s="7">
        <v>0</v>
      </c>
      <c r="H7" s="7">
        <v>418</v>
      </c>
      <c r="I7" s="7">
        <v>82</v>
      </c>
      <c r="J7" s="7">
        <v>384</v>
      </c>
      <c r="K7" s="7">
        <v>0</v>
      </c>
      <c r="L7" s="7"/>
      <c r="M7" s="7"/>
      <c r="N7" s="7"/>
      <c r="O7" s="7"/>
    </row>
    <row r="8" x14ac:dyDescent="0.3">
      <c r="A8" s="7" t="s">
        <v>963</v>
      </c>
      <c r="B8" s="7">
        <v>11</v>
      </c>
      <c r="C8" s="7">
        <v>43</v>
      </c>
      <c r="D8" s="7">
        <v>464</v>
      </c>
      <c r="E8" s="7">
        <v>465</v>
      </c>
      <c r="F8" s="7">
        <v>465</v>
      </c>
      <c r="G8" s="7">
        <v>0</v>
      </c>
      <c r="H8" s="7">
        <v>352</v>
      </c>
      <c r="I8" s="7">
        <v>10</v>
      </c>
      <c r="J8" s="7">
        <v>460</v>
      </c>
      <c r="K8" s="7">
        <v>145</v>
      </c>
      <c r="L8" s="7"/>
      <c r="M8" s="7"/>
      <c r="N8" s="7"/>
      <c r="O8" s="7"/>
    </row>
    <row r="9" x14ac:dyDescent="0.3">
      <c r="A9" s="7" t="s">
        <v>964</v>
      </c>
      <c r="B9" s="7">
        <v>0</v>
      </c>
      <c r="C9" s="7">
        <v>1</v>
      </c>
      <c r="D9" s="7">
        <v>465</v>
      </c>
      <c r="E9" s="7">
        <v>463</v>
      </c>
      <c r="F9" s="7">
        <v>465</v>
      </c>
      <c r="G9" s="7">
        <v>5</v>
      </c>
      <c r="H9" s="7">
        <v>351</v>
      </c>
      <c r="I9" s="7">
        <v>0</v>
      </c>
      <c r="J9" s="7">
        <v>388</v>
      </c>
      <c r="K9" s="7">
        <v>262</v>
      </c>
      <c r="L9" s="7"/>
      <c r="M9" s="7"/>
      <c r="N9" s="7"/>
      <c r="O9" s="7"/>
    </row>
    <row r="10" x14ac:dyDescent="0.3">
      <c r="A10" s="7" t="s">
        <v>965</v>
      </c>
      <c r="B10" s="7">
        <v>0</v>
      </c>
      <c r="C10" s="7">
        <v>64</v>
      </c>
      <c r="D10" s="7">
        <v>422</v>
      </c>
      <c r="E10" s="7">
        <v>317</v>
      </c>
      <c r="F10" s="7">
        <v>403</v>
      </c>
      <c r="G10" s="7">
        <v>0</v>
      </c>
      <c r="H10" s="7">
        <v>402</v>
      </c>
      <c r="I10" s="7">
        <v>189</v>
      </c>
      <c r="J10" s="7">
        <v>341</v>
      </c>
      <c r="K10" s="7">
        <v>0</v>
      </c>
      <c r="L10" s="7"/>
      <c r="M10" s="7"/>
      <c r="N10" s="7"/>
      <c r="O10" s="7"/>
    </row>
    <row r="11" x14ac:dyDescent="0.3">
      <c r="A11" s="7" t="s">
        <v>966</v>
      </c>
      <c r="B11" s="7">
        <v>6</v>
      </c>
      <c r="C11" s="7">
        <v>28</v>
      </c>
      <c r="D11" s="7">
        <v>413</v>
      </c>
      <c r="E11" s="7">
        <v>465</v>
      </c>
      <c r="F11" s="7">
        <v>445</v>
      </c>
      <c r="G11" s="7">
        <v>0</v>
      </c>
      <c r="H11" s="7">
        <v>35</v>
      </c>
      <c r="I11" s="7">
        <v>0</v>
      </c>
      <c r="J11" s="7">
        <v>106</v>
      </c>
      <c r="K11" s="7">
        <v>447</v>
      </c>
      <c r="L11" s="7"/>
      <c r="M11" s="7"/>
      <c r="N11" s="7"/>
      <c r="O11" s="7"/>
    </row>
    <row r="12" x14ac:dyDescent="0.3">
      <c r="A12" s="7" t="s">
        <v>967</v>
      </c>
      <c r="B12" s="7">
        <v>0</v>
      </c>
      <c r="C12" s="7">
        <v>86</v>
      </c>
      <c r="D12" s="7">
        <v>200</v>
      </c>
      <c r="E12" s="7">
        <v>20</v>
      </c>
      <c r="F12" s="7">
        <v>321</v>
      </c>
      <c r="G12" s="7">
        <v>0</v>
      </c>
      <c r="H12" s="7">
        <v>67</v>
      </c>
      <c r="I12" s="7">
        <v>124</v>
      </c>
      <c r="J12" s="7">
        <v>82</v>
      </c>
      <c r="K12" s="7">
        <v>0</v>
      </c>
      <c r="L12" s="7"/>
      <c r="M12" s="7"/>
      <c r="N12" s="7"/>
      <c r="O12" s="7"/>
    </row>
    <row r="13" x14ac:dyDescent="0.3">
      <c r="A13" s="7" t="s">
        <v>968</v>
      </c>
      <c r="B13" s="7">
        <v>0</v>
      </c>
      <c r="C13" s="7">
        <v>79</v>
      </c>
      <c r="D13" s="7">
        <v>0</v>
      </c>
      <c r="E13" s="7">
        <v>24</v>
      </c>
      <c r="F13" s="7">
        <v>0</v>
      </c>
      <c r="G13" s="7">
        <v>0</v>
      </c>
      <c r="H13" s="7">
        <v>119</v>
      </c>
      <c r="I13" s="7">
        <v>10</v>
      </c>
      <c r="J13" s="7">
        <v>0</v>
      </c>
      <c r="K13" s="7">
        <v>0</v>
      </c>
      <c r="L13" s="7"/>
      <c r="M13" s="7"/>
      <c r="N13" s="7"/>
      <c r="O13" s="7"/>
    </row>
    <row r="14" x14ac:dyDescent="0.3">
      <c r="A14" s="7" t="s">
        <v>969</v>
      </c>
      <c r="B14" s="7">
        <v>0</v>
      </c>
      <c r="C14" s="7">
        <v>72</v>
      </c>
      <c r="D14" s="7">
        <v>8</v>
      </c>
      <c r="E14" s="7">
        <v>454</v>
      </c>
      <c r="F14" s="7">
        <v>57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/>
      <c r="M14" s="7"/>
      <c r="N14" s="7"/>
      <c r="O14" s="7"/>
    </row>
    <row r="15" x14ac:dyDescent="0.3">
      <c r="A15" s="7" t="s">
        <v>970</v>
      </c>
      <c r="B15" s="7">
        <v>0</v>
      </c>
      <c r="C15" s="7">
        <v>22</v>
      </c>
      <c r="D15" s="7">
        <v>182</v>
      </c>
      <c r="E15" s="7">
        <v>465</v>
      </c>
      <c r="F15" s="7">
        <v>0</v>
      </c>
      <c r="G15" s="7">
        <v>0</v>
      </c>
      <c r="H15" s="7">
        <v>126</v>
      </c>
      <c r="I15" s="7">
        <v>115</v>
      </c>
      <c r="J15" s="7">
        <v>0</v>
      </c>
      <c r="K15" s="7">
        <v>0</v>
      </c>
      <c r="L15" s="7"/>
      <c r="M15" s="7"/>
      <c r="N15" s="7"/>
      <c r="O15" s="7"/>
    </row>
    <row r="16" x14ac:dyDescent="0.3">
      <c r="A16" s="7" t="s">
        <v>971</v>
      </c>
      <c r="B16" s="7">
        <v>0</v>
      </c>
      <c r="C16" s="7">
        <v>0</v>
      </c>
      <c r="D16" s="7">
        <v>22</v>
      </c>
      <c r="E16" s="7">
        <v>95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/>
      <c r="M16" s="7"/>
      <c r="N16" s="7"/>
      <c r="O16" s="7"/>
    </row>
    <row r="17" x14ac:dyDescent="0.3">
      <c r="A17" s="7" t="s">
        <v>972</v>
      </c>
      <c r="B17" s="7">
        <v>0</v>
      </c>
      <c r="C17" s="7">
        <v>65</v>
      </c>
      <c r="D17" s="7">
        <v>51</v>
      </c>
      <c r="E17" s="7">
        <v>412</v>
      </c>
      <c r="F17" s="7">
        <v>0</v>
      </c>
      <c r="G17" s="7">
        <v>0</v>
      </c>
      <c r="H17" s="7">
        <v>16</v>
      </c>
      <c r="I17" s="7">
        <v>67</v>
      </c>
      <c r="J17" s="7">
        <v>0</v>
      </c>
      <c r="K17" s="7">
        <v>77</v>
      </c>
      <c r="L17" s="7"/>
      <c r="M17" s="7"/>
      <c r="N17" s="7"/>
      <c r="O17" s="7"/>
    </row>
    <row r="18" x14ac:dyDescent="0.3">
      <c r="A18" s="7" t="s">
        <v>973</v>
      </c>
      <c r="B18" s="7">
        <v>1</v>
      </c>
      <c r="C18" s="7">
        <v>97</v>
      </c>
      <c r="D18" s="7">
        <v>411</v>
      </c>
      <c r="E18" s="7">
        <v>391</v>
      </c>
      <c r="F18" s="7">
        <v>306</v>
      </c>
      <c r="G18" s="7">
        <v>0</v>
      </c>
      <c r="H18" s="7">
        <v>335</v>
      </c>
      <c r="I18" s="7">
        <v>97</v>
      </c>
      <c r="J18" s="7">
        <v>214</v>
      </c>
      <c r="K18" s="7">
        <v>23</v>
      </c>
      <c r="L18" s="7"/>
      <c r="M18" s="7"/>
      <c r="N18" s="7"/>
      <c r="O18" s="7"/>
    </row>
    <row r="19" x14ac:dyDescent="0.3">
      <c r="A19" s="7" t="s">
        <v>974</v>
      </c>
      <c r="B19" s="7">
        <v>5</v>
      </c>
      <c r="C19" s="7">
        <v>31</v>
      </c>
      <c r="D19" s="7">
        <v>393</v>
      </c>
      <c r="E19" s="7">
        <v>311</v>
      </c>
      <c r="F19" s="7">
        <v>132</v>
      </c>
      <c r="G19" s="7">
        <v>35</v>
      </c>
      <c r="H19" s="7">
        <v>413</v>
      </c>
      <c r="I19" s="7">
        <v>129</v>
      </c>
      <c r="J19" s="7">
        <v>387</v>
      </c>
      <c r="K19" s="7">
        <v>0</v>
      </c>
      <c r="L19" s="7"/>
      <c r="M19" s="7"/>
      <c r="N19" s="7"/>
      <c r="O19" s="7"/>
    </row>
    <row r="20" x14ac:dyDescent="0.3">
      <c r="A20" s="7" t="s">
        <v>975</v>
      </c>
      <c r="B20" s="7">
        <v>0</v>
      </c>
      <c r="C20" s="7">
        <v>4</v>
      </c>
      <c r="D20" s="7">
        <v>45</v>
      </c>
      <c r="E20" s="7">
        <v>17</v>
      </c>
      <c r="F20" s="7">
        <v>3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/>
      <c r="M20" s="7"/>
      <c r="N20" s="7"/>
      <c r="O20" s="7"/>
    </row>
    <row r="21" x14ac:dyDescent="0.3">
      <c r="A21" s="7" t="s">
        <v>976</v>
      </c>
      <c r="B21" s="7">
        <v>1</v>
      </c>
      <c r="C21" s="7">
        <v>92</v>
      </c>
      <c r="D21" s="7">
        <v>147</v>
      </c>
      <c r="E21" s="7">
        <v>453</v>
      </c>
      <c r="F21" s="7">
        <v>0</v>
      </c>
      <c r="G21" s="7">
        <v>0</v>
      </c>
      <c r="H21" s="7">
        <v>95</v>
      </c>
      <c r="I21" s="7">
        <v>130</v>
      </c>
      <c r="J21" s="7">
        <v>0</v>
      </c>
      <c r="K21" s="7">
        <v>19</v>
      </c>
      <c r="L21" s="7"/>
      <c r="M21" s="7"/>
      <c r="N21" s="7"/>
      <c r="O21" s="7"/>
    </row>
    <row r="22" x14ac:dyDescent="0.3">
      <c r="A22" s="7" t="s">
        <v>977</v>
      </c>
      <c r="B22" s="7">
        <v>28</v>
      </c>
      <c r="C22" s="7">
        <v>17</v>
      </c>
      <c r="D22" s="7">
        <v>233</v>
      </c>
      <c r="E22" s="7">
        <v>337</v>
      </c>
      <c r="F22" s="7">
        <v>157</v>
      </c>
      <c r="G22" s="7">
        <v>5</v>
      </c>
      <c r="H22" s="7">
        <v>283</v>
      </c>
      <c r="I22" s="7">
        <v>95</v>
      </c>
      <c r="J22" s="7">
        <v>273</v>
      </c>
      <c r="K22" s="7">
        <v>206</v>
      </c>
      <c r="L22" s="7"/>
      <c r="M22" s="7"/>
      <c r="N22" s="7"/>
      <c r="O22" s="7"/>
    </row>
    <row r="23" x14ac:dyDescent="0.3">
      <c r="A23" s="7" t="s">
        <v>978</v>
      </c>
      <c r="B23" s="7">
        <v>0</v>
      </c>
      <c r="C23" s="7">
        <v>8</v>
      </c>
      <c r="D23" s="7">
        <v>430</v>
      </c>
      <c r="E23" s="7">
        <v>415</v>
      </c>
      <c r="F23" s="7">
        <v>438</v>
      </c>
      <c r="G23" s="7">
        <v>0</v>
      </c>
      <c r="H23" s="7">
        <v>391</v>
      </c>
      <c r="I23" s="7">
        <v>73</v>
      </c>
      <c r="J23" s="7">
        <v>440</v>
      </c>
      <c r="K23" s="7">
        <v>36</v>
      </c>
      <c r="L23" s="7"/>
      <c r="M23" s="7"/>
      <c r="N23" s="7"/>
      <c r="O23" s="7"/>
    </row>
    <row r="24" x14ac:dyDescent="0.3">
      <c r="A24" s="7" t="s">
        <v>979</v>
      </c>
      <c r="B24" s="7">
        <v>0</v>
      </c>
      <c r="C24" s="7">
        <v>0</v>
      </c>
      <c r="D24" s="7">
        <v>0</v>
      </c>
      <c r="E24" s="7">
        <v>6</v>
      </c>
      <c r="F24" s="7">
        <v>0</v>
      </c>
      <c r="G24" s="7">
        <v>5</v>
      </c>
      <c r="H24" s="7">
        <v>53</v>
      </c>
      <c r="I24" s="7">
        <v>27</v>
      </c>
      <c r="J24" s="7">
        <v>35</v>
      </c>
      <c r="K24" s="7">
        <v>327</v>
      </c>
      <c r="L24" s="7"/>
      <c r="M24" s="7"/>
      <c r="N24" s="7"/>
      <c r="O24" s="7"/>
    </row>
    <row r="25" x14ac:dyDescent="0.3">
      <c r="A25" s="7" t="s">
        <v>980</v>
      </c>
      <c r="B25" s="7">
        <v>0</v>
      </c>
      <c r="C25" s="7">
        <v>0</v>
      </c>
      <c r="D25" s="7">
        <v>460</v>
      </c>
      <c r="E25" s="7">
        <v>465</v>
      </c>
      <c r="F25" s="7">
        <v>465</v>
      </c>
      <c r="G25" s="7">
        <v>2</v>
      </c>
      <c r="H25" s="7">
        <v>388</v>
      </c>
      <c r="I25" s="7">
        <v>0</v>
      </c>
      <c r="J25" s="7">
        <v>289</v>
      </c>
      <c r="K25" s="7">
        <v>398</v>
      </c>
      <c r="L25" s="7"/>
      <c r="M25" s="7"/>
      <c r="N25" s="7"/>
      <c r="O25" s="7"/>
    </row>
    <row r="26" x14ac:dyDescent="0.3">
      <c r="A26" s="7" t="s">
        <v>981</v>
      </c>
      <c r="B26" s="7">
        <v>1</v>
      </c>
      <c r="C26" s="7">
        <v>12</v>
      </c>
      <c r="D26" s="7">
        <v>463</v>
      </c>
      <c r="E26" s="7">
        <v>465</v>
      </c>
      <c r="F26" s="7">
        <v>460</v>
      </c>
      <c r="G26" s="7">
        <v>0</v>
      </c>
      <c r="H26" s="7">
        <v>357</v>
      </c>
      <c r="I26" s="7">
        <v>0</v>
      </c>
      <c r="J26" s="7">
        <v>283</v>
      </c>
      <c r="K26" s="7">
        <v>0</v>
      </c>
      <c r="L26" s="7"/>
      <c r="M26" s="7"/>
      <c r="N26" s="7"/>
      <c r="O26" s="7"/>
    </row>
    <row r="27" x14ac:dyDescent="0.3">
      <c r="A27" s="7" t="s">
        <v>982</v>
      </c>
      <c r="B27" s="7">
        <v>0</v>
      </c>
      <c r="C27" s="7">
        <v>87</v>
      </c>
      <c r="D27" s="7">
        <v>0</v>
      </c>
      <c r="E27" s="7">
        <v>101</v>
      </c>
      <c r="F27" s="7">
        <v>14</v>
      </c>
      <c r="G27" s="7">
        <v>0</v>
      </c>
      <c r="H27" s="7">
        <v>19</v>
      </c>
      <c r="I27" s="7">
        <v>44</v>
      </c>
      <c r="J27" s="7">
        <v>0</v>
      </c>
      <c r="K27" s="7">
        <v>161</v>
      </c>
      <c r="L27" s="7"/>
      <c r="M27" s="7"/>
      <c r="N27" s="7"/>
      <c r="O27" s="7"/>
    </row>
    <row r="28" x14ac:dyDescent="0.3">
      <c r="A28" s="7" t="s">
        <v>983</v>
      </c>
      <c r="B28" s="7">
        <v>0</v>
      </c>
      <c r="C28" s="7">
        <v>43</v>
      </c>
      <c r="D28" s="7">
        <v>278</v>
      </c>
      <c r="E28" s="7">
        <v>292</v>
      </c>
      <c r="F28" s="7">
        <v>269</v>
      </c>
      <c r="G28" s="7">
        <v>2</v>
      </c>
      <c r="H28" s="7">
        <v>214</v>
      </c>
      <c r="I28" s="7">
        <v>1</v>
      </c>
      <c r="J28" s="7">
        <v>200</v>
      </c>
      <c r="K28" s="7">
        <v>0</v>
      </c>
      <c r="L28" s="7"/>
      <c r="M28" s="7"/>
      <c r="N28" s="7"/>
      <c r="O28" s="7"/>
    </row>
    <row r="29" x14ac:dyDescent="0.3">
      <c r="A29" s="7" t="s">
        <v>984</v>
      </c>
      <c r="B29" s="7">
        <v>0</v>
      </c>
      <c r="C29" s="7">
        <v>8</v>
      </c>
      <c r="D29" s="7">
        <v>182</v>
      </c>
      <c r="E29" s="7">
        <v>206</v>
      </c>
      <c r="F29" s="7">
        <v>286</v>
      </c>
      <c r="G29" s="7">
        <v>0</v>
      </c>
      <c r="H29" s="7">
        <v>302</v>
      </c>
      <c r="I29" s="7">
        <v>0</v>
      </c>
      <c r="J29" s="7">
        <v>126</v>
      </c>
      <c r="K29" s="7">
        <v>3</v>
      </c>
      <c r="L29" s="7"/>
      <c r="M29" s="7"/>
      <c r="N29" s="7"/>
      <c r="O29" s="7"/>
    </row>
    <row r="30" x14ac:dyDescent="0.3">
      <c r="A30" s="7" t="s">
        <v>985</v>
      </c>
      <c r="B30" s="7">
        <v>0</v>
      </c>
      <c r="C30" s="7">
        <v>4</v>
      </c>
      <c r="D30" s="7">
        <v>0</v>
      </c>
      <c r="E30" s="7">
        <v>13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9</v>
      </c>
      <c r="L30" s="7"/>
      <c r="M30" s="7"/>
      <c r="N30" s="7"/>
      <c r="O30" s="7"/>
    </row>
    <row r="31" x14ac:dyDescent="0.3">
      <c r="A31" s="7" t="s">
        <v>986</v>
      </c>
      <c r="B31" s="7">
        <v>0</v>
      </c>
      <c r="C31" s="7">
        <v>28</v>
      </c>
      <c r="D31" s="7">
        <v>395</v>
      </c>
      <c r="E31" s="7">
        <v>413</v>
      </c>
      <c r="F31" s="7">
        <v>424</v>
      </c>
      <c r="G31" s="7">
        <v>0</v>
      </c>
      <c r="H31" s="7">
        <v>383</v>
      </c>
      <c r="I31" s="7">
        <v>82</v>
      </c>
      <c r="J31" s="7">
        <v>324</v>
      </c>
      <c r="K31" s="7">
        <v>0</v>
      </c>
      <c r="L31" s="7"/>
      <c r="M31" s="7"/>
      <c r="N31" s="7"/>
      <c r="O31" s="7"/>
    </row>
    <row r="32" x14ac:dyDescent="0.3">
      <c r="A32" s="3" t="s">
        <v>987</v>
      </c>
      <c r="B32" s="3">
        <v>0</v>
      </c>
      <c r="C32" s="3">
        <v>23</v>
      </c>
      <c r="D32" s="3">
        <v>7</v>
      </c>
      <c r="E32" s="3">
        <v>465</v>
      </c>
      <c r="F32" s="3">
        <v>49</v>
      </c>
      <c r="G32" s="3">
        <v>0</v>
      </c>
      <c r="H32" s="3">
        <v>56</v>
      </c>
      <c r="I32" s="3">
        <v>10</v>
      </c>
      <c r="J32" s="3">
        <v>0</v>
      </c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993</v>
      </c>
    </row>
    <row r="2" x14ac:dyDescent="0.3">
      <c r="A2" s="0" t="s">
        <v>994</v>
      </c>
    </row>
    <row r="3" x14ac:dyDescent="0.3">
      <c r="A3" s="0" t="s">
        <v>995</v>
      </c>
    </row>
    <row r="4" x14ac:dyDescent="0.3">
      <c r="A4" s="0" t="s">
        <v>996</v>
      </c>
    </row>
    <row r="5" x14ac:dyDescent="0.3">
      <c r="A5" s="0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2025-08-15T19:31:44Z</dcterms:modified>
</cp:coreProperties>
</file>