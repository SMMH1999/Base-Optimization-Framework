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17\"/>
    </mc:Choice>
  </mc:AlternateContent>
  <xr:revisionPtr revIDLastSave="0" documentId="13_ncr:1_{A96C94CA-14BE-4428-93A8-485AF37BFF30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<sst xmlns="http://schemas.openxmlformats.org/spreadsheetml/2006/main" count="1244" uniqueCount="970">
  <si>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</si>
  <si>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</si>
  <si>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</si>
  <si>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</si>
  <si>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</si>
  <si>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</si>
  <si>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</si>
  <si>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</si>
  <si>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</si>
  <si>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</si>
  <si>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</si>
  <si>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</si>
  <si>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</si>
  <si>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</si>
  <si>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</si>
  <si>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</si>
  <si>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</si>
  <si>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</si>
  <si>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</si>
  <si>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</si>
  <si>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</si>
  <si>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</si>
  <si>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</si>
  <si>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</si>
  <si>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</si>
  <si>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</si>
  <si>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</si>
  <si>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</si>
  <si>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</si>
  <si>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</si>
  <si>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</si>
  <si>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</si>
  <si>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</si>
  <si>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</si>
  <si>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Composition
Functions</t>
  </si>
  <si>
    <t>Functions</t>
  </si>
  <si>
    <t>Column1</t>
  </si>
  <si>
    <t>Column2</t>
  </si>
  <si>
    <t>Hybrid
Function</t>
  </si>
  <si>
    <t>Comparison of optimization results for the CEC benchmark functions 2017 (100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</si>
  <si>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</si>
  <si>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</si>
  <si>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</si>
  <si>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</si>
  <si>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</si>
  <si>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</si>
  <si>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F3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</si>
  <si>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</si>
  <si>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</si>
  <si>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</si>
  <si>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</si>
  <si>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</si>
  <si>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</si>
  <si>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</si>
  <si>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</si>
  <si>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</si>
  <si>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</si>
  <si>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</si>
  <si>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</si>
  <si>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</si>
  <si>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</si>
  <si>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</si>
  <si>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</si>
  <si>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</si>
  <si>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</si>
  <si>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</si>
  <si>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</si>
  <si>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</si>
  <si>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</si>
  <si>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</si>
  <si>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</si>
  <si>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</si>
  <si>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</si>
  <si>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</si>
  <si>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</si>
  <si>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</si>
  <si>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</si>
  <si>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</si>
  <si>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</si>
  <si>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</si>
  <si>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</si>
  <si>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</si>
  <si>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</si>
  <si>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</si>
  <si>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</si>
  <si>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</si>
  <si>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</si>
  <si>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</si>
  <si>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</si>
  <si>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</si>
  <si>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</si>
  <si>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</si>
  <si>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</si>
  <si>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</si>
  <si>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</si>
  <si>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</si>
  <si>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</si>
  <si>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</si>
  <si>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</si>
  <si>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</si>
  <si>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</si>
  <si>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</si>
  <si>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</si>
  <si>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</si>
  <si>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</si>
  <si>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</si>
  <si>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</si>
  <si>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</si>
  <si>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</si>
  <si>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</si>
  <si>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</si>
  <si>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</si>
  <si>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</si>
  <si>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</si>
  <si>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</si>
  <si>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</si>
  <si>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</si>
  <si>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</si>
  <si>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</si>
  <si>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</si>
  <si>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</si>
  <si>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</si>
  <si>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</si>
  <si>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</si>
  <si>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</si>
  <si>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</si>
  <si>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</si>
  <si>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</si>
  <si>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</si>
  <si>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</si>
  <si>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</si>
  <si>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</si>
  <si>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</si>
  <si>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</si>
  <si>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</si>
  <si>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</si>
  <si>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</si>
  <si>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</si>
  <si>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</si>
  <si>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</si>
  <si>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</si>
  <si>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</si>
  <si>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</si>
  <si>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</si>
  <si>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</si>
  <si>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</si>
  <si>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</si>
  <si>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</si>
  <si>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</si>
  <si>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</si>
  <si>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</si>
  <si>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</si>
  <si>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</si>
  <si>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</si>
  <si>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</si>
  <si>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</si>
  <si>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</si>
  <si>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</si>
  <si>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</si>
  <si>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</si>
  <si>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</si>
  <si>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</si>
  <si>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</si>
  <si>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</si>
  <si>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</si>
  <si>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</si>
  <si>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</si>
  <si>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</si>
  <si>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</si>
  <si>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</si>
  <si>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</si>
  <si>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</si>
  <si>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</si>
  <si>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</si>
  <si>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</si>
  <si>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</si>
  <si>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</si>
  <si>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</si>
  <si>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</si>
  <si>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</si>
  <si>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</si>
  <si>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</si>
  <si>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</si>
  <si>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</si>
  <si>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</si>
  <si>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</si>
  <si>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</si>
  <si>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</si>
  <si>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</si>
  <si>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</si>
  <si>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</si>
  <si>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</si>
  <si>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</si>
  <si>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</si>
  <si>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</si>
  <si>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</si>
  <si>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</si>
  <si>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</si>
  <si>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</si>
  <si>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</si>
  <si>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</si>
  <si>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</si>
  <si>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</si>
  <si>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</si>
  <si>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</si>
  <si>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</si>
  <si>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</si>
  <si>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</si>
  <si>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</si>
  <si>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</si>
  <si>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</si>
  <si>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</si>
  <si>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</si>
  <si>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</si>
  <si>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</si>
  <si>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</si>
  <si>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</si>
  <si>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</si>
  <si>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</si>
  <si>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</si>
  <si>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</si>
  <si>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</si>
  <si>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</si>
  <si>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</si>
  <si>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</si>
  <si>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</si>
  <si>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</si>
  <si>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</si>
  <si>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</si>
  <si>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</si>
  <si>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</si>
  <si>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</si>
  <si>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</si>
  <si>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</si>
  <si>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</si>
  <si>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</si>
  <si>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</si>
  <si>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</si>
  <si>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</si>
  <si>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</si>
  <si>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</si>
  <si>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</si>
  <si>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</si>
  <si>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</si>
  <si>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</si>
  <si>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</si>
  <si>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</si>
  <si>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</si>
  <si>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</si>
  <si>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</si>
  <si>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</si>
  <si>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</si>
  <si>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</si>
  <si>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</si>
  <si>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</si>
  <si>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</si>
  <si>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</si>
  <si>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</si>
  <si>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</si>
  <si>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</si>
  <si>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</si>
  <si>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</si>
  <si>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</si>
  <si>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</si>
  <si>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</si>
  <si>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</si>
  <si>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</si>
  <si>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</si>
  <si>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</si>
  <si>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</si>
  <si>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</si>
  <si>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</si>
  <si>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</si>
  <si>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</si>
  <si>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</si>
  <si>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</si>
  <si>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</si>
  <si>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</si>
  <si>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</si>
  <si>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</si>
  <si>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</si>
  <si>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</si>
  <si>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</si>
  <si>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</si>
  <si>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</si>
  <si>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</si>
  <si>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</si>
  <si>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</si>
  <si>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</si>
  <si>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</si>
  <si>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</si>
  <si>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</si>
  <si>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</si>
  <si>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</si>
  <si>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</si>
  <si>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</si>
  <si>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</si>
  <si>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</si>
  <si>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</si>
  <si>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</si>
  <si>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</si>
  <si>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</si>
  <si>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</si>
  <si>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</si>
  <si>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2017 (100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</si>
  <si>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</si>
  <si>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</si>
  <si>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</si>
  <si>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</si>
  <si>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</si>
  <si>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</si>
  <si>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</si>
  <si>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</si>
  <si>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</si>
  <si>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</si>
  <si>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</si>
  <si>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</si>
  <si>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</si>
  <si>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</si>
  <si>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</si>
  <si>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2017 (100 Dim)</t>
  </si>
  <si>
    <t>H-value of the T-test analysis for the CEC benchmark functions 2017 (100 Dim)</t>
  </si>
  <si>
    <t>H-value of the Wilcoxon analysis for the CEC benchmark functions 2017 (100 Dim)</t>
  </si>
  <si>
    <t>State of the Wilcoxon analysis for the CEC benchmark functions 2017 (100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</si>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</sst>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0">
    <xf numFmtId="0" fontId="0" fillId="0" borderId="0" xfId="0"/>
    <xf numFmtId="0" fontId="0" fillId="0" borderId="3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64" fontId="0" fillId="0" borderId="4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11" fontId="0" fillId="0" borderId="5" xfId="0" applyNumberFormat="true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0" fillId="0" borderId="5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4" xfId="0" applyBorder="true"/>
    <xf numFmtId="0" fontId="0" fillId="0" borderId="3" xfId="0" applyBorder="true"/>
    <xf numFmtId="2" fontId="0" fillId="0" borderId="5" xfId="0" applyNumberForma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0" fontId="0" fillId="0" borderId="5" xfId="0" applyBorder="true"/>
    <xf numFmtId="1" fontId="0" fillId="0" borderId="3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11" fontId="2" fillId="0" borderId="2" xfId="0" applyNumberFormat="true" applyFont="true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0" fillId="0" borderId="5" xfId="0" applyBorder="true" applyAlignment="true">
      <alignment horizontal="left" vertical="top"/>
    </xf>
    <xf numFmtId="0" fontId="1" fillId="0" borderId="5" xfId="0" applyFon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0" fillId="0" borderId="4" xfId="0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0" fontId="0" fillId="0" borderId="3" xfId="0" applyBorder="true" applyAlignment="true">
      <alignment horizontal="left" vertical="top"/>
    </xf>
    <xf numFmtId="0" fontId="2" fillId="0" borderId="2" xfId="0" applyFont="true" applyBorder="true" applyAlignment="true">
      <alignment horizontal="left" vertical="top"/>
    </xf>
    <xf numFmtId="22" fontId="0" fillId="0" borderId="6" xfId="0" applyNumberFormat="true"/>
  </cellXfs>
  <cellStyles count="1">
    <cellStyle name="Normal" xfId="0" builtinId="0"/>
  </cellStyles>
  <dxfs count="39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S2:T92" totalsRowShown="false" headerRowDxfId="38" dataDxfId="37" tableBorderDxfId="36" mc:Ignorable="xr xr3" xr:uid="{00000000-000C-0000-FFFF-FFFF00000000}">
  <autoFilter ref="S2:T92" xr:uid="{00000000-0009-0000-0100-000001000000}"/>
  <tableColumns count="2">
    <tableColumn id="1" name="Column1" dataDxfId="35" xr3:uid="{00000000-0010-0000-0000-000001000000}"/>
    <tableColumn id="2" name="Column2" dataDxfId="34" xr3:uid="{00000000-0010-0000-0000-000002000000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"/>
  <sheetViews>
    <sheetView tabSelected="true" zoomScaleNormal="100" workbookViewId="0">
      <selection activeCell="L6" sqref="L6"/>
    </sheetView>
  </sheetViews>
  <sheetFormatPr defaultRowHeight="14.4" x14ac:dyDescent="0.3"/>
  <cols>
    <col min="1" max="1" width="11.33203125" style="6" bestFit="true" customWidth="true"/>
    <col min="2" max="2" width="4.046875" style="6" bestFit="true" customWidth="true"/>
    <col min="3" max="3" width="5.82421875" style="6" bestFit="true" customWidth="true"/>
    <col min="4" max="4" width="11.15625" style="6" bestFit="true" customWidth="true"/>
    <col min="13" max="13" width="8.7109375" style="6" bestFit="true" customWidth="true"/>
    <col min="19" max="20" width="10.44140625" style="6" customWidth="true"/>
    <col min="21" max="22" width="8.88671875" style="6"/>
    <col min="23" max="31" width="10.33203125" bestFit="true" customWidth="true"/>
    <col min="32" max="33" width="11.33203125" bestFit="true" customWidth="true"/>
    <col min="34" max="37" width="11.33203125" style="6" bestFit="true" customWidth="true"/>
    <col min="38" max="16384" width="8.88671875" style="6"/>
    <col min="5" max="5" width="8.7109375" style="6" bestFit="true" customWidth="true"/>
    <col min="6" max="6" width="8.7109375" style="6" bestFit="true" customWidth="true"/>
    <col min="7" max="7" width="8.7109375" style="6" bestFit="true" customWidth="true"/>
    <col min="8" max="8" width="8.7109375" style="6" bestFit="true" customWidth="true"/>
    <col min="9" max="9" width="8.7109375" style="6" bestFit="true" customWidth="true"/>
    <col min="10" max="10" width="8.7109375" style="6" bestFit="true" customWidth="true"/>
    <col min="11" max="11" width="8.7109375" style="6" bestFit="true" customWidth="true"/>
    <col min="12" max="12" width="8.7109375" style="6" bestFit="true" customWidth="true"/>
    <col min="14" max="18" width="11.33203125" style="6" bestFit="true" customWidth="true"/>
  </cols>
  <sheetData>
    <row r="1" ht="15" thickBot="true" x14ac:dyDescent="0.3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x14ac:dyDescent="0.3">
      <c r="A2" s="19" t="s">
        <v>35</v>
      </c>
      <c r="B2" s="19"/>
      <c r="C2" s="19"/>
      <c r="D2" s="14" t="s">
        <v>779</v>
      </c>
      <c r="E2" s="14" t="s">
        <v>780</v>
      </c>
      <c r="F2" s="14" t="s">
        <v>781</v>
      </c>
      <c r="G2" s="14" t="s">
        <v>782</v>
      </c>
      <c r="H2" s="14" t="s">
        <v>783</v>
      </c>
      <c r="I2" s="14" t="s">
        <v>784</v>
      </c>
      <c r="J2" s="14" t="s">
        <v>450</v>
      </c>
      <c r="K2" s="14" t="s">
        <v>451</v>
      </c>
      <c r="L2" s="14" t="s">
        <v>452</v>
      </c>
      <c r="M2" s="14" t="s">
        <v>453</v>
      </c>
      <c r="N2" s="14" t="s">
        <v>315</v>
      </c>
      <c r="O2" s="14" t="s">
        <v>316</v>
      </c>
      <c r="P2" s="14" t="s">
        <v>317</v>
      </c>
      <c r="Q2" s="14" t="s">
        <v>318</v>
      </c>
      <c r="R2" s="14" t="s">
        <v>319</v>
      </c>
      <c r="S2" s="3" t="s">
        <v>36</v>
      </c>
      <c r="T2" s="3" t="s">
        <v>37</v>
      </c>
      <c r="W2" s="14" t="s">
        <v>305</v>
      </c>
      <c r="X2" s="14" t="s">
        <v>306</v>
      </c>
      <c r="Y2" s="14" t="s">
        <v>307</v>
      </c>
      <c r="Z2" s="14" t="s">
        <v>308</v>
      </c>
      <c r="AA2" s="14" t="s">
        <v>309</v>
      </c>
      <c r="AB2" s="14" t="s">
        <v>310</v>
      </c>
      <c r="AC2" s="14" t="s">
        <v>311</v>
      </c>
      <c r="AD2" s="14" t="s">
        <v>312</v>
      </c>
      <c r="AE2" s="14" t="s">
        <v>313</v>
      </c>
      <c r="AF2" s="14" t="s">
        <v>314</v>
      </c>
      <c r="AG2" s="14" t="s">
        <v>315</v>
      </c>
      <c r="AH2" s="14" t="s">
        <v>316</v>
      </c>
      <c r="AI2" s="14" t="s">
        <v>317</v>
      </c>
      <c r="AJ2" s="14" t="s">
        <v>318</v>
      </c>
      <c r="AK2" s="14" t="s">
        <v>319</v>
      </c>
    </row>
    <row r="3" ht="14.4" customHeight="true" x14ac:dyDescent="0.3">
      <c r="A3" s="26" t="s">
        <v>32</v>
      </c>
      <c r="B3" s="27" t="s">
        <v>659</v>
      </c>
      <c r="C3" s="1" t="s">
        <v>689</v>
      </c>
      <c r="D3" s="2">
        <v>840540891.12030983</v>
      </c>
      <c r="E3" s="2">
        <v>215087802306.40387</v>
      </c>
      <c r="F3" s="2">
        <v>3383255515.2743468</v>
      </c>
      <c r="G3" s="2">
        <v>57927950202.495445</v>
      </c>
      <c r="H3" s="2">
        <v>10092944384.529573</v>
      </c>
      <c r="I3" s="2">
        <v>17516938439.810738</v>
      </c>
      <c r="J3" s="2">
        <v>205600400582.91553</v>
      </c>
      <c r="K3" s="2">
        <v>21706126867.793049</v>
      </c>
      <c r="L3" s="2">
        <v>300870509.99593151</v>
      </c>
      <c r="M3" s="2">
        <v>54480333071.522896</v>
      </c>
      <c r="N3" s="2"/>
      <c r="O3" s="2"/>
      <c r="P3" s="2"/>
      <c r="Q3" s="2"/>
      <c r="R3" s="2"/>
      <c r="S3" s="1" t="s">
        <v>0</v>
      </c>
      <c r="T3" s="1" t="s">
        <v>29</v>
      </c>
      <c r="W3" s="6">
        <f>_xlfn.RANK.EQ(D3,$D3:$R3,1)</f>
        <v>1</v>
      </c>
      <c r="X3" s="6">
        <f t="shared" ref="X3:AK3" si="0">_xlfn.RANK.EQ(E3,$D3:$R3,1)</f>
        <v>6</v>
      </c>
      <c r="Y3" s="6">
        <f t="shared" si="0"/>
        <v>2</v>
      </c>
      <c r="Z3" s="6">
        <f t="shared" si="0"/>
        <v>7</v>
      </c>
      <c r="AA3" s="6">
        <f t="shared" si="0"/>
        <v>9</v>
      </c>
      <c r="AB3" s="6">
        <f t="shared" si="0"/>
        <v>4</v>
      </c>
      <c r="AC3" s="6">
        <f t="shared" si="0"/>
        <v>8</v>
      </c>
      <c r="AD3" s="6">
        <f t="shared" si="0"/>
        <v>3</v>
      </c>
      <c r="AE3" s="6">
        <f t="shared" si="0"/>
        <v>5</v>
      </c>
      <c r="AF3" s="6" t="e">
        <f t="shared" si="0"/>
        <v>#N/A</v>
      </c>
      <c r="AG3" s="6" t="e">
        <f t="shared" si="0"/>
        <v>#N/A</v>
      </c>
      <c r="AH3" s="6" t="e">
        <f t="shared" si="0"/>
        <v>#N/A</v>
      </c>
      <c r="AI3" s="6" t="e">
        <f t="shared" si="0"/>
        <v>#N/A</v>
      </c>
      <c r="AJ3" s="6" t="e">
        <f t="shared" si="0"/>
        <v>#N/A</v>
      </c>
      <c r="AK3" s="6" t="e">
        <f t="shared" si="0"/>
        <v>#N/A</v>
      </c>
    </row>
    <row r="4" x14ac:dyDescent="0.3">
      <c r="A4" s="21"/>
      <c r="B4" s="22" t="s">
        <v>659</v>
      </c>
      <c r="C4" s="9" t="s">
        <v>690</v>
      </c>
      <c r="D4" s="7">
        <v>115549630.91654885</v>
      </c>
      <c r="E4" s="7">
        <v>13094250699.061478</v>
      </c>
      <c r="F4" s="7">
        <v>661270377.08436966</v>
      </c>
      <c r="G4" s="7">
        <v>12891092013.760012</v>
      </c>
      <c r="H4" s="7">
        <v>2385849081.2434268</v>
      </c>
      <c r="I4" s="7">
        <v>3003363057.6137595</v>
      </c>
      <c r="J4" s="7">
        <v>44354564975.418098</v>
      </c>
      <c r="K4" s="7">
        <v>8094052019.5179176</v>
      </c>
      <c r="L4" s="7">
        <v>132307932.92355791</v>
      </c>
      <c r="M4" s="7">
        <v>12164929517.66432</v>
      </c>
      <c r="N4" s="7"/>
      <c r="O4" s="7"/>
      <c r="P4" s="7"/>
      <c r="Q4" s="7"/>
      <c r="R4" s="7"/>
      <c r="S4" s="3"/>
      <c r="T4" s="3" t="s">
        <v>30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x14ac:dyDescent="0.3">
      <c r="A5" s="21"/>
      <c r="B5" s="25" t="s">
        <v>659</v>
      </c>
      <c r="C5" s="4" t="s">
        <v>691</v>
      </c>
      <c r="D5" s="5">
        <v>9.3708333333333336</v>
      </c>
      <c r="E5" s="5">
        <v>2.1437499999999998</v>
      </c>
      <c r="F5" s="5">
        <v>1.4328125</v>
      </c>
      <c r="G5" s="5">
        <v>0.9604166666666667</v>
      </c>
      <c r="H5" s="5">
        <v>0.77187499999999998</v>
      </c>
      <c r="I5" s="5">
        <v>0.74062499999999998</v>
      </c>
      <c r="J5" s="5">
        <v>8.7640624999999996</v>
      </c>
      <c r="K5" s="5">
        <v>0.97499999999999998</v>
      </c>
      <c r="L5" s="5">
        <v>2.5239583333333333</v>
      </c>
      <c r="M5" s="5">
        <v>1.0416666666666667</v>
      </c>
      <c r="N5" s="5"/>
      <c r="O5" s="5"/>
      <c r="P5" s="5"/>
      <c r="Q5" s="5"/>
      <c r="R5" s="5"/>
      <c r="S5" s="4"/>
      <c r="T5" s="4" t="s">
        <v>31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x14ac:dyDescent="0.3">
      <c r="A6" s="8"/>
      <c r="B6" s="9" t="s">
        <v>660</v>
      </c>
      <c r="C6" s="9" t="s">
        <v>692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9"/>
      <c r="T6" s="9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x14ac:dyDescent="0.3">
      <c r="A7" s="8"/>
      <c r="B7" s="9" t="s">
        <v>660</v>
      </c>
      <c r="C7" s="9" t="s">
        <v>693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x14ac:dyDescent="0.3">
      <c r="A8" s="8"/>
      <c r="B8" s="9" t="s">
        <v>660</v>
      </c>
      <c r="C8" s="9" t="s">
        <v>694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9"/>
      <c r="T8" s="9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x14ac:dyDescent="0.3">
      <c r="A9" s="26" t="s">
        <v>33</v>
      </c>
      <c r="B9" s="27" t="s">
        <v>661</v>
      </c>
      <c r="C9" s="1" t="s">
        <v>695</v>
      </c>
      <c r="D9" s="2">
        <v>172655.12162690729</v>
      </c>
      <c r="E9" s="2">
        <v>355383.85743931954</v>
      </c>
      <c r="F9" s="2">
        <v>352632.80574109469</v>
      </c>
      <c r="G9" s="2">
        <v>476424.28747895092</v>
      </c>
      <c r="H9" s="2">
        <v>746747.03636829113</v>
      </c>
      <c r="I9" s="2">
        <v>671286.52594940423</v>
      </c>
      <c r="J9" s="2">
        <v>1438101.7141391253</v>
      </c>
      <c r="K9" s="2">
        <v>459833.5865893279</v>
      </c>
      <c r="L9" s="2">
        <v>578575.6146560713</v>
      </c>
      <c r="M9" s="2">
        <v>503210.43755610794</v>
      </c>
      <c r="N9" s="2"/>
      <c r="O9" s="2"/>
      <c r="P9" s="2"/>
      <c r="Q9" s="2"/>
      <c r="R9" s="2"/>
      <c r="S9" s="1" t="s">
        <v>1</v>
      </c>
      <c r="T9" s="1" t="s">
        <v>29</v>
      </c>
      <c r="W9" s="6">
        <f t="shared" ref="W9" si="1">_xlfn.RANK.EQ(D9,$D9:$R9,1)</f>
        <v>1</v>
      </c>
      <c r="X9" s="6">
        <f t="shared" ref="X9" si="2">_xlfn.RANK.EQ(E9,$D9:$R9,1)</f>
        <v>3</v>
      </c>
      <c r="Y9" s="6">
        <f t="shared" ref="Y9" si="3">_xlfn.RANK.EQ(F9,$D9:$R9,1)</f>
        <v>4</v>
      </c>
      <c r="Z9" s="6">
        <f t="shared" ref="Z9" si="4">_xlfn.RANK.EQ(G9,$D9:$R9,1)</f>
        <v>8</v>
      </c>
      <c r="AA9" s="6">
        <f t="shared" ref="AA9" si="5">_xlfn.RANK.EQ(H9,$D9:$R9,1)</f>
        <v>9</v>
      </c>
      <c r="AB9" s="6">
        <f t="shared" ref="AB9" si="6">_xlfn.RANK.EQ(I9,$D9:$R9,1)</f>
        <v>6</v>
      </c>
      <c r="AC9" s="6">
        <f t="shared" ref="AC9" si="7">_xlfn.RANK.EQ(J9,$D9:$R9,1)</f>
        <v>2</v>
      </c>
      <c r="AD9" s="6">
        <f t="shared" ref="AD9" si="8">_xlfn.RANK.EQ(K9,$D9:$R9,1)</f>
        <v>7</v>
      </c>
      <c r="AE9" s="6">
        <f t="shared" ref="AE9" si="9">_xlfn.RANK.EQ(L9,$D9:$R9,1)</f>
        <v>5</v>
      </c>
      <c r="AF9" s="6" t="e">
        <f t="shared" ref="AF9" si="10">_xlfn.RANK.EQ(M9,$D9:$R9,1)</f>
        <v>#N/A</v>
      </c>
      <c r="AG9" s="6" t="e">
        <f t="shared" ref="AG9" si="11">_xlfn.RANK.EQ(N9,$D9:$R9,1)</f>
        <v>#N/A</v>
      </c>
      <c r="AH9" s="6" t="e">
        <f t="shared" ref="AH9" si="12">_xlfn.RANK.EQ(O9,$D9:$R9,1)</f>
        <v>#N/A</v>
      </c>
      <c r="AI9" s="6" t="e">
        <f t="shared" ref="AI9" si="13">_xlfn.RANK.EQ(P9,$D9:$R9,1)</f>
        <v>#N/A</v>
      </c>
      <c r="AJ9" s="6" t="e">
        <f t="shared" ref="AJ9" si="14">_xlfn.RANK.EQ(Q9,$D9:$R9,1)</f>
        <v>#N/A</v>
      </c>
      <c r="AK9" s="6" t="e">
        <f t="shared" ref="AK9" si="15">_xlfn.RANK.EQ(R9,$D9:$R9,1)</f>
        <v>#N/A</v>
      </c>
    </row>
    <row r="10" x14ac:dyDescent="0.3">
      <c r="A10" s="21"/>
      <c r="B10" s="22" t="s">
        <v>661</v>
      </c>
      <c r="C10" s="9" t="s">
        <v>696</v>
      </c>
      <c r="D10" s="7">
        <v>20746.174031426533</v>
      </c>
      <c r="E10" s="7">
        <v>13176.538500833565</v>
      </c>
      <c r="F10" s="7">
        <v>102457.83667238757</v>
      </c>
      <c r="G10" s="7">
        <v>60601.053172971042</v>
      </c>
      <c r="H10" s="7">
        <v>97140.69175963114</v>
      </c>
      <c r="I10" s="7">
        <v>110715.356196215</v>
      </c>
      <c r="J10" s="7">
        <v>382403.73544224701</v>
      </c>
      <c r="K10" s="7">
        <v>90755.822685257954</v>
      </c>
      <c r="L10" s="7">
        <v>101205.80030140435</v>
      </c>
      <c r="M10" s="7">
        <v>85976.864274921172</v>
      </c>
      <c r="N10" s="7"/>
      <c r="O10" s="7"/>
      <c r="P10" s="7"/>
      <c r="Q10" s="7"/>
      <c r="R10" s="7"/>
      <c r="S10" s="3"/>
      <c r="T10" s="3" t="s">
        <v>30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x14ac:dyDescent="0.3">
      <c r="A11" s="21"/>
      <c r="B11" s="25" t="s">
        <v>661</v>
      </c>
      <c r="C11" s="4" t="s">
        <v>697</v>
      </c>
      <c r="D11" s="5">
        <v>9.4250000000000007</v>
      </c>
      <c r="E11" s="5">
        <v>2.1479166666666667</v>
      </c>
      <c r="F11" s="5">
        <v>1.4354166666666666</v>
      </c>
      <c r="G11" s="5">
        <v>0.95729166666666665</v>
      </c>
      <c r="H11" s="5">
        <v>0.75677083333333328</v>
      </c>
      <c r="I11" s="5">
        <v>0.7182291666666667</v>
      </c>
      <c r="J11" s="5">
        <v>12.281770833333333</v>
      </c>
      <c r="K11" s="5">
        <v>0.9765625</v>
      </c>
      <c r="L11" s="5">
        <v>2.2828124999999999</v>
      </c>
      <c r="M11" s="5">
        <v>0.984375</v>
      </c>
      <c r="N11" s="5"/>
      <c r="O11" s="5"/>
      <c r="P11" s="5"/>
      <c r="Q11" s="5"/>
      <c r="R11" s="5"/>
      <c r="S11" s="4"/>
      <c r="T11" s="4" t="s">
        <v>31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ht="14.4" customHeight="true" x14ac:dyDescent="0.3">
      <c r="A12" s="21"/>
      <c r="B12" s="27" t="s">
        <v>662</v>
      </c>
      <c r="C12" s="1" t="s">
        <v>698</v>
      </c>
      <c r="D12" s="2">
        <v>1057.3825970779023</v>
      </c>
      <c r="E12" s="2">
        <v>58370.956568864611</v>
      </c>
      <c r="F12" s="2">
        <v>1792.2703035666775</v>
      </c>
      <c r="G12" s="2">
        <v>6454.7571835848757</v>
      </c>
      <c r="H12" s="2">
        <v>2187.208932403928</v>
      </c>
      <c r="I12" s="2">
        <v>2800.0994285076208</v>
      </c>
      <c r="J12" s="2">
        <v>51026.286513841806</v>
      </c>
      <c r="K12" s="2">
        <v>3312.3572896575483</v>
      </c>
      <c r="L12" s="2">
        <v>1148.9414180567123</v>
      </c>
      <c r="M12" s="2">
        <v>5912.5726819602669</v>
      </c>
      <c r="N12" s="2"/>
      <c r="O12" s="2"/>
      <c r="P12" s="2"/>
      <c r="Q12" s="2"/>
      <c r="R12" s="2"/>
      <c r="S12" s="1" t="s">
        <v>2</v>
      </c>
      <c r="T12" s="1" t="s">
        <v>29</v>
      </c>
      <c r="W12" s="6">
        <f t="shared" ref="W12" si="16">_xlfn.RANK.EQ(D12,$D12:$R12,1)</f>
        <v>1</v>
      </c>
      <c r="X12" s="6">
        <f t="shared" ref="X12" si="17">_xlfn.RANK.EQ(E12,$D12:$R12,1)</f>
        <v>6</v>
      </c>
      <c r="Y12" s="6">
        <f t="shared" ref="Y12" si="18">_xlfn.RANK.EQ(F12,$D12:$R12,1)</f>
        <v>2</v>
      </c>
      <c r="Z12" s="6">
        <f t="shared" ref="Z12" si="19">_xlfn.RANK.EQ(G12,$D12:$R12,1)</f>
        <v>7</v>
      </c>
      <c r="AA12" s="6">
        <f t="shared" ref="AA12" si="20">_xlfn.RANK.EQ(H12,$D12:$R12,1)</f>
        <v>8</v>
      </c>
      <c r="AB12" s="6">
        <f t="shared" ref="AB12" si="21">_xlfn.RANK.EQ(I12,$D12:$R12,1)</f>
        <v>3</v>
      </c>
      <c r="AC12" s="6">
        <f t="shared" ref="AC12" si="22">_xlfn.RANK.EQ(J12,$D12:$R12,1)</f>
        <v>9</v>
      </c>
      <c r="AD12" s="6">
        <f t="shared" ref="AD12" si="23">_xlfn.RANK.EQ(K12,$D12:$R12,1)</f>
        <v>4</v>
      </c>
      <c r="AE12" s="6">
        <f t="shared" ref="AE12" si="24">_xlfn.RANK.EQ(L12,$D12:$R12,1)</f>
        <v>5</v>
      </c>
      <c r="AF12" s="6" t="e">
        <f t="shared" ref="AF12" si="25">_xlfn.RANK.EQ(M12,$D12:$R12,1)</f>
        <v>#N/A</v>
      </c>
      <c r="AG12" s="6" t="e">
        <f t="shared" ref="AG12" si="26">_xlfn.RANK.EQ(N12,$D12:$R12,1)</f>
        <v>#N/A</v>
      </c>
      <c r="AH12" s="6" t="e">
        <f t="shared" ref="AH12" si="27">_xlfn.RANK.EQ(O12,$D12:$R12,1)</f>
        <v>#N/A</v>
      </c>
      <c r="AI12" s="6" t="e">
        <f t="shared" ref="AI12" si="28">_xlfn.RANK.EQ(P12,$D12:$R12,1)</f>
        <v>#N/A</v>
      </c>
      <c r="AJ12" s="6" t="e">
        <f t="shared" ref="AJ12" si="29">_xlfn.RANK.EQ(Q12,$D12:$R12,1)</f>
        <v>#N/A</v>
      </c>
      <c r="AK12" s="6" t="e">
        <f t="shared" ref="AK12" si="30">_xlfn.RANK.EQ(R12,$D12:$R12,1)</f>
        <v>#N/A</v>
      </c>
    </row>
    <row r="13" x14ac:dyDescent="0.3">
      <c r="A13" s="21"/>
      <c r="B13" s="22" t="s">
        <v>662</v>
      </c>
      <c r="C13" s="9" t="s">
        <v>699</v>
      </c>
      <c r="D13" s="7">
        <v>68.500998540318236</v>
      </c>
      <c r="E13" s="7">
        <v>9002.6970044906284</v>
      </c>
      <c r="F13" s="7">
        <v>233.76955249669487</v>
      </c>
      <c r="G13" s="7">
        <v>2867.9281952224642</v>
      </c>
      <c r="H13" s="7">
        <v>323.45782295253053</v>
      </c>
      <c r="I13" s="7">
        <v>525.15309856475108</v>
      </c>
      <c r="J13" s="7">
        <v>18527.36788362241</v>
      </c>
      <c r="K13" s="7">
        <v>1695.7939204943018</v>
      </c>
      <c r="L13" s="7">
        <v>91.570437925984024</v>
      </c>
      <c r="M13" s="7">
        <v>1531.2383256982109</v>
      </c>
      <c r="N13" s="7"/>
      <c r="O13" s="7"/>
      <c r="P13" s="7"/>
      <c r="Q13" s="7"/>
      <c r="R13" s="7"/>
      <c r="S13" s="3"/>
      <c r="T13" s="3" t="s">
        <v>30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x14ac:dyDescent="0.3">
      <c r="A14" s="21"/>
      <c r="B14" s="25" t="s">
        <v>662</v>
      </c>
      <c r="C14" s="4" t="s">
        <v>700</v>
      </c>
      <c r="D14" s="5">
        <v>9.2750000000000004</v>
      </c>
      <c r="E14" s="5">
        <v>2.1291666666666669</v>
      </c>
      <c r="F14" s="5">
        <v>1.4557291666666667</v>
      </c>
      <c r="G14" s="5">
        <v>0.9526041666666667</v>
      </c>
      <c r="H14" s="5">
        <v>0.75260416666666663</v>
      </c>
      <c r="I14" s="5">
        <v>0.71406250000000004</v>
      </c>
      <c r="J14" s="5">
        <v>9.2447916666666661</v>
      </c>
      <c r="K14" s="5">
        <v>0.92708333333333337</v>
      </c>
      <c r="L14" s="5">
        <v>2.2708333333333335</v>
      </c>
      <c r="M14" s="5">
        <v>0.98593750000000002</v>
      </c>
      <c r="N14" s="5"/>
      <c r="O14" s="5"/>
      <c r="P14" s="5"/>
      <c r="Q14" s="5"/>
      <c r="R14" s="5"/>
      <c r="S14" s="4"/>
      <c r="T14" s="4" t="s">
        <v>31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x14ac:dyDescent="0.3">
      <c r="A15" s="21"/>
      <c r="B15" s="27" t="s">
        <v>663</v>
      </c>
      <c r="C15" s="1" t="s">
        <v>701</v>
      </c>
      <c r="D15" s="2">
        <v>1557.8386448880835</v>
      </c>
      <c r="E15" s="2">
        <v>1998.4687833844034</v>
      </c>
      <c r="F15" s="2">
        <v>1620.3413777298672</v>
      </c>
      <c r="G15" s="2">
        <v>1278.8307314719093</v>
      </c>
      <c r="H15" s="2">
        <v>1464.9039212546083</v>
      </c>
      <c r="I15" s="2">
        <v>1363.539997052422</v>
      </c>
      <c r="J15" s="2">
        <v>2132.1940760927905</v>
      </c>
      <c r="K15" s="2">
        <v>1497.720183181948</v>
      </c>
      <c r="L15" s="2">
        <v>1435.5410649918567</v>
      </c>
      <c r="M15" s="2">
        <v>1285.1546130987699</v>
      </c>
      <c r="N15" s="2"/>
      <c r="O15" s="2"/>
      <c r="P15" s="2"/>
      <c r="Q15" s="2"/>
      <c r="R15" s="2"/>
      <c r="S15" s="1" t="s">
        <v>3</v>
      </c>
      <c r="T15" s="1" t="s">
        <v>29</v>
      </c>
      <c r="W15" s="6">
        <f t="shared" ref="W15" si="31">_xlfn.RANK.EQ(D15,$D15:$R15,1)</f>
        <v>1</v>
      </c>
      <c r="X15" s="6">
        <f t="shared" ref="X15" si="32">_xlfn.RANK.EQ(E15,$D15:$R15,1)</f>
        <v>5</v>
      </c>
      <c r="Y15" s="6">
        <f t="shared" ref="Y15" si="33">_xlfn.RANK.EQ(F15,$D15:$R15,1)</f>
        <v>3</v>
      </c>
      <c r="Z15" s="6">
        <f t="shared" ref="Z15" si="34">_xlfn.RANK.EQ(G15,$D15:$R15,1)</f>
        <v>8</v>
      </c>
      <c r="AA15" s="6">
        <f t="shared" ref="AA15" si="35">_xlfn.RANK.EQ(H15,$D15:$R15,1)</f>
        <v>9</v>
      </c>
      <c r="AB15" s="6">
        <f t="shared" ref="AB15" si="36">_xlfn.RANK.EQ(I15,$D15:$R15,1)</f>
        <v>6</v>
      </c>
      <c r="AC15" s="6">
        <f t="shared" ref="AC15" si="37">_xlfn.RANK.EQ(J15,$D15:$R15,1)</f>
        <v>7</v>
      </c>
      <c r="AD15" s="6">
        <f t="shared" ref="AD15" si="38">_xlfn.RANK.EQ(K15,$D15:$R15,1)</f>
        <v>4</v>
      </c>
      <c r="AE15" s="6">
        <f t="shared" ref="AE15" si="39">_xlfn.RANK.EQ(L15,$D15:$R15,1)</f>
        <v>2</v>
      </c>
      <c r="AF15" s="6" t="e">
        <f t="shared" ref="AF15" si="40">_xlfn.RANK.EQ(M15,$D15:$R15,1)</f>
        <v>#N/A</v>
      </c>
      <c r="AG15" s="6" t="e">
        <f t="shared" ref="AG15" si="41">_xlfn.RANK.EQ(N15,$D15:$R15,1)</f>
        <v>#N/A</v>
      </c>
      <c r="AH15" s="6" t="e">
        <f t="shared" ref="AH15" si="42">_xlfn.RANK.EQ(O15,$D15:$R15,1)</f>
        <v>#N/A</v>
      </c>
      <c r="AI15" s="6" t="e">
        <f t="shared" ref="AI15" si="43">_xlfn.RANK.EQ(P15,$D15:$R15,1)</f>
        <v>#N/A</v>
      </c>
      <c r="AJ15" s="6" t="e">
        <f t="shared" ref="AJ15" si="44">_xlfn.RANK.EQ(Q15,$D15:$R15,1)</f>
        <v>#N/A</v>
      </c>
      <c r="AK15" s="6" t="e">
        <f t="shared" ref="AK15" si="45">_xlfn.RANK.EQ(R15,$D15:$R15,1)</f>
        <v>#N/A</v>
      </c>
    </row>
    <row r="16" x14ac:dyDescent="0.3">
      <c r="A16" s="21"/>
      <c r="B16" s="22" t="s">
        <v>663</v>
      </c>
      <c r="C16" s="9" t="s">
        <v>702</v>
      </c>
      <c r="D16" s="7">
        <v>53.421403452299622</v>
      </c>
      <c r="E16" s="7">
        <v>58.733504725673903</v>
      </c>
      <c r="F16" s="7">
        <v>49.584105534498683</v>
      </c>
      <c r="G16" s="7">
        <v>130.87354269754186</v>
      </c>
      <c r="H16" s="7">
        <v>123.04739437792794</v>
      </c>
      <c r="I16" s="7">
        <v>63.529229007961916</v>
      </c>
      <c r="J16" s="7">
        <v>116.138294987469</v>
      </c>
      <c r="K16" s="7">
        <v>108.98752162345552</v>
      </c>
      <c r="L16" s="7">
        <v>91.116934096577523</v>
      </c>
      <c r="M16" s="7">
        <v>111.65651959265539</v>
      </c>
      <c r="N16" s="7"/>
      <c r="O16" s="7"/>
      <c r="P16" s="7"/>
      <c r="Q16" s="7"/>
      <c r="R16" s="7"/>
      <c r="S16" s="3"/>
      <c r="T16" s="3" t="s">
        <v>30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x14ac:dyDescent="0.3">
      <c r="A17" s="21"/>
      <c r="B17" s="25" t="s">
        <v>663</v>
      </c>
      <c r="C17" s="4" t="s">
        <v>703</v>
      </c>
      <c r="D17" s="5">
        <v>10.619270833333333</v>
      </c>
      <c r="E17" s="5">
        <v>2.4895833333333335</v>
      </c>
      <c r="F17" s="5">
        <v>1.6125</v>
      </c>
      <c r="G17" s="5">
        <v>1.0505208333333333</v>
      </c>
      <c r="H17" s="5">
        <v>0.81510416666666663</v>
      </c>
      <c r="I17" s="5">
        <v>0.77916666666666667</v>
      </c>
      <c r="J17" s="5">
        <v>10.495833333333334</v>
      </c>
      <c r="K17" s="5">
        <v>1.0270833333333333</v>
      </c>
      <c r="L17" s="5">
        <v>2.3526041666666666</v>
      </c>
      <c r="M17" s="5">
        <v>1.1135416666666667</v>
      </c>
      <c r="N17" s="5"/>
      <c r="O17" s="5"/>
      <c r="P17" s="5"/>
      <c r="Q17" s="5"/>
      <c r="R17" s="5"/>
      <c r="S17" s="4"/>
      <c r="T17" s="4" t="s">
        <v>31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x14ac:dyDescent="0.3">
      <c r="A18" s="21"/>
      <c r="B18" s="27" t="s">
        <v>664</v>
      </c>
      <c r="C18" s="1" t="s">
        <v>704</v>
      </c>
      <c r="D18" s="2">
        <v>682.71927887087907</v>
      </c>
      <c r="E18" s="2">
        <v>705.89230133713238</v>
      </c>
      <c r="F18" s="2">
        <v>689.39361716782446</v>
      </c>
      <c r="G18" s="2">
        <v>650.20552803915018</v>
      </c>
      <c r="H18" s="2">
        <v>640.93284167295712</v>
      </c>
      <c r="I18" s="2">
        <v>621.44800409340439</v>
      </c>
      <c r="J18" s="2">
        <v>710.9153335945573</v>
      </c>
      <c r="K18" s="2">
        <v>663.87228374964786</v>
      </c>
      <c r="L18" s="2">
        <v>667.05504754645187</v>
      </c>
      <c r="M18" s="2">
        <v>649.6157216092405</v>
      </c>
      <c r="N18" s="2"/>
      <c r="O18" s="2"/>
      <c r="P18" s="2"/>
      <c r="Q18" s="2"/>
      <c r="R18" s="2"/>
      <c r="S18" s="1" t="s">
        <v>4</v>
      </c>
      <c r="T18" s="1" t="s">
        <v>29</v>
      </c>
      <c r="W18" s="6">
        <f t="shared" ref="W18" si="46">_xlfn.RANK.EQ(D18,$D18:$R18,1)</f>
        <v>3</v>
      </c>
      <c r="X18" s="6">
        <f t="shared" ref="X18" si="47">_xlfn.RANK.EQ(E18,$D18:$R18,1)</f>
        <v>4</v>
      </c>
      <c r="Y18" s="6">
        <f t="shared" ref="Y18" si="48">_xlfn.RANK.EQ(F18,$D18:$R18,1)</f>
        <v>5</v>
      </c>
      <c r="Z18" s="6">
        <f t="shared" ref="Z18" si="49">_xlfn.RANK.EQ(G18,$D18:$R18,1)</f>
        <v>6</v>
      </c>
      <c r="AA18" s="6">
        <f t="shared" ref="AA18" si="50">_xlfn.RANK.EQ(H18,$D18:$R18,1)</f>
        <v>9</v>
      </c>
      <c r="AB18" s="6">
        <f t="shared" ref="AB18" si="51">_xlfn.RANK.EQ(I18,$D18:$R18,1)</f>
        <v>8</v>
      </c>
      <c r="AC18" s="6">
        <f t="shared" ref="AC18" si="52">_xlfn.RANK.EQ(J18,$D18:$R18,1)</f>
        <v>7</v>
      </c>
      <c r="AD18" s="6">
        <f t="shared" ref="AD18" si="53">_xlfn.RANK.EQ(K18,$D18:$R18,1)</f>
        <v>2</v>
      </c>
      <c r="AE18" s="6">
        <f t="shared" ref="AE18" si="54">_xlfn.RANK.EQ(L18,$D18:$R18,1)</f>
        <v>1</v>
      </c>
      <c r="AF18" s="6" t="e">
        <f t="shared" ref="AF18" si="55">_xlfn.RANK.EQ(M18,$D18:$R18,1)</f>
        <v>#N/A</v>
      </c>
      <c r="AG18" s="6" t="e">
        <f t="shared" ref="AG18" si="56">_xlfn.RANK.EQ(N18,$D18:$R18,1)</f>
        <v>#N/A</v>
      </c>
      <c r="AH18" s="6" t="e">
        <f t="shared" ref="AH18" si="57">_xlfn.RANK.EQ(O18,$D18:$R18,1)</f>
        <v>#N/A</v>
      </c>
      <c r="AI18" s="6" t="e">
        <f t="shared" ref="AI18" si="58">_xlfn.RANK.EQ(P18,$D18:$R18,1)</f>
        <v>#N/A</v>
      </c>
      <c r="AJ18" s="6" t="e">
        <f t="shared" ref="AJ18" si="59">_xlfn.RANK.EQ(Q18,$D18:$R18,1)</f>
        <v>#N/A</v>
      </c>
      <c r="AK18" s="6" t="e">
        <f t="shared" ref="AK18" si="60">_xlfn.RANK.EQ(R18,$D18:$R18,1)</f>
        <v>#N/A</v>
      </c>
    </row>
    <row r="19" x14ac:dyDescent="0.3">
      <c r="A19" s="21"/>
      <c r="B19" s="22" t="s">
        <v>664</v>
      </c>
      <c r="C19" s="9" t="s">
        <v>705</v>
      </c>
      <c r="D19" s="7">
        <v>5.876035521268026</v>
      </c>
      <c r="E19" s="7">
        <v>4.6566319278601878</v>
      </c>
      <c r="F19" s="7">
        <v>3.3188888622032175</v>
      </c>
      <c r="G19" s="7">
        <v>7.8897078506612068</v>
      </c>
      <c r="H19" s="7">
        <v>5.680240479399191</v>
      </c>
      <c r="I19" s="7">
        <v>1.9446280582679791</v>
      </c>
      <c r="J19" s="7">
        <v>9.2129280153385427</v>
      </c>
      <c r="K19" s="7">
        <v>7.8018643651156756</v>
      </c>
      <c r="L19" s="7">
        <v>3.8256483560857597</v>
      </c>
      <c r="M19" s="7">
        <v>7.4679918007803998</v>
      </c>
      <c r="N19" s="7"/>
      <c r="O19" s="7"/>
      <c r="P19" s="7"/>
      <c r="Q19" s="7"/>
      <c r="R19" s="7"/>
      <c r="S19" s="3"/>
      <c r="T19" s="3" t="s">
        <v>30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x14ac:dyDescent="0.3">
      <c r="A20" s="21"/>
      <c r="B20" s="25" t="s">
        <v>664</v>
      </c>
      <c r="C20" s="4" t="s">
        <v>706</v>
      </c>
      <c r="D20" s="5">
        <v>15.0765625</v>
      </c>
      <c r="E20" s="5">
        <v>3.6421874999999999</v>
      </c>
      <c r="F20" s="5">
        <v>2.2734375</v>
      </c>
      <c r="G20" s="5">
        <v>1.3208333333333333</v>
      </c>
      <c r="H20" s="5">
        <v>1.1411458333333333</v>
      </c>
      <c r="I20" s="5">
        <v>1.0895833333333333</v>
      </c>
      <c r="J20" s="5">
        <v>12.661979166666667</v>
      </c>
      <c r="K20" s="5">
        <v>1.3630208333333333</v>
      </c>
      <c r="L20" s="5">
        <v>2.6786458333333334</v>
      </c>
      <c r="M20" s="5">
        <v>1.359375</v>
      </c>
      <c r="N20" s="5"/>
      <c r="O20" s="5"/>
      <c r="P20" s="5"/>
      <c r="Q20" s="5"/>
      <c r="R20" s="5"/>
      <c r="S20" s="4"/>
      <c r="T20" s="4" t="s">
        <v>31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x14ac:dyDescent="0.3">
      <c r="A21" s="21"/>
      <c r="B21" s="27" t="s">
        <v>665</v>
      </c>
      <c r="C21" s="1" t="s">
        <v>707</v>
      </c>
      <c r="D21" s="2">
        <v>3086.6773681399936</v>
      </c>
      <c r="E21" s="2">
        <v>3872.516249765431</v>
      </c>
      <c r="F21" s="2">
        <v>3764.8242937525251</v>
      </c>
      <c r="G21" s="2">
        <v>2238.8278682418586</v>
      </c>
      <c r="H21" s="2">
        <v>2650.4787058528423</v>
      </c>
      <c r="I21" s="2">
        <v>2301.6253665950344</v>
      </c>
      <c r="J21" s="2">
        <v>4521.6594108344561</v>
      </c>
      <c r="K21" s="2">
        <v>3004.6654594043725</v>
      </c>
      <c r="L21" s="2">
        <v>4658.0556948640988</v>
      </c>
      <c r="M21" s="2">
        <v>2296.0882220743902</v>
      </c>
      <c r="N21" s="2"/>
      <c r="O21" s="2"/>
      <c r="P21" s="2"/>
      <c r="Q21" s="2"/>
      <c r="R21" s="2"/>
      <c r="S21" s="1" t="s">
        <v>5</v>
      </c>
      <c r="T21" s="1" t="s">
        <v>29</v>
      </c>
      <c r="W21" s="6">
        <f t="shared" ref="W21" si="61">_xlfn.RANK.EQ(D21,$D21:$R21,1)</f>
        <v>3</v>
      </c>
      <c r="X21" s="6">
        <f t="shared" ref="X21" si="62">_xlfn.RANK.EQ(E21,$D21:$R21,1)</f>
        <v>5</v>
      </c>
      <c r="Y21" s="6">
        <f t="shared" ref="Y21" si="63">_xlfn.RANK.EQ(F21,$D21:$R21,1)</f>
        <v>8</v>
      </c>
      <c r="Z21" s="6">
        <f t="shared" ref="Z21" si="64">_xlfn.RANK.EQ(G21,$D21:$R21,1)</f>
        <v>9</v>
      </c>
      <c r="AA21" s="6">
        <f t="shared" ref="AA21" si="65">_xlfn.RANK.EQ(H21,$D21:$R21,1)</f>
        <v>7</v>
      </c>
      <c r="AB21" s="6">
        <f t="shared" ref="AB21" si="66">_xlfn.RANK.EQ(I21,$D21:$R21,1)</f>
        <v>4</v>
      </c>
      <c r="AC21" s="6">
        <f t="shared" ref="AC21" si="67">_xlfn.RANK.EQ(J21,$D21:$R21,1)</f>
        <v>6</v>
      </c>
      <c r="AD21" s="6">
        <f t="shared" ref="AD21" si="68">_xlfn.RANK.EQ(K21,$D21:$R21,1)</f>
        <v>2</v>
      </c>
      <c r="AE21" s="6">
        <f t="shared" ref="AE21" si="69">_xlfn.RANK.EQ(L21,$D21:$R21,1)</f>
        <v>1</v>
      </c>
      <c r="AF21" s="6" t="e">
        <f t="shared" ref="AF21" si="70">_xlfn.RANK.EQ(M21,$D21:$R21,1)</f>
        <v>#N/A</v>
      </c>
      <c r="AG21" s="6" t="e">
        <f t="shared" ref="AG21" si="71">_xlfn.RANK.EQ(N21,$D21:$R21,1)</f>
        <v>#N/A</v>
      </c>
      <c r="AH21" s="6" t="e">
        <f t="shared" ref="AH21" si="72">_xlfn.RANK.EQ(O21,$D21:$R21,1)</f>
        <v>#N/A</v>
      </c>
      <c r="AI21" s="6" t="e">
        <f t="shared" ref="AI21" si="73">_xlfn.RANK.EQ(P21,$D21:$R21,1)</f>
        <v>#N/A</v>
      </c>
      <c r="AJ21" s="6" t="e">
        <f t="shared" ref="AJ21" si="74">_xlfn.RANK.EQ(Q21,$D21:$R21,1)</f>
        <v>#N/A</v>
      </c>
      <c r="AK21" s="6" t="e">
        <f t="shared" ref="AK21" si="75">_xlfn.RANK.EQ(R21,$D21:$R21,1)</f>
        <v>#N/A</v>
      </c>
    </row>
    <row r="22" x14ac:dyDescent="0.3">
      <c r="A22" s="21"/>
      <c r="B22" s="22" t="s">
        <v>665</v>
      </c>
      <c r="C22" s="9" t="s">
        <v>708</v>
      </c>
      <c r="D22" s="7">
        <v>158.38797728452204</v>
      </c>
      <c r="E22" s="7">
        <v>87.845552257368354</v>
      </c>
      <c r="F22" s="7">
        <v>103.56448810532079</v>
      </c>
      <c r="G22" s="7">
        <v>183.08263701666911</v>
      </c>
      <c r="H22" s="7">
        <v>162.4918356530199</v>
      </c>
      <c r="I22" s="7">
        <v>124.31646154911728</v>
      </c>
      <c r="J22" s="7">
        <v>567.01174234886525</v>
      </c>
      <c r="K22" s="7">
        <v>439.9452129332837</v>
      </c>
      <c r="L22" s="7">
        <v>371.02824732238787</v>
      </c>
      <c r="M22" s="7">
        <v>201.88843489117059</v>
      </c>
      <c r="N22" s="7"/>
      <c r="O22" s="7"/>
      <c r="P22" s="7"/>
      <c r="Q22" s="7"/>
      <c r="R22" s="7"/>
      <c r="S22" s="3"/>
      <c r="T22" s="3" t="s">
        <v>30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x14ac:dyDescent="0.3">
      <c r="A23" s="21"/>
      <c r="B23" s="25" t="s">
        <v>665</v>
      </c>
      <c r="C23" s="4" t="s">
        <v>709</v>
      </c>
      <c r="D23" s="5">
        <v>10.580208333333333</v>
      </c>
      <c r="E23" s="5">
        <v>2.4692708333333333</v>
      </c>
      <c r="F23" s="5">
        <v>1.6104166666666666</v>
      </c>
      <c r="G23" s="5">
        <v>1.0322916666666666</v>
      </c>
      <c r="H23" s="5">
        <v>0.87343749999999998</v>
      </c>
      <c r="I23" s="5">
        <v>0.828125</v>
      </c>
      <c r="J23" s="5">
        <v>8.1869791666666671</v>
      </c>
      <c r="K23" s="5">
        <v>0.9916666666666667</v>
      </c>
      <c r="L23" s="5">
        <v>2.2958333333333334</v>
      </c>
      <c r="M23" s="5">
        <v>1.0880208333333334</v>
      </c>
      <c r="N23" s="5"/>
      <c r="O23" s="5"/>
      <c r="P23" s="5"/>
      <c r="Q23" s="5"/>
      <c r="R23" s="5"/>
      <c r="S23" s="4"/>
      <c r="T23" s="4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x14ac:dyDescent="0.3">
      <c r="A24" s="21"/>
      <c r="B24" s="27" t="s">
        <v>666</v>
      </c>
      <c r="C24" s="1" t="s">
        <v>710</v>
      </c>
      <c r="D24" s="2">
        <v>1952.5323955830381</v>
      </c>
      <c r="E24" s="2">
        <v>2455.4795168081014</v>
      </c>
      <c r="F24" s="2">
        <v>2094.8252997999534</v>
      </c>
      <c r="G24" s="2">
        <v>1636.006312859952</v>
      </c>
      <c r="H24" s="2">
        <v>1761.1125742175022</v>
      </c>
      <c r="I24" s="2">
        <v>1707.5519132862639</v>
      </c>
      <c r="J24" s="2">
        <v>2529.7294392327553</v>
      </c>
      <c r="K24" s="2">
        <v>1866.254425074439</v>
      </c>
      <c r="L24" s="2">
        <v>1833.1707837236136</v>
      </c>
      <c r="M24" s="2">
        <v>1580.2919981610207</v>
      </c>
      <c r="N24" s="2"/>
      <c r="O24" s="2"/>
      <c r="P24" s="2"/>
      <c r="Q24" s="2"/>
      <c r="R24" s="2"/>
      <c r="S24" s="1" t="s">
        <v>6</v>
      </c>
      <c r="T24" s="1" t="s">
        <v>29</v>
      </c>
      <c r="W24" s="6">
        <f t="shared" ref="W24" si="76">_xlfn.RANK.EQ(D24,$D24:$R24,1)</f>
        <v>1</v>
      </c>
      <c r="X24" s="6">
        <f t="shared" ref="X24" si="77">_xlfn.RANK.EQ(E24,$D24:$R24,1)</f>
        <v>5</v>
      </c>
      <c r="Y24" s="6">
        <f t="shared" ref="Y24" si="78">_xlfn.RANK.EQ(F24,$D24:$R24,1)</f>
        <v>4</v>
      </c>
      <c r="Z24" s="6">
        <f t="shared" ref="Z24" si="79">_xlfn.RANK.EQ(G24,$D24:$R24,1)</f>
        <v>8</v>
      </c>
      <c r="AA24" s="6">
        <f t="shared" ref="AA24" si="80">_xlfn.RANK.EQ(H24,$D24:$R24,1)</f>
        <v>9</v>
      </c>
      <c r="AB24" s="6">
        <f t="shared" ref="AB24" si="81">_xlfn.RANK.EQ(I24,$D24:$R24,1)</f>
        <v>6</v>
      </c>
      <c r="AC24" s="6">
        <f t="shared" ref="AC24" si="82">_xlfn.RANK.EQ(J24,$D24:$R24,1)</f>
        <v>7</v>
      </c>
      <c r="AD24" s="6">
        <f t="shared" ref="AD24" si="83">_xlfn.RANK.EQ(K24,$D24:$R24,1)</f>
        <v>3</v>
      </c>
      <c r="AE24" s="6">
        <f t="shared" ref="AE24" si="84">_xlfn.RANK.EQ(L24,$D24:$R24,1)</f>
        <v>2</v>
      </c>
      <c r="AF24" s="6" t="e">
        <f t="shared" ref="AF24" si="85">_xlfn.RANK.EQ(M24,$D24:$R24,1)</f>
        <v>#N/A</v>
      </c>
      <c r="AG24" s="6" t="e">
        <f t="shared" ref="AG24" si="86">_xlfn.RANK.EQ(N24,$D24:$R24,1)</f>
        <v>#N/A</v>
      </c>
      <c r="AH24" s="6" t="e">
        <f t="shared" ref="AH24" si="87">_xlfn.RANK.EQ(O24,$D24:$R24,1)</f>
        <v>#N/A</v>
      </c>
      <c r="AI24" s="6" t="e">
        <f t="shared" ref="AI24" si="88">_xlfn.RANK.EQ(P24,$D24:$R24,1)</f>
        <v>#N/A</v>
      </c>
      <c r="AJ24" s="6" t="e">
        <f t="shared" ref="AJ24" si="89">_xlfn.RANK.EQ(Q24,$D24:$R24,1)</f>
        <v>#N/A</v>
      </c>
      <c r="AK24" s="6" t="e">
        <f t="shared" ref="AK24" si="90">_xlfn.RANK.EQ(R24,$D24:$R24,1)</f>
        <v>#N/A</v>
      </c>
    </row>
    <row r="25" x14ac:dyDescent="0.3">
      <c r="A25" s="21"/>
      <c r="B25" s="22" t="s">
        <v>666</v>
      </c>
      <c r="C25" s="9" t="s">
        <v>711</v>
      </c>
      <c r="D25" s="7">
        <v>117.31012356581938</v>
      </c>
      <c r="E25" s="7">
        <v>75.75510606154397</v>
      </c>
      <c r="F25" s="7">
        <v>58.057679191668825</v>
      </c>
      <c r="G25" s="7">
        <v>171.38356074418508</v>
      </c>
      <c r="H25" s="7">
        <v>102.9476449981523</v>
      </c>
      <c r="I25" s="7">
        <v>77.666674706202826</v>
      </c>
      <c r="J25" s="7">
        <v>145.31050334243034</v>
      </c>
      <c r="K25" s="7">
        <v>96.194922404867256</v>
      </c>
      <c r="L25" s="7">
        <v>81.573274914654135</v>
      </c>
      <c r="M25" s="7">
        <v>65.875565984960346</v>
      </c>
      <c r="N25" s="7"/>
      <c r="O25" s="7"/>
      <c r="P25" s="7"/>
      <c r="Q25" s="7"/>
      <c r="R25" s="7"/>
      <c r="S25" s="3"/>
      <c r="T25" s="3" t="s">
        <v>30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x14ac:dyDescent="0.3">
      <c r="A26" s="21"/>
      <c r="B26" s="25" t="s">
        <v>666</v>
      </c>
      <c r="C26" s="4" t="s">
        <v>712</v>
      </c>
      <c r="D26" s="5">
        <v>10.760416666666666</v>
      </c>
      <c r="E26" s="5">
        <v>2.4666666666666668</v>
      </c>
      <c r="F26" s="5">
        <v>1.6114583333333334</v>
      </c>
      <c r="G26" s="5">
        <v>1.0270833333333333</v>
      </c>
      <c r="H26" s="5">
        <v>0.828125</v>
      </c>
      <c r="I26" s="5">
        <v>0.80364583333333328</v>
      </c>
      <c r="J26" s="5">
        <v>10.226041666666667</v>
      </c>
      <c r="K26" s="5">
        <v>1.0130208333333333</v>
      </c>
      <c r="L26" s="5">
        <v>2.2734375</v>
      </c>
      <c r="M26" s="5">
        <v>1.0578125</v>
      </c>
      <c r="N26" s="5"/>
      <c r="O26" s="5"/>
      <c r="P26" s="5"/>
      <c r="Q26" s="5"/>
      <c r="R26" s="5"/>
      <c r="S26" s="4"/>
      <c r="T26" s="4" t="s">
        <v>31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x14ac:dyDescent="0.3">
      <c r="A27" s="21"/>
      <c r="B27" s="27" t="s">
        <v>667</v>
      </c>
      <c r="C27" s="1" t="s">
        <v>713</v>
      </c>
      <c r="D27" s="2">
        <v>59162.828382411375</v>
      </c>
      <c r="E27" s="2">
        <v>72376.967461456865</v>
      </c>
      <c r="F27" s="2">
        <v>62030.071235294519</v>
      </c>
      <c r="G27" s="2">
        <v>50461.657920995574</v>
      </c>
      <c r="H27" s="2">
        <v>34600.090686001415</v>
      </c>
      <c r="I27" s="2">
        <v>38950.727650448316</v>
      </c>
      <c r="J27" s="2">
        <v>97097.575137001957</v>
      </c>
      <c r="K27" s="2">
        <v>48734.624148153984</v>
      </c>
      <c r="L27" s="2">
        <v>47208.606437905197</v>
      </c>
      <c r="M27" s="2">
        <v>56931.193299533377</v>
      </c>
      <c r="N27" s="2"/>
      <c r="O27" s="2"/>
      <c r="P27" s="2"/>
      <c r="Q27" s="2"/>
      <c r="R27" s="2"/>
      <c r="S27" s="1" t="s">
        <v>7</v>
      </c>
      <c r="T27" s="1" t="s">
        <v>29</v>
      </c>
      <c r="W27" s="6">
        <f t="shared" ref="W27" si="91">_xlfn.RANK.EQ(D27,$D27:$R27,1)</f>
        <v>1</v>
      </c>
      <c r="X27" s="6">
        <f t="shared" ref="X27" si="92">_xlfn.RANK.EQ(E27,$D27:$R27,1)</f>
        <v>6</v>
      </c>
      <c r="Y27" s="6">
        <f t="shared" ref="Y27" si="93">_xlfn.RANK.EQ(F27,$D27:$R27,1)</f>
        <v>7</v>
      </c>
      <c r="Z27" s="6">
        <f t="shared" ref="Z27" si="94">_xlfn.RANK.EQ(G27,$D27:$R27,1)</f>
        <v>8</v>
      </c>
      <c r="AA27" s="6">
        <f t="shared" ref="AA27" si="95">_xlfn.RANK.EQ(H27,$D27:$R27,1)</f>
        <v>9</v>
      </c>
      <c r="AB27" s="6">
        <f t="shared" ref="AB27" si="96">_xlfn.RANK.EQ(I27,$D27:$R27,1)</f>
        <v>5</v>
      </c>
      <c r="AC27" s="6">
        <f t="shared" ref="AC27" si="97">_xlfn.RANK.EQ(J27,$D27:$R27,1)</f>
        <v>2</v>
      </c>
      <c r="AD27" s="6">
        <f t="shared" ref="AD27" si="98">_xlfn.RANK.EQ(K27,$D27:$R27,1)</f>
        <v>3</v>
      </c>
      <c r="AE27" s="6">
        <f t="shared" ref="AE27" si="99">_xlfn.RANK.EQ(L27,$D27:$R27,1)</f>
        <v>4</v>
      </c>
      <c r="AF27" s="6" t="e">
        <f t="shared" ref="AF27" si="100">_xlfn.RANK.EQ(M27,$D27:$R27,1)</f>
        <v>#N/A</v>
      </c>
      <c r="AG27" s="6" t="e">
        <f t="shared" ref="AG27" si="101">_xlfn.RANK.EQ(N27,$D27:$R27,1)</f>
        <v>#N/A</v>
      </c>
      <c r="AH27" s="6" t="e">
        <f t="shared" ref="AH27" si="102">_xlfn.RANK.EQ(O27,$D27:$R27,1)</f>
        <v>#N/A</v>
      </c>
      <c r="AI27" s="6" t="e">
        <f t="shared" ref="AI27" si="103">_xlfn.RANK.EQ(P27,$D27:$R27,1)</f>
        <v>#N/A</v>
      </c>
      <c r="AJ27" s="6" t="e">
        <f t="shared" ref="AJ27" si="104">_xlfn.RANK.EQ(Q27,$D27:$R27,1)</f>
        <v>#N/A</v>
      </c>
      <c r="AK27" s="6" t="e">
        <f t="shared" ref="AK27" si="105">_xlfn.RANK.EQ(R27,$D27:$R27,1)</f>
        <v>#N/A</v>
      </c>
    </row>
    <row r="28" x14ac:dyDescent="0.3">
      <c r="A28" s="21"/>
      <c r="B28" s="22" t="s">
        <v>667</v>
      </c>
      <c r="C28" s="9" t="s">
        <v>714</v>
      </c>
      <c r="D28" s="7">
        <v>7140.1664223436464</v>
      </c>
      <c r="E28" s="7">
        <v>4312.3594127029173</v>
      </c>
      <c r="F28" s="7">
        <v>5421.0966125791074</v>
      </c>
      <c r="G28" s="7">
        <v>13705.64412491397</v>
      </c>
      <c r="H28" s="7">
        <v>13521.662856775156</v>
      </c>
      <c r="I28" s="7">
        <v>9301.9052335814304</v>
      </c>
      <c r="J28" s="7">
        <v>17444.799705850572</v>
      </c>
      <c r="K28" s="7">
        <v>6932.1163478630124</v>
      </c>
      <c r="L28" s="7">
        <v>9925.3775469385837</v>
      </c>
      <c r="M28" s="7">
        <v>12002.864821424204</v>
      </c>
      <c r="N28" s="7"/>
      <c r="O28" s="7"/>
      <c r="P28" s="7"/>
      <c r="Q28" s="7"/>
      <c r="R28" s="7"/>
      <c r="S28" s="3"/>
      <c r="T28" s="3" t="s">
        <v>30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x14ac:dyDescent="0.3">
      <c r="A29" s="24"/>
      <c r="B29" s="25" t="s">
        <v>667</v>
      </c>
      <c r="C29" s="4" t="s">
        <v>715</v>
      </c>
      <c r="D29" s="5">
        <v>10.725520833333333</v>
      </c>
      <c r="E29" s="5">
        <v>2.4640624999999998</v>
      </c>
      <c r="F29" s="5">
        <v>1.6760416666666667</v>
      </c>
      <c r="G29" s="5">
        <v>1.0697916666666667</v>
      </c>
      <c r="H29" s="5">
        <v>0.91249999999999998</v>
      </c>
      <c r="I29" s="5">
        <v>0.8755208333333333</v>
      </c>
      <c r="J29" s="5">
        <v>10.294791666666667</v>
      </c>
      <c r="K29" s="5">
        <v>1.0916666666666666</v>
      </c>
      <c r="L29" s="5">
        <v>2.4380208333333333</v>
      </c>
      <c r="M29" s="5">
        <v>1.0791666666666666</v>
      </c>
      <c r="N29" s="5"/>
      <c r="O29" s="5"/>
      <c r="P29" s="5"/>
      <c r="Q29" s="5"/>
      <c r="R29" s="5"/>
      <c r="S29" s="4"/>
      <c r="T29" s="4" t="s">
        <v>31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x14ac:dyDescent="0.3">
      <c r="A30" s="26" t="s">
        <v>38</v>
      </c>
      <c r="B30" s="27" t="s">
        <v>668</v>
      </c>
      <c r="C30" s="1" t="s">
        <v>716</v>
      </c>
      <c r="D30" s="2">
        <v>22590.081870328399</v>
      </c>
      <c r="E30" s="2">
        <v>31182.78870266951</v>
      </c>
      <c r="F30" s="2">
        <v>23416.477861628511</v>
      </c>
      <c r="G30" s="2">
        <v>22748.061828742579</v>
      </c>
      <c r="H30" s="2">
        <v>31462.532473673116</v>
      </c>
      <c r="I30" s="2">
        <v>21391.220205668254</v>
      </c>
      <c r="J30" s="2">
        <v>31404.690531586082</v>
      </c>
      <c r="K30" s="2">
        <v>22391.349857316301</v>
      </c>
      <c r="L30" s="2">
        <v>16708.756240072024</v>
      </c>
      <c r="M30" s="2">
        <v>23591.963718373197</v>
      </c>
      <c r="N30" s="2"/>
      <c r="O30" s="2"/>
      <c r="P30" s="2"/>
      <c r="Q30" s="2"/>
      <c r="R30" s="2"/>
      <c r="S30" s="1" t="s">
        <v>8</v>
      </c>
      <c r="T30" s="1" t="s">
        <v>29</v>
      </c>
      <c r="W30" s="6">
        <f t="shared" ref="W30" si="106">_xlfn.RANK.EQ(D30,$D30:$R30,1)</f>
        <v>1</v>
      </c>
      <c r="X30" s="6">
        <f t="shared" ref="X30" si="107">_xlfn.RANK.EQ(E30,$D30:$R30,1)</f>
        <v>6</v>
      </c>
      <c r="Y30" s="6">
        <f t="shared" ref="Y30" si="108">_xlfn.RANK.EQ(F30,$D30:$R30,1)</f>
        <v>2</v>
      </c>
      <c r="Z30" s="6">
        <f t="shared" ref="Z30" si="109">_xlfn.RANK.EQ(G30,$D30:$R30,1)</f>
        <v>9</v>
      </c>
      <c r="AA30" s="6">
        <f t="shared" ref="AA30" si="110">_xlfn.RANK.EQ(H30,$D30:$R30,1)</f>
        <v>7</v>
      </c>
      <c r="AB30" s="6">
        <f t="shared" ref="AB30" si="111">_xlfn.RANK.EQ(I30,$D30:$R30,1)</f>
        <v>3</v>
      </c>
      <c r="AC30" s="6">
        <f t="shared" ref="AC30" si="112">_xlfn.RANK.EQ(J30,$D30:$R30,1)</f>
        <v>4</v>
      </c>
      <c r="AD30" s="6">
        <f t="shared" ref="AD30" si="113">_xlfn.RANK.EQ(K30,$D30:$R30,1)</f>
        <v>8</v>
      </c>
      <c r="AE30" s="6">
        <f t="shared" ref="AE30" si="114">_xlfn.RANK.EQ(L30,$D30:$R30,1)</f>
        <v>5</v>
      </c>
      <c r="AF30" s="6" t="e">
        <f t="shared" ref="AF30" si="115">_xlfn.RANK.EQ(M30,$D30:$R30,1)</f>
        <v>#N/A</v>
      </c>
      <c r="AG30" s="6" t="e">
        <f t="shared" ref="AG30" si="116">_xlfn.RANK.EQ(N30,$D30:$R30,1)</f>
        <v>#N/A</v>
      </c>
      <c r="AH30" s="6" t="e">
        <f t="shared" ref="AH30" si="117">_xlfn.RANK.EQ(O30,$D30:$R30,1)</f>
        <v>#N/A</v>
      </c>
      <c r="AI30" s="6" t="e">
        <f t="shared" ref="AI30" si="118">_xlfn.RANK.EQ(P30,$D30:$R30,1)</f>
        <v>#N/A</v>
      </c>
      <c r="AJ30" s="6" t="e">
        <f t="shared" ref="AJ30" si="119">_xlfn.RANK.EQ(Q30,$D30:$R30,1)</f>
        <v>#N/A</v>
      </c>
      <c r="AK30" s="6" t="e">
        <f t="shared" ref="AK30" si="120">_xlfn.RANK.EQ(R30,$D30:$R30,1)</f>
        <v>#N/A</v>
      </c>
    </row>
    <row r="31" x14ac:dyDescent="0.3">
      <c r="A31" s="21"/>
      <c r="B31" s="22" t="s">
        <v>668</v>
      </c>
      <c r="C31" s="9" t="s">
        <v>717</v>
      </c>
      <c r="D31" s="7">
        <v>1146.703689199554</v>
      </c>
      <c r="E31" s="7">
        <v>1019.5924026916547</v>
      </c>
      <c r="F31" s="7">
        <v>1751.3540839849788</v>
      </c>
      <c r="G31" s="7">
        <v>5908.5875272149824</v>
      </c>
      <c r="H31" s="7">
        <v>1376.8919868146991</v>
      </c>
      <c r="I31" s="7">
        <v>1064.7946608301008</v>
      </c>
      <c r="J31" s="7">
        <v>1473.3640699728849</v>
      </c>
      <c r="K31" s="7">
        <v>1247.8574430282511</v>
      </c>
      <c r="L31" s="7">
        <v>1167.5547330520264</v>
      </c>
      <c r="M31" s="7">
        <v>7430.9837023423624</v>
      </c>
      <c r="N31" s="7"/>
      <c r="O31" s="7"/>
      <c r="P31" s="7"/>
      <c r="Q31" s="7"/>
      <c r="R31" s="7"/>
      <c r="S31" s="3"/>
      <c r="T31" s="3" t="s">
        <v>30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x14ac:dyDescent="0.3">
      <c r="A32" s="21"/>
      <c r="B32" s="25" t="s">
        <v>668</v>
      </c>
      <c r="C32" s="4" t="s">
        <v>718</v>
      </c>
      <c r="D32" s="5">
        <v>11.808854166666666</v>
      </c>
      <c r="E32" s="5">
        <v>2.6963541666666666</v>
      </c>
      <c r="F32" s="5">
        <v>1.7817708333333333</v>
      </c>
      <c r="G32" s="5">
        <v>1.1083333333333334</v>
      </c>
      <c r="H32" s="5">
        <v>0.9604166666666667</v>
      </c>
      <c r="I32" s="5">
        <v>0.8911458333333333</v>
      </c>
      <c r="J32" s="5">
        <v>13.680208333333333</v>
      </c>
      <c r="K32" s="5">
        <v>1.0927083333333334</v>
      </c>
      <c r="L32" s="5">
        <v>2.328125</v>
      </c>
      <c r="M32" s="5">
        <v>1.1432291666666667</v>
      </c>
      <c r="N32" s="5"/>
      <c r="O32" s="5"/>
      <c r="P32" s="5"/>
      <c r="Q32" s="5"/>
      <c r="R32" s="5"/>
      <c r="S32" s="4"/>
      <c r="T32" s="4" t="s">
        <v>31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x14ac:dyDescent="0.3">
      <c r="A33" s="21"/>
      <c r="B33" s="27" t="s">
        <v>669</v>
      </c>
      <c r="C33" s="1" t="s">
        <v>719</v>
      </c>
      <c r="D33" s="2">
        <v>4831.8573481047169</v>
      </c>
      <c r="E33" s="2">
        <v>276212.47752363054</v>
      </c>
      <c r="F33" s="2">
        <v>89702.143087296543</v>
      </c>
      <c r="G33" s="2">
        <v>78584.0556835756</v>
      </c>
      <c r="H33" s="2">
        <v>142688.75927239776</v>
      </c>
      <c r="I33" s="2">
        <v>144243.55654551741</v>
      </c>
      <c r="J33" s="2">
        <v>513362.3037231706</v>
      </c>
      <c r="K33" s="2">
        <v>75176.270340250718</v>
      </c>
      <c r="L33" s="2">
        <v>75510.742080580458</v>
      </c>
      <c r="M33" s="2">
        <v>77564.357990280943</v>
      </c>
      <c r="N33" s="2"/>
      <c r="O33" s="2"/>
      <c r="P33" s="2"/>
      <c r="Q33" s="2"/>
      <c r="R33" s="2"/>
      <c r="S33" s="1" t="s">
        <v>9</v>
      </c>
      <c r="T33" s="1" t="s">
        <v>29</v>
      </c>
      <c r="W33" s="6">
        <f t="shared" ref="W33" si="121">_xlfn.RANK.EQ(D33,$D33:$R33,1)</f>
        <v>1</v>
      </c>
      <c r="X33" s="6">
        <f t="shared" ref="X33" si="122">_xlfn.RANK.EQ(E33,$D33:$R33,1)</f>
        <v>2</v>
      </c>
      <c r="Y33" s="6">
        <f t="shared" ref="Y33" si="123">_xlfn.RANK.EQ(F33,$D33:$R33,1)</f>
        <v>3</v>
      </c>
      <c r="Z33" s="6">
        <f t="shared" ref="Z33" si="124">_xlfn.RANK.EQ(G33,$D33:$R33,1)</f>
        <v>8</v>
      </c>
      <c r="AA33" s="6">
        <f t="shared" ref="AA33" si="125">_xlfn.RANK.EQ(H33,$D33:$R33,1)</f>
        <v>9</v>
      </c>
      <c r="AB33" s="6">
        <f t="shared" ref="AB33" si="126">_xlfn.RANK.EQ(I33,$D33:$R33,1)</f>
        <v>4</v>
      </c>
      <c r="AC33" s="6">
        <f t="shared" ref="AC33" si="127">_xlfn.RANK.EQ(J33,$D33:$R33,1)</f>
        <v>7</v>
      </c>
      <c r="AD33" s="6">
        <f t="shared" ref="AD33" si="128">_xlfn.RANK.EQ(K33,$D33:$R33,1)</f>
        <v>5</v>
      </c>
      <c r="AE33" s="6">
        <f t="shared" ref="AE33" si="129">_xlfn.RANK.EQ(L33,$D33:$R33,1)</f>
        <v>6</v>
      </c>
      <c r="AF33" s="6" t="e">
        <f t="shared" ref="AF33" si="130">_xlfn.RANK.EQ(M33,$D33:$R33,1)</f>
        <v>#N/A</v>
      </c>
      <c r="AG33" s="6" t="e">
        <f t="shared" ref="AG33" si="131">_xlfn.RANK.EQ(N33,$D33:$R33,1)</f>
        <v>#N/A</v>
      </c>
      <c r="AH33" s="6" t="e">
        <f t="shared" ref="AH33" si="132">_xlfn.RANK.EQ(O33,$D33:$R33,1)</f>
        <v>#N/A</v>
      </c>
      <c r="AI33" s="6" t="e">
        <f t="shared" ref="AI33" si="133">_xlfn.RANK.EQ(P33,$D33:$R33,1)</f>
        <v>#N/A</v>
      </c>
      <c r="AJ33" s="6" t="e">
        <f t="shared" ref="AJ33" si="134">_xlfn.RANK.EQ(Q33,$D33:$R33,1)</f>
        <v>#N/A</v>
      </c>
      <c r="AK33" s="6" t="e">
        <f t="shared" ref="AK33" si="135">_xlfn.RANK.EQ(R33,$D33:$R33,1)</f>
        <v>#N/A</v>
      </c>
    </row>
    <row r="34" x14ac:dyDescent="0.3">
      <c r="A34" s="21"/>
      <c r="B34" s="22" t="s">
        <v>669</v>
      </c>
      <c r="C34" s="9" t="s">
        <v>720</v>
      </c>
      <c r="D34" s="7">
        <v>490.71058349395145</v>
      </c>
      <c r="E34" s="7">
        <v>50028.571434566613</v>
      </c>
      <c r="F34" s="7">
        <v>21575.457930567718</v>
      </c>
      <c r="G34" s="7">
        <v>12556.728780019188</v>
      </c>
      <c r="H34" s="7">
        <v>43073.262420842846</v>
      </c>
      <c r="I34" s="7">
        <v>51229.892043342159</v>
      </c>
      <c r="J34" s="7">
        <v>249240.00873833077</v>
      </c>
      <c r="K34" s="7">
        <v>21609.217778779665</v>
      </c>
      <c r="L34" s="7">
        <v>28071.957381620865</v>
      </c>
      <c r="M34" s="7">
        <v>18298.499257888379</v>
      </c>
      <c r="N34" s="7"/>
      <c r="O34" s="7"/>
      <c r="P34" s="7"/>
      <c r="Q34" s="7"/>
      <c r="R34" s="7"/>
      <c r="S34" s="3"/>
      <c r="T34" s="3" t="s">
        <v>30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x14ac:dyDescent="0.3">
      <c r="A35" s="21"/>
      <c r="B35" s="25" t="s">
        <v>669</v>
      </c>
      <c r="C35" s="4" t="s">
        <v>721</v>
      </c>
      <c r="D35" s="5">
        <v>9.9796875000000007</v>
      </c>
      <c r="E35" s="5">
        <v>2.0859375</v>
      </c>
      <c r="F35" s="5">
        <v>1.60625</v>
      </c>
      <c r="G35" s="5">
        <v>1.0432291666666667</v>
      </c>
      <c r="H35" s="5">
        <v>0.84635416666666663</v>
      </c>
      <c r="I35" s="5">
        <v>0.77083333333333337</v>
      </c>
      <c r="J35" s="5">
        <v>11.709375</v>
      </c>
      <c r="K35" s="5">
        <v>0.98958333333333337</v>
      </c>
      <c r="L35" s="5">
        <v>2.2802083333333334</v>
      </c>
      <c r="M35" s="5">
        <v>1.0359375</v>
      </c>
      <c r="N35" s="5"/>
      <c r="O35" s="5"/>
      <c r="P35" s="5"/>
      <c r="Q35" s="5"/>
      <c r="R35" s="5"/>
      <c r="S35" s="4"/>
      <c r="T35" s="4" t="s">
        <v>31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x14ac:dyDescent="0.3">
      <c r="A36" s="21"/>
      <c r="B36" s="27" t="s">
        <v>670</v>
      </c>
      <c r="C36" s="1" t="s">
        <v>722</v>
      </c>
      <c r="D36" s="2">
        <v>680358259.29934418</v>
      </c>
      <c r="E36" s="2">
        <v>124159455133.7959</v>
      </c>
      <c r="F36" s="2">
        <v>1166329430.5387769</v>
      </c>
      <c r="G36" s="2">
        <v>12680911772.571222</v>
      </c>
      <c r="H36" s="2">
        <v>1629369346.3288894</v>
      </c>
      <c r="I36" s="2">
        <v>2917742033.3848343</v>
      </c>
      <c r="J36" s="2">
        <v>90662117489.223221</v>
      </c>
      <c r="K36" s="2">
        <v>2628153898.7175717</v>
      </c>
      <c r="L36" s="2">
        <v>254915761.90501562</v>
      </c>
      <c r="M36" s="2">
        <v>12237588311.009518</v>
      </c>
      <c r="N36" s="2"/>
      <c r="O36" s="2"/>
      <c r="P36" s="2"/>
      <c r="Q36" s="2"/>
      <c r="R36" s="2"/>
      <c r="S36" s="1" t="s">
        <v>10</v>
      </c>
      <c r="T36" s="1" t="s">
        <v>29</v>
      </c>
      <c r="W36" s="6">
        <f t="shared" ref="W36" si="136">_xlfn.RANK.EQ(D36,$D36:$R36,1)</f>
        <v>1</v>
      </c>
      <c r="X36" s="6">
        <f t="shared" ref="X36" si="137">_xlfn.RANK.EQ(E36,$D36:$R36,1)</f>
        <v>5</v>
      </c>
      <c r="Y36" s="6">
        <f t="shared" ref="Y36" si="138">_xlfn.RANK.EQ(F36,$D36:$R36,1)</f>
        <v>2</v>
      </c>
      <c r="Z36" s="6">
        <f t="shared" ref="Z36" si="139">_xlfn.RANK.EQ(G36,$D36:$R36,1)</f>
        <v>7</v>
      </c>
      <c r="AA36" s="6">
        <f t="shared" ref="AA36" si="140">_xlfn.RANK.EQ(H36,$D36:$R36,1)</f>
        <v>8</v>
      </c>
      <c r="AB36" s="6">
        <f t="shared" ref="AB36" si="141">_xlfn.RANK.EQ(I36,$D36:$R36,1)</f>
        <v>4</v>
      </c>
      <c r="AC36" s="6">
        <f t="shared" ref="AC36" si="142">_xlfn.RANK.EQ(J36,$D36:$R36,1)</f>
        <v>9</v>
      </c>
      <c r="AD36" s="6">
        <f t="shared" ref="AD36" si="143">_xlfn.RANK.EQ(K36,$D36:$R36,1)</f>
        <v>3</v>
      </c>
      <c r="AE36" s="6">
        <f t="shared" ref="AE36" si="144">_xlfn.RANK.EQ(L36,$D36:$R36,1)</f>
        <v>6</v>
      </c>
      <c r="AF36" s="6" t="e">
        <f t="shared" ref="AF36" si="145">_xlfn.RANK.EQ(M36,$D36:$R36,1)</f>
        <v>#N/A</v>
      </c>
      <c r="AG36" s="6" t="e">
        <f t="shared" ref="AG36" si="146">_xlfn.RANK.EQ(N36,$D36:$R36,1)</f>
        <v>#N/A</v>
      </c>
      <c r="AH36" s="6" t="e">
        <f t="shared" ref="AH36" si="147">_xlfn.RANK.EQ(O36,$D36:$R36,1)</f>
        <v>#N/A</v>
      </c>
      <c r="AI36" s="6" t="e">
        <f t="shared" ref="AI36" si="148">_xlfn.RANK.EQ(P36,$D36:$R36,1)</f>
        <v>#N/A</v>
      </c>
      <c r="AJ36" s="6" t="e">
        <f t="shared" ref="AJ36" si="149">_xlfn.RANK.EQ(Q36,$D36:$R36,1)</f>
        <v>#N/A</v>
      </c>
      <c r="AK36" s="6" t="e">
        <f t="shared" ref="AK36" si="150">_xlfn.RANK.EQ(R36,$D36:$R36,1)</f>
        <v>#N/A</v>
      </c>
    </row>
    <row r="37" x14ac:dyDescent="0.3">
      <c r="A37" s="21"/>
      <c r="B37" s="22" t="s">
        <v>670</v>
      </c>
      <c r="C37" s="9" t="s">
        <v>723</v>
      </c>
      <c r="D37" s="7">
        <v>187859498.14839897</v>
      </c>
      <c r="E37" s="7">
        <v>13796218685.111124</v>
      </c>
      <c r="F37" s="7">
        <v>370078390.5803293</v>
      </c>
      <c r="G37" s="7">
        <v>5306939514.1559048</v>
      </c>
      <c r="H37" s="7">
        <v>964105504.94885659</v>
      </c>
      <c r="I37" s="7">
        <v>654942080.61358833</v>
      </c>
      <c r="J37" s="7">
        <v>29800427776.124741</v>
      </c>
      <c r="K37" s="7">
        <v>3441469309.420064</v>
      </c>
      <c r="L37" s="7">
        <v>100290513.91213949</v>
      </c>
      <c r="M37" s="7">
        <v>6273402572.9536266</v>
      </c>
      <c r="N37" s="7"/>
      <c r="O37" s="7"/>
      <c r="P37" s="7"/>
      <c r="Q37" s="7"/>
      <c r="R37" s="7"/>
      <c r="S37" s="3"/>
      <c r="T37" s="3" t="s">
        <v>30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x14ac:dyDescent="0.3">
      <c r="A38" s="21"/>
      <c r="B38" s="25" t="s">
        <v>670</v>
      </c>
      <c r="C38" s="4" t="s">
        <v>724</v>
      </c>
      <c r="D38" s="5">
        <v>10.8453125</v>
      </c>
      <c r="E38" s="5">
        <v>2.4942708333333332</v>
      </c>
      <c r="F38" s="5">
        <v>1.6401041666666667</v>
      </c>
      <c r="G38" s="5">
        <v>1.0427083333333333</v>
      </c>
      <c r="H38" s="5">
        <v>0.86458333333333337</v>
      </c>
      <c r="I38" s="5">
        <v>0.80989583333333337</v>
      </c>
      <c r="J38" s="5">
        <v>11.078645833333333</v>
      </c>
      <c r="K38" s="5">
        <v>1.0197916666666667</v>
      </c>
      <c r="L38" s="5">
        <v>2.2572916666666667</v>
      </c>
      <c r="M38" s="5">
        <v>1.0874999999999999</v>
      </c>
      <c r="N38" s="5"/>
      <c r="O38" s="5"/>
      <c r="P38" s="5"/>
      <c r="Q38" s="5"/>
      <c r="R38" s="5"/>
      <c r="S38" s="4"/>
      <c r="T38" s="4" t="s">
        <v>31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x14ac:dyDescent="0.3">
      <c r="A39" s="21"/>
      <c r="B39" s="27" t="s">
        <v>671</v>
      </c>
      <c r="C39" s="1" t="s">
        <v>725</v>
      </c>
      <c r="D39" s="2">
        <v>9347674.7885582279</v>
      </c>
      <c r="E39" s="2">
        <v>27721009866.006393</v>
      </c>
      <c r="F39" s="2">
        <v>20764347.816789504</v>
      </c>
      <c r="G39" s="2">
        <v>1452523452.9941032</v>
      </c>
      <c r="H39" s="2">
        <v>2454857.9740642374</v>
      </c>
      <c r="I39" s="2">
        <v>122246154.72430803</v>
      </c>
      <c r="J39" s="2">
        <v>12573458081.957602</v>
      </c>
      <c r="K39" s="2">
        <v>24127728.334773861</v>
      </c>
      <c r="L39" s="2">
        <v>197545.29712795481</v>
      </c>
      <c r="M39" s="2">
        <v>1883537306.8763621</v>
      </c>
      <c r="N39" s="2"/>
      <c r="O39" s="2"/>
      <c r="P39" s="2"/>
      <c r="Q39" s="2"/>
      <c r="R39" s="2"/>
      <c r="S39" s="1" t="s">
        <v>11</v>
      </c>
      <c r="T39" s="1" t="s">
        <v>29</v>
      </c>
      <c r="W39" s="6">
        <f t="shared" ref="W39" si="151">_xlfn.RANK.EQ(D39,$D39:$R39,1)</f>
        <v>1</v>
      </c>
      <c r="X39" s="6">
        <f t="shared" ref="X39" si="152">_xlfn.RANK.EQ(E39,$D39:$R39,1)</f>
        <v>4</v>
      </c>
      <c r="Y39" s="6">
        <f t="shared" ref="Y39" si="153">_xlfn.RANK.EQ(F39,$D39:$R39,1)</f>
        <v>2</v>
      </c>
      <c r="Z39" s="6">
        <f t="shared" ref="Z39" si="154">_xlfn.RANK.EQ(G39,$D39:$R39,1)</f>
        <v>7</v>
      </c>
      <c r="AA39" s="6">
        <f t="shared" ref="AA39" si="155">_xlfn.RANK.EQ(H39,$D39:$R39,1)</f>
        <v>8</v>
      </c>
      <c r="AB39" s="6">
        <f t="shared" ref="AB39" si="156">_xlfn.RANK.EQ(I39,$D39:$R39,1)</f>
        <v>3</v>
      </c>
      <c r="AC39" s="6">
        <f t="shared" ref="AC39" si="157">_xlfn.RANK.EQ(J39,$D39:$R39,1)</f>
        <v>9</v>
      </c>
      <c r="AD39" s="6">
        <f t="shared" ref="AD39" si="158">_xlfn.RANK.EQ(K39,$D39:$R39,1)</f>
        <v>5</v>
      </c>
      <c r="AE39" s="6">
        <f t="shared" ref="AE39" si="159">_xlfn.RANK.EQ(L39,$D39:$R39,1)</f>
        <v>6</v>
      </c>
      <c r="AF39" s="6" t="e">
        <f t="shared" ref="AF39" si="160">_xlfn.RANK.EQ(M39,$D39:$R39,1)</f>
        <v>#N/A</v>
      </c>
      <c r="AG39" s="6" t="e">
        <f t="shared" ref="AG39" si="161">_xlfn.RANK.EQ(N39,$D39:$R39,1)</f>
        <v>#N/A</v>
      </c>
      <c r="AH39" s="6" t="e">
        <f t="shared" ref="AH39" si="162">_xlfn.RANK.EQ(O39,$D39:$R39,1)</f>
        <v>#N/A</v>
      </c>
      <c r="AI39" s="6" t="e">
        <f t="shared" ref="AI39" si="163">_xlfn.RANK.EQ(P39,$D39:$R39,1)</f>
        <v>#N/A</v>
      </c>
      <c r="AJ39" s="6" t="e">
        <f t="shared" ref="AJ39" si="164">_xlfn.RANK.EQ(Q39,$D39:$R39,1)</f>
        <v>#N/A</v>
      </c>
      <c r="AK39" s="6" t="e">
        <f t="shared" ref="AK39" si="165">_xlfn.RANK.EQ(R39,$D39:$R39,1)</f>
        <v>#N/A</v>
      </c>
    </row>
    <row r="40" x14ac:dyDescent="0.3">
      <c r="A40" s="21"/>
      <c r="B40" s="22" t="s">
        <v>671</v>
      </c>
      <c r="C40" s="9" t="s">
        <v>726</v>
      </c>
      <c r="D40" s="7">
        <v>3220862.0781730479</v>
      </c>
      <c r="E40" s="7">
        <v>5945781705.1205235</v>
      </c>
      <c r="F40" s="7">
        <v>2662020.0918545811</v>
      </c>
      <c r="G40" s="7">
        <v>1335442998.1939096</v>
      </c>
      <c r="H40" s="7">
        <v>2781690.5569038396</v>
      </c>
      <c r="I40" s="7">
        <v>32854611.425073162</v>
      </c>
      <c r="J40" s="7">
        <v>9103130028.2603188</v>
      </c>
      <c r="K40" s="7">
        <v>126878259.3762196</v>
      </c>
      <c r="L40" s="7">
        <v>60778.418656519563</v>
      </c>
      <c r="M40" s="7">
        <v>1166336393.329077</v>
      </c>
      <c r="N40" s="7"/>
      <c r="O40" s="7"/>
      <c r="P40" s="7"/>
      <c r="Q40" s="7"/>
      <c r="R40" s="7"/>
      <c r="S40" s="3"/>
      <c r="T40" s="3" t="s">
        <v>30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x14ac:dyDescent="0.3">
      <c r="A41" s="21"/>
      <c r="B41" s="25" t="s">
        <v>671</v>
      </c>
      <c r="C41" s="4" t="s">
        <v>727</v>
      </c>
      <c r="D41" s="5">
        <v>9.9203124999999996</v>
      </c>
      <c r="E41" s="5">
        <v>2.2531249999999998</v>
      </c>
      <c r="F41" s="5">
        <v>1.5218750000000001</v>
      </c>
      <c r="G41" s="5">
        <v>1</v>
      </c>
      <c r="H41" s="5">
        <v>0.81927083333333328</v>
      </c>
      <c r="I41" s="5">
        <v>0.76875000000000004</v>
      </c>
      <c r="J41" s="5">
        <v>13.035416666666666</v>
      </c>
      <c r="K41" s="5">
        <v>1.0166666666666666</v>
      </c>
      <c r="L41" s="5">
        <v>2.2348958333333333</v>
      </c>
      <c r="M41" s="5">
        <v>1.0114583333333333</v>
      </c>
      <c r="N41" s="5"/>
      <c r="O41" s="5"/>
      <c r="P41" s="5"/>
      <c r="Q41" s="5"/>
      <c r="R41" s="5"/>
      <c r="S41" s="4"/>
      <c r="T41" s="4" t="s">
        <v>31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x14ac:dyDescent="0.3">
      <c r="A42" s="21"/>
      <c r="B42" s="27" t="s">
        <v>672</v>
      </c>
      <c r="C42" s="1" t="s">
        <v>728</v>
      </c>
      <c r="D42" s="2">
        <v>2354761.4192705927</v>
      </c>
      <c r="E42" s="2">
        <v>44696345.159493022</v>
      </c>
      <c r="F42" s="2">
        <v>5969656.4253749633</v>
      </c>
      <c r="G42" s="2">
        <v>6806111.3134188559</v>
      </c>
      <c r="H42" s="2">
        <v>10866956.165687082</v>
      </c>
      <c r="I42" s="2">
        <v>49215392.796707176</v>
      </c>
      <c r="J42" s="2">
        <v>95237899.53059195</v>
      </c>
      <c r="K42" s="2">
        <v>4680175.8742389483</v>
      </c>
      <c r="L42" s="2">
        <v>6988665.3965547523</v>
      </c>
      <c r="M42" s="2">
        <v>9301657.6092098579</v>
      </c>
      <c r="N42" s="2"/>
      <c r="O42" s="2"/>
      <c r="P42" s="2"/>
      <c r="Q42" s="2"/>
      <c r="R42" s="2"/>
      <c r="S42" s="1" t="s">
        <v>12</v>
      </c>
      <c r="T42" s="1" t="s">
        <v>29</v>
      </c>
      <c r="W42" s="6">
        <f t="shared" ref="W42" si="166">_xlfn.RANK.EQ(D42,$D42:$R42,1)</f>
        <v>1</v>
      </c>
      <c r="X42" s="6">
        <f t="shared" ref="X42" si="167">_xlfn.RANK.EQ(E42,$D42:$R42,1)</f>
        <v>2</v>
      </c>
      <c r="Y42" s="6">
        <f t="shared" ref="Y42" si="168">_xlfn.RANK.EQ(F42,$D42:$R42,1)</f>
        <v>3</v>
      </c>
      <c r="Z42" s="6">
        <f t="shared" ref="Z42" si="169">_xlfn.RANK.EQ(G42,$D42:$R42,1)</f>
        <v>6</v>
      </c>
      <c r="AA42" s="6">
        <f t="shared" ref="AA42" si="170">_xlfn.RANK.EQ(H42,$D42:$R42,1)</f>
        <v>9</v>
      </c>
      <c r="AB42" s="6">
        <f t="shared" ref="AB42" si="171">_xlfn.RANK.EQ(I42,$D42:$R42,1)</f>
        <v>4</v>
      </c>
      <c r="AC42" s="6">
        <f t="shared" ref="AC42" si="172">_xlfn.RANK.EQ(J42,$D42:$R42,1)</f>
        <v>7</v>
      </c>
      <c r="AD42" s="6">
        <f t="shared" ref="AD42" si="173">_xlfn.RANK.EQ(K42,$D42:$R42,1)</f>
        <v>5</v>
      </c>
      <c r="AE42" s="6">
        <f t="shared" ref="AE42" si="174">_xlfn.RANK.EQ(L42,$D42:$R42,1)</f>
        <v>8</v>
      </c>
      <c r="AF42" s="6" t="e">
        <f t="shared" ref="AF42" si="175">_xlfn.RANK.EQ(M42,$D42:$R42,1)</f>
        <v>#N/A</v>
      </c>
      <c r="AG42" s="6" t="e">
        <f t="shared" ref="AG42" si="176">_xlfn.RANK.EQ(N42,$D42:$R42,1)</f>
        <v>#N/A</v>
      </c>
      <c r="AH42" s="6" t="e">
        <f t="shared" ref="AH42" si="177">_xlfn.RANK.EQ(O42,$D42:$R42,1)</f>
        <v>#N/A</v>
      </c>
      <c r="AI42" s="6" t="e">
        <f t="shared" ref="AI42" si="178">_xlfn.RANK.EQ(P42,$D42:$R42,1)</f>
        <v>#N/A</v>
      </c>
      <c r="AJ42" s="6" t="e">
        <f t="shared" ref="AJ42" si="179">_xlfn.RANK.EQ(Q42,$D42:$R42,1)</f>
        <v>#N/A</v>
      </c>
      <c r="AK42" s="6" t="e">
        <f t="shared" ref="AK42" si="180">_xlfn.RANK.EQ(R42,$D42:$R42,1)</f>
        <v>#N/A</v>
      </c>
    </row>
    <row r="43" x14ac:dyDescent="0.3">
      <c r="A43" s="21"/>
      <c r="B43" s="22" t="s">
        <v>672</v>
      </c>
      <c r="C43" s="9" t="s">
        <v>729</v>
      </c>
      <c r="D43" s="7">
        <v>1081668.2153427724</v>
      </c>
      <c r="E43" s="7">
        <v>17328675.313070264</v>
      </c>
      <c r="F43" s="7">
        <v>2063516.9651608625</v>
      </c>
      <c r="G43" s="7">
        <v>2820058.4056929424</v>
      </c>
      <c r="H43" s="7">
        <v>5213367.5577249164</v>
      </c>
      <c r="I43" s="7">
        <v>30780307.845498633</v>
      </c>
      <c r="J43" s="7">
        <v>72817930.875654116</v>
      </c>
      <c r="K43" s="7">
        <v>2916603.3438475258</v>
      </c>
      <c r="L43" s="7">
        <v>2520767.7469331408</v>
      </c>
      <c r="M43" s="7">
        <v>3906916.7913243724</v>
      </c>
      <c r="N43" s="7"/>
      <c r="O43" s="7"/>
      <c r="P43" s="7"/>
      <c r="Q43" s="7"/>
      <c r="R43" s="7"/>
      <c r="S43" s="3"/>
      <c r="T43" s="3" t="s">
        <v>30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x14ac:dyDescent="0.3">
      <c r="A44" s="21"/>
      <c r="B44" s="25" t="s">
        <v>672</v>
      </c>
      <c r="C44" s="4" t="s">
        <v>730</v>
      </c>
      <c r="D44" s="5">
        <v>11.966145833333334</v>
      </c>
      <c r="E44" s="5">
        <v>2.7921874999999998</v>
      </c>
      <c r="F44" s="5">
        <v>1.7916666666666667</v>
      </c>
      <c r="G44" s="5">
        <v>1.1552083333333334</v>
      </c>
      <c r="H44" s="5">
        <v>0.9609375</v>
      </c>
      <c r="I44" s="5">
        <v>0.93541666666666667</v>
      </c>
      <c r="J44" s="5">
        <v>14.199479166666666</v>
      </c>
      <c r="K44" s="5">
        <v>1.16875</v>
      </c>
      <c r="L44" s="5">
        <v>2.4442708333333334</v>
      </c>
      <c r="M44" s="5">
        <v>1.1203125</v>
      </c>
      <c r="N44" s="5"/>
      <c r="O44" s="5"/>
      <c r="P44" s="5"/>
      <c r="Q44" s="5"/>
      <c r="R44" s="5"/>
      <c r="S44" s="4"/>
      <c r="T44" s="4" t="s">
        <v>31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x14ac:dyDescent="0.3">
      <c r="A45" s="21"/>
      <c r="B45" s="27" t="s">
        <v>673</v>
      </c>
      <c r="C45" s="1" t="s">
        <v>731</v>
      </c>
      <c r="D45" s="2">
        <v>2456282.1346482686</v>
      </c>
      <c r="E45" s="2">
        <v>10075090197.30443</v>
      </c>
      <c r="F45" s="2">
        <v>5632282.3662084285</v>
      </c>
      <c r="G45" s="2">
        <v>374651493.19185817</v>
      </c>
      <c r="H45" s="2">
        <v>16116017.753772557</v>
      </c>
      <c r="I45" s="2">
        <v>36480097.430190712</v>
      </c>
      <c r="J45" s="2">
        <v>3571392114.8377523</v>
      </c>
      <c r="K45" s="2">
        <v>24075.578255847286</v>
      </c>
      <c r="L45" s="2">
        <v>28233.002321714626</v>
      </c>
      <c r="M45" s="2">
        <v>267800594.29167053</v>
      </c>
      <c r="N45" s="2"/>
      <c r="O45" s="2"/>
      <c r="P45" s="2"/>
      <c r="Q45" s="2"/>
      <c r="R45" s="2"/>
      <c r="S45" s="1" t="s">
        <v>13</v>
      </c>
      <c r="T45" s="1" t="s">
        <v>29</v>
      </c>
      <c r="W45" s="6">
        <f t="shared" ref="W45" si="181">_xlfn.RANK.EQ(D45,$D45:$R45,1)</f>
        <v>1</v>
      </c>
      <c r="X45" s="6">
        <f t="shared" ref="X45" si="182">_xlfn.RANK.EQ(E45,$D45:$R45,1)</f>
        <v>6</v>
      </c>
      <c r="Y45" s="6">
        <f t="shared" ref="Y45" si="183">_xlfn.RANK.EQ(F45,$D45:$R45,1)</f>
        <v>2</v>
      </c>
      <c r="Z45" s="6">
        <f t="shared" ref="Z45" si="184">_xlfn.RANK.EQ(G45,$D45:$R45,1)</f>
        <v>5</v>
      </c>
      <c r="AA45" s="6">
        <f t="shared" ref="AA45" si="185">_xlfn.RANK.EQ(H45,$D45:$R45,1)</f>
        <v>8</v>
      </c>
      <c r="AB45" s="6">
        <f t="shared" ref="AB45" si="186">_xlfn.RANK.EQ(I45,$D45:$R45,1)</f>
        <v>3</v>
      </c>
      <c r="AC45" s="6">
        <f t="shared" ref="AC45" si="187">_xlfn.RANK.EQ(J45,$D45:$R45,1)</f>
        <v>9</v>
      </c>
      <c r="AD45" s="6">
        <f t="shared" ref="AD45" si="188">_xlfn.RANK.EQ(K45,$D45:$R45,1)</f>
        <v>4</v>
      </c>
      <c r="AE45" s="6">
        <f t="shared" ref="AE45" si="189">_xlfn.RANK.EQ(L45,$D45:$R45,1)</f>
        <v>7</v>
      </c>
      <c r="AF45" s="6" t="e">
        <f t="shared" ref="AF45" si="190">_xlfn.RANK.EQ(M45,$D45:$R45,1)</f>
        <v>#N/A</v>
      </c>
      <c r="AG45" s="6" t="e">
        <f t="shared" ref="AG45" si="191">_xlfn.RANK.EQ(N45,$D45:$R45,1)</f>
        <v>#N/A</v>
      </c>
      <c r="AH45" s="6" t="e">
        <f t="shared" ref="AH45" si="192">_xlfn.RANK.EQ(O45,$D45:$R45,1)</f>
        <v>#N/A</v>
      </c>
      <c r="AI45" s="6" t="e">
        <f t="shared" ref="AI45" si="193">_xlfn.RANK.EQ(P45,$D45:$R45,1)</f>
        <v>#N/A</v>
      </c>
      <c r="AJ45" s="6" t="e">
        <f t="shared" ref="AJ45" si="194">_xlfn.RANK.EQ(Q45,$D45:$R45,1)</f>
        <v>#N/A</v>
      </c>
      <c r="AK45" s="6" t="e">
        <f t="shared" ref="AK45" si="195">_xlfn.RANK.EQ(R45,$D45:$R45,1)</f>
        <v>#N/A</v>
      </c>
    </row>
    <row r="46" x14ac:dyDescent="0.3">
      <c r="A46" s="21"/>
      <c r="B46" s="22" t="s">
        <v>673</v>
      </c>
      <c r="C46" s="9" t="s">
        <v>732</v>
      </c>
      <c r="D46" s="7">
        <v>1147260.7875709706</v>
      </c>
      <c r="E46" s="7">
        <v>3340878118.5574694</v>
      </c>
      <c r="F46" s="7">
        <v>1435075.432220486</v>
      </c>
      <c r="G46" s="7">
        <v>557233141.57782006</v>
      </c>
      <c r="H46" s="7">
        <v>32392733.158348929</v>
      </c>
      <c r="I46" s="7">
        <v>15837746.449541176</v>
      </c>
      <c r="J46" s="7">
        <v>3110941352.7111959</v>
      </c>
      <c r="K46" s="7">
        <v>24223.446333242755</v>
      </c>
      <c r="L46" s="7">
        <v>8876.7500349636466</v>
      </c>
      <c r="M46" s="7">
        <v>492408299.51859862</v>
      </c>
      <c r="N46" s="7"/>
      <c r="O46" s="7"/>
      <c r="P46" s="7"/>
      <c r="Q46" s="7"/>
      <c r="R46" s="7"/>
      <c r="S46" s="3"/>
      <c r="T46" s="3" t="s">
        <v>30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x14ac:dyDescent="0.3">
      <c r="A47" s="21"/>
      <c r="B47" s="25" t="s">
        <v>673</v>
      </c>
      <c r="C47" s="4" t="s">
        <v>733</v>
      </c>
      <c r="D47" s="5">
        <v>9.8369791666666675</v>
      </c>
      <c r="E47" s="5">
        <v>2.2651041666666667</v>
      </c>
      <c r="F47" s="5">
        <v>1.5046875</v>
      </c>
      <c r="G47" s="5">
        <v>1</v>
      </c>
      <c r="H47" s="5">
        <v>0.7885416666666667</v>
      </c>
      <c r="I47" s="5">
        <v>0.7661458333333333</v>
      </c>
      <c r="J47" s="5">
        <v>13.425000000000001</v>
      </c>
      <c r="K47" s="5">
        <v>1.0260416666666667</v>
      </c>
      <c r="L47" s="5">
        <v>2.2937500000000002</v>
      </c>
      <c r="M47" s="5">
        <v>1.0041666666666667</v>
      </c>
      <c r="N47" s="5"/>
      <c r="O47" s="5"/>
      <c r="P47" s="5"/>
      <c r="Q47" s="5"/>
      <c r="R47" s="5"/>
      <c r="S47" s="4"/>
      <c r="T47" s="4" t="s">
        <v>31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x14ac:dyDescent="0.3">
      <c r="A48" s="21"/>
      <c r="B48" s="27" t="s">
        <v>674</v>
      </c>
      <c r="C48" s="1" t="s">
        <v>734</v>
      </c>
      <c r="D48" s="2">
        <v>8230.8219416293523</v>
      </c>
      <c r="E48" s="2">
        <v>17609.316531080742</v>
      </c>
      <c r="F48" s="2">
        <v>8911.4517393021397</v>
      </c>
      <c r="G48" s="2">
        <v>6863.034242595566</v>
      </c>
      <c r="H48" s="2">
        <v>9150.1007517268936</v>
      </c>
      <c r="I48" s="2">
        <v>7283.5330013988005</v>
      </c>
      <c r="J48" s="2">
        <v>15667.208482908061</v>
      </c>
      <c r="K48" s="2">
        <v>6775.6611685998996</v>
      </c>
      <c r="L48" s="2">
        <v>6704.3480736859719</v>
      </c>
      <c r="M48" s="2">
        <v>7299.9848433888728</v>
      </c>
      <c r="N48" s="2"/>
      <c r="O48" s="2"/>
      <c r="P48" s="2"/>
      <c r="Q48" s="2"/>
      <c r="R48" s="2"/>
      <c r="S48" s="1" t="s">
        <v>14</v>
      </c>
      <c r="T48" s="1" t="s">
        <v>29</v>
      </c>
      <c r="W48" s="6">
        <f t="shared" ref="W48" si="196">_xlfn.RANK.EQ(D48,$D48:$R48,1)</f>
        <v>1</v>
      </c>
      <c r="X48" s="6">
        <f t="shared" ref="X48" si="197">_xlfn.RANK.EQ(E48,$D48:$R48,1)</f>
        <v>3</v>
      </c>
      <c r="Y48" s="6">
        <f t="shared" ref="Y48" si="198">_xlfn.RANK.EQ(F48,$D48:$R48,1)</f>
        <v>2</v>
      </c>
      <c r="Z48" s="6">
        <f t="shared" ref="Z48" si="199">_xlfn.RANK.EQ(G48,$D48:$R48,1)</f>
        <v>7</v>
      </c>
      <c r="AA48" s="6">
        <f t="shared" ref="AA48" si="200">_xlfn.RANK.EQ(H48,$D48:$R48,1)</f>
        <v>8</v>
      </c>
      <c r="AB48" s="6">
        <f t="shared" ref="AB48" si="201">_xlfn.RANK.EQ(I48,$D48:$R48,1)</f>
        <v>5</v>
      </c>
      <c r="AC48" s="6">
        <f t="shared" ref="AC48" si="202">_xlfn.RANK.EQ(J48,$D48:$R48,1)</f>
        <v>9</v>
      </c>
      <c r="AD48" s="6">
        <f t="shared" ref="AD48" si="203">_xlfn.RANK.EQ(K48,$D48:$R48,1)</f>
        <v>6</v>
      </c>
      <c r="AE48" s="6">
        <f t="shared" ref="AE48" si="204">_xlfn.RANK.EQ(L48,$D48:$R48,1)</f>
        <v>4</v>
      </c>
      <c r="AF48" s="6" t="e">
        <f t="shared" ref="AF48" si="205">_xlfn.RANK.EQ(M48,$D48:$R48,1)</f>
        <v>#N/A</v>
      </c>
      <c r="AG48" s="6" t="e">
        <f t="shared" ref="AG48" si="206">_xlfn.RANK.EQ(N48,$D48:$R48,1)</f>
        <v>#N/A</v>
      </c>
      <c r="AH48" s="6" t="e">
        <f t="shared" ref="AH48" si="207">_xlfn.RANK.EQ(O48,$D48:$R48,1)</f>
        <v>#N/A</v>
      </c>
      <c r="AI48" s="6" t="e">
        <f t="shared" ref="AI48" si="208">_xlfn.RANK.EQ(P48,$D48:$R48,1)</f>
        <v>#N/A</v>
      </c>
      <c r="AJ48" s="6" t="e">
        <f t="shared" ref="AJ48" si="209">_xlfn.RANK.EQ(Q48,$D48:$R48,1)</f>
        <v>#N/A</v>
      </c>
      <c r="AK48" s="6" t="e">
        <f t="shared" ref="AK48" si="210">_xlfn.RANK.EQ(R48,$D48:$R48,1)</f>
        <v>#N/A</v>
      </c>
    </row>
    <row r="49" x14ac:dyDescent="0.3">
      <c r="A49" s="21"/>
      <c r="B49" s="22" t="s">
        <v>674</v>
      </c>
      <c r="C49" s="9" t="s">
        <v>735</v>
      </c>
      <c r="D49" s="7">
        <v>569.211668899355</v>
      </c>
      <c r="E49" s="7">
        <v>2013.2895219506884</v>
      </c>
      <c r="F49" s="7">
        <v>1018.9918367914214</v>
      </c>
      <c r="G49" s="7">
        <v>1099.736490630112</v>
      </c>
      <c r="H49" s="7">
        <v>1567.4200934200426</v>
      </c>
      <c r="I49" s="7">
        <v>777.57832023303615</v>
      </c>
      <c r="J49" s="7">
        <v>2564.8267046574574</v>
      </c>
      <c r="K49" s="7">
        <v>924.03812053032379</v>
      </c>
      <c r="L49" s="7">
        <v>820.46937966367932</v>
      </c>
      <c r="M49" s="7">
        <v>897.81916275135336</v>
      </c>
      <c r="N49" s="7"/>
      <c r="O49" s="7"/>
      <c r="P49" s="7"/>
      <c r="Q49" s="7"/>
      <c r="R49" s="7"/>
      <c r="S49" s="3"/>
      <c r="T49" s="3" t="s">
        <v>30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x14ac:dyDescent="0.3">
      <c r="A50" s="21"/>
      <c r="B50" s="25" t="s">
        <v>674</v>
      </c>
      <c r="C50" s="4" t="s">
        <v>736</v>
      </c>
      <c r="D50" s="5">
        <v>10.372395833333334</v>
      </c>
      <c r="E50" s="5">
        <v>2.3937499999999998</v>
      </c>
      <c r="F50" s="5">
        <v>1.5729166666666667</v>
      </c>
      <c r="G50" s="5">
        <v>1.0119791666666667</v>
      </c>
      <c r="H50" s="5">
        <v>0.81822916666666667</v>
      </c>
      <c r="I50" s="5">
        <v>0.78281250000000002</v>
      </c>
      <c r="J50" s="5">
        <v>12.423958333333333</v>
      </c>
      <c r="K50" s="5">
        <v>0.99791666666666667</v>
      </c>
      <c r="L50" s="5">
        <v>2.1843750000000002</v>
      </c>
      <c r="M50" s="5">
        <v>1.0333333333333334</v>
      </c>
      <c r="N50" s="5"/>
      <c r="O50" s="5"/>
      <c r="P50" s="5"/>
      <c r="Q50" s="5"/>
      <c r="R50" s="5"/>
      <c r="S50" s="4"/>
      <c r="T50" s="4" t="s">
        <v>31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4.4" customHeight="true" x14ac:dyDescent="0.3">
      <c r="A51" s="21"/>
      <c r="B51" s="27" t="s">
        <v>675</v>
      </c>
      <c r="C51" s="1" t="s">
        <v>737</v>
      </c>
      <c r="D51" s="2">
        <v>6642.3692987109489</v>
      </c>
      <c r="E51" s="2">
        <v>587204.15110679448</v>
      </c>
      <c r="F51" s="2">
        <v>6942.1951920473985</v>
      </c>
      <c r="G51" s="2">
        <v>6186.9930030864407</v>
      </c>
      <c r="H51" s="2">
        <v>6630.8741473757264</v>
      </c>
      <c r="I51" s="2">
        <v>6152.8552658126182</v>
      </c>
      <c r="J51" s="2">
        <v>197763.52359830198</v>
      </c>
      <c r="K51" s="2">
        <v>5923.6970479605188</v>
      </c>
      <c r="L51" s="2">
        <v>5899.3913735305632</v>
      </c>
      <c r="M51" s="2">
        <v>5995.8433981350008</v>
      </c>
      <c r="N51" s="2"/>
      <c r="O51" s="2"/>
      <c r="P51" s="2"/>
      <c r="Q51" s="2"/>
      <c r="R51" s="2"/>
      <c r="S51" s="1" t="s">
        <v>15</v>
      </c>
      <c r="T51" s="1" t="s">
        <v>29</v>
      </c>
      <c r="W51" s="6">
        <f t="shared" ref="W51" si="211">_xlfn.RANK.EQ(D51,$D51:$R51,1)</f>
        <v>1</v>
      </c>
      <c r="X51" s="6">
        <f t="shared" ref="X51" si="212">_xlfn.RANK.EQ(E51,$D51:$R51,1)</f>
        <v>4</v>
      </c>
      <c r="Y51" s="6">
        <f t="shared" ref="Y51" si="213">_xlfn.RANK.EQ(F51,$D51:$R51,1)</f>
        <v>2</v>
      </c>
      <c r="Z51" s="6">
        <f t="shared" ref="Z51" si="214">_xlfn.RANK.EQ(G51,$D51:$R51,1)</f>
        <v>7</v>
      </c>
      <c r="AA51" s="6">
        <f t="shared" ref="AA51" si="215">_xlfn.RANK.EQ(H51,$D51:$R51,1)</f>
        <v>8</v>
      </c>
      <c r="AB51" s="6">
        <f t="shared" ref="AB51" si="216">_xlfn.RANK.EQ(I51,$D51:$R51,1)</f>
        <v>3</v>
      </c>
      <c r="AC51" s="6">
        <f t="shared" ref="AC51" si="217">_xlfn.RANK.EQ(J51,$D51:$R51,1)</f>
        <v>9</v>
      </c>
      <c r="AD51" s="6">
        <f t="shared" ref="AD51" si="218">_xlfn.RANK.EQ(K51,$D51:$R51,1)</f>
        <v>6</v>
      </c>
      <c r="AE51" s="6">
        <f t="shared" ref="AE51" si="219">_xlfn.RANK.EQ(L51,$D51:$R51,1)</f>
        <v>5</v>
      </c>
      <c r="AF51" s="6" t="e">
        <f t="shared" ref="AF51" si="220">_xlfn.RANK.EQ(M51,$D51:$R51,1)</f>
        <v>#N/A</v>
      </c>
      <c r="AG51" s="6" t="e">
        <f t="shared" ref="AG51" si="221">_xlfn.RANK.EQ(N51,$D51:$R51,1)</f>
        <v>#N/A</v>
      </c>
      <c r="AH51" s="6" t="e">
        <f t="shared" ref="AH51" si="222">_xlfn.RANK.EQ(O51,$D51:$R51,1)</f>
        <v>#N/A</v>
      </c>
      <c r="AI51" s="6" t="e">
        <f t="shared" ref="AI51" si="223">_xlfn.RANK.EQ(P51,$D51:$R51,1)</f>
        <v>#N/A</v>
      </c>
      <c r="AJ51" s="6" t="e">
        <f t="shared" ref="AJ51" si="224">_xlfn.RANK.EQ(Q51,$D51:$R51,1)</f>
        <v>#N/A</v>
      </c>
      <c r="AK51" s="6" t="e">
        <f t="shared" ref="AK51" si="225">_xlfn.RANK.EQ(R51,$D51:$R51,1)</f>
        <v>#N/A</v>
      </c>
    </row>
    <row r="52" x14ac:dyDescent="0.3">
      <c r="A52" s="21"/>
      <c r="B52" s="22" t="s">
        <v>675</v>
      </c>
      <c r="C52" s="9" t="s">
        <v>738</v>
      </c>
      <c r="D52" s="7">
        <v>571.90318082821295</v>
      </c>
      <c r="E52" s="7">
        <v>1045017.2677587045</v>
      </c>
      <c r="F52" s="7">
        <v>851.33952165501955</v>
      </c>
      <c r="G52" s="7">
        <v>1435.4771312133644</v>
      </c>
      <c r="H52" s="7">
        <v>793.55498086211605</v>
      </c>
      <c r="I52" s="7">
        <v>632.16791084974</v>
      </c>
      <c r="J52" s="7">
        <v>322674.1794558636</v>
      </c>
      <c r="K52" s="7">
        <v>698.33064546989613</v>
      </c>
      <c r="L52" s="7">
        <v>607.60263618234535</v>
      </c>
      <c r="M52" s="7">
        <v>1341.5030558098822</v>
      </c>
      <c r="N52" s="7"/>
      <c r="O52" s="7"/>
      <c r="P52" s="7"/>
      <c r="Q52" s="7"/>
      <c r="R52" s="7"/>
      <c r="S52" s="3"/>
      <c r="T52" s="3" t="s">
        <v>30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x14ac:dyDescent="0.3">
      <c r="A53" s="21"/>
      <c r="B53" s="25" t="s">
        <v>675</v>
      </c>
      <c r="C53" s="4" t="s">
        <v>739</v>
      </c>
      <c r="D53" s="5">
        <v>13.455729166666666</v>
      </c>
      <c r="E53" s="5">
        <v>3.1937500000000001</v>
      </c>
      <c r="F53" s="5">
        <v>2.0416666666666665</v>
      </c>
      <c r="G53" s="5">
        <v>1.2505208333333333</v>
      </c>
      <c r="H53" s="5">
        <v>1.0661458333333333</v>
      </c>
      <c r="I53" s="5">
        <v>1.0093749999999999</v>
      </c>
      <c r="J53" s="5">
        <v>9.0046874999999993</v>
      </c>
      <c r="K53" s="5">
        <v>1.2005208333333333</v>
      </c>
      <c r="L53" s="5">
        <v>2.5484374999999999</v>
      </c>
      <c r="M53" s="5">
        <v>1.2182291666666667</v>
      </c>
      <c r="N53" s="5"/>
      <c r="O53" s="5"/>
      <c r="P53" s="5"/>
      <c r="Q53" s="5"/>
      <c r="R53" s="5"/>
      <c r="S53" s="4"/>
      <c r="T53" s="4" t="s">
        <v>31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x14ac:dyDescent="0.3">
      <c r="A54" s="21"/>
      <c r="B54" s="27" t="s">
        <v>676</v>
      </c>
      <c r="C54" s="1" t="s">
        <v>740</v>
      </c>
      <c r="D54" s="2">
        <v>3226805.7638397883</v>
      </c>
      <c r="E54" s="2">
        <v>64833789.77716691</v>
      </c>
      <c r="F54" s="2">
        <v>7039521.5819376297</v>
      </c>
      <c r="G54" s="2">
        <v>9499964.8335747644</v>
      </c>
      <c r="H54" s="2">
        <v>22459370.923572462</v>
      </c>
      <c r="I54" s="2">
        <v>33389857.113889635</v>
      </c>
      <c r="J54" s="2">
        <v>164370552.52605954</v>
      </c>
      <c r="K54" s="2">
        <v>7400001.2337796567</v>
      </c>
      <c r="L54" s="2">
        <v>5511244.3293928225</v>
      </c>
      <c r="M54" s="2">
        <v>10384129.18467151</v>
      </c>
      <c r="N54" s="2"/>
      <c r="O54" s="2"/>
      <c r="P54" s="2"/>
      <c r="Q54" s="2"/>
      <c r="R54" s="2"/>
      <c r="S54" s="1" t="s">
        <v>16</v>
      </c>
      <c r="T54" s="1" t="s">
        <v>29</v>
      </c>
      <c r="W54" s="6">
        <f t="shared" ref="W54" si="226">_xlfn.RANK.EQ(D54,$D54:$R54,1)</f>
        <v>1</v>
      </c>
      <c r="X54" s="6">
        <f t="shared" ref="X54" si="227">_xlfn.RANK.EQ(E54,$D54:$R54,1)</f>
        <v>3</v>
      </c>
      <c r="Y54" s="6">
        <f t="shared" ref="Y54" si="228">_xlfn.RANK.EQ(F54,$D54:$R54,1)</f>
        <v>2</v>
      </c>
      <c r="Z54" s="6">
        <f t="shared" ref="Z54" si="229">_xlfn.RANK.EQ(G54,$D54:$R54,1)</f>
        <v>7</v>
      </c>
      <c r="AA54" s="6">
        <f t="shared" ref="AA54" si="230">_xlfn.RANK.EQ(H54,$D54:$R54,1)</f>
        <v>9</v>
      </c>
      <c r="AB54" s="6">
        <f t="shared" ref="AB54" si="231">_xlfn.RANK.EQ(I54,$D54:$R54,1)</f>
        <v>4</v>
      </c>
      <c r="AC54" s="6">
        <f t="shared" ref="AC54" si="232">_xlfn.RANK.EQ(J54,$D54:$R54,1)</f>
        <v>8</v>
      </c>
      <c r="AD54" s="6">
        <f t="shared" ref="AD54" si="233">_xlfn.RANK.EQ(K54,$D54:$R54,1)</f>
        <v>5</v>
      </c>
      <c r="AE54" s="6">
        <f t="shared" ref="AE54" si="234">_xlfn.RANK.EQ(L54,$D54:$R54,1)</f>
        <v>6</v>
      </c>
      <c r="AF54" s="6" t="e">
        <f t="shared" ref="AF54" si="235">_xlfn.RANK.EQ(M54,$D54:$R54,1)</f>
        <v>#N/A</v>
      </c>
      <c r="AG54" s="6" t="e">
        <f t="shared" ref="AG54" si="236">_xlfn.RANK.EQ(N54,$D54:$R54,1)</f>
        <v>#N/A</v>
      </c>
      <c r="AH54" s="6" t="e">
        <f t="shared" ref="AH54" si="237">_xlfn.RANK.EQ(O54,$D54:$R54,1)</f>
        <v>#N/A</v>
      </c>
      <c r="AI54" s="6" t="e">
        <f t="shared" ref="AI54" si="238">_xlfn.RANK.EQ(P54,$D54:$R54,1)</f>
        <v>#N/A</v>
      </c>
      <c r="AJ54" s="6" t="e">
        <f t="shared" ref="AJ54" si="239">_xlfn.RANK.EQ(Q54,$D54:$R54,1)</f>
        <v>#N/A</v>
      </c>
      <c r="AK54" s="6" t="e">
        <f t="shared" ref="AK54" si="240">_xlfn.RANK.EQ(R54,$D54:$R54,1)</f>
        <v>#N/A</v>
      </c>
    </row>
    <row r="55" x14ac:dyDescent="0.3">
      <c r="A55" s="21"/>
      <c r="B55" s="22" t="s">
        <v>676</v>
      </c>
      <c r="C55" s="9" t="s">
        <v>741</v>
      </c>
      <c r="D55" s="7">
        <v>1109346.5079953233</v>
      </c>
      <c r="E55" s="7">
        <v>36130542.032170095</v>
      </c>
      <c r="F55" s="7">
        <v>3142655.9860107619</v>
      </c>
      <c r="G55" s="7">
        <v>6053094.8192824945</v>
      </c>
      <c r="H55" s="7">
        <v>11044930.835134679</v>
      </c>
      <c r="I55" s="7">
        <v>13904292.378362887</v>
      </c>
      <c r="J55" s="7">
        <v>122232832.41801435</v>
      </c>
      <c r="K55" s="7">
        <v>4437377.2567314338</v>
      </c>
      <c r="L55" s="7">
        <v>2135387.6810183511</v>
      </c>
      <c r="M55" s="7">
        <v>6949798.0172737287</v>
      </c>
      <c r="N55" s="7"/>
      <c r="O55" s="7"/>
      <c r="P55" s="7"/>
      <c r="Q55" s="7"/>
      <c r="R55" s="7"/>
      <c r="S55" s="3"/>
      <c r="T55" s="3" t="s">
        <v>30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x14ac:dyDescent="0.3">
      <c r="A56" s="21"/>
      <c r="B56" s="25" t="s">
        <v>676</v>
      </c>
      <c r="C56" s="4" t="s">
        <v>742</v>
      </c>
      <c r="D56" s="5">
        <v>10.711458333333333</v>
      </c>
      <c r="E56" s="5">
        <v>2.4130208333333334</v>
      </c>
      <c r="F56" s="5">
        <v>1.6052083333333333</v>
      </c>
      <c r="G56" s="5">
        <v>1.0546875</v>
      </c>
      <c r="H56" s="5">
        <v>0.85364583333333333</v>
      </c>
      <c r="I56" s="5">
        <v>0.79531249999999998</v>
      </c>
      <c r="J56" s="5">
        <v>15.623958333333333</v>
      </c>
      <c r="K56" s="5">
        <v>1.003125</v>
      </c>
      <c r="L56" s="5">
        <v>2.3088541666666669</v>
      </c>
      <c r="M56" s="5">
        <v>1.0348958333333333</v>
      </c>
      <c r="N56" s="5"/>
      <c r="O56" s="5"/>
      <c r="P56" s="5"/>
      <c r="Q56" s="5"/>
      <c r="R56" s="5"/>
      <c r="S56" s="4"/>
      <c r="T56" s="4" t="s">
        <v>31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x14ac:dyDescent="0.3">
      <c r="A57" s="21"/>
      <c r="B57" s="27" t="s">
        <v>677</v>
      </c>
      <c r="C57" s="1" t="s">
        <v>743</v>
      </c>
      <c r="D57" s="2">
        <v>11914654.112982841</v>
      </c>
      <c r="E57" s="2">
        <v>10429339410.405355</v>
      </c>
      <c r="F57" s="2">
        <v>17303244.156142164</v>
      </c>
      <c r="G57" s="2">
        <v>235609054.77001104</v>
      </c>
      <c r="H57" s="2">
        <v>2648055.9844367369</v>
      </c>
      <c r="I57" s="2">
        <v>35730219.891089611</v>
      </c>
      <c r="J57" s="2">
        <v>4511240436.8255196</v>
      </c>
      <c r="K57" s="2">
        <v>14956972.334262917</v>
      </c>
      <c r="L57" s="2">
        <v>42916.839489968355</v>
      </c>
      <c r="M57" s="2">
        <v>214525862.96531332</v>
      </c>
      <c r="N57" s="2"/>
      <c r="O57" s="2"/>
      <c r="P57" s="2"/>
      <c r="Q57" s="2"/>
      <c r="R57" s="2"/>
      <c r="S57" s="1" t="s">
        <v>17</v>
      </c>
      <c r="T57" s="1" t="s">
        <v>29</v>
      </c>
      <c r="W57" s="6">
        <f t="shared" ref="W57" si="241">_xlfn.RANK.EQ(D57,$D57:$R57,1)</f>
        <v>1</v>
      </c>
      <c r="X57" s="6">
        <f t="shared" ref="X57" si="242">_xlfn.RANK.EQ(E57,$D57:$R57,1)</f>
        <v>5</v>
      </c>
      <c r="Y57" s="6">
        <f t="shared" ref="Y57" si="243">_xlfn.RANK.EQ(F57,$D57:$R57,1)</f>
        <v>2</v>
      </c>
      <c r="Z57" s="6">
        <f t="shared" ref="Z57" si="244">_xlfn.RANK.EQ(G57,$D57:$R57,1)</f>
        <v>4</v>
      </c>
      <c r="AA57" s="6">
        <f t="shared" ref="AA57" si="245">_xlfn.RANK.EQ(H57,$D57:$R57,1)</f>
        <v>8</v>
      </c>
      <c r="AB57" s="6">
        <f t="shared" ref="AB57" si="246">_xlfn.RANK.EQ(I57,$D57:$R57,1)</f>
        <v>6</v>
      </c>
      <c r="AC57" s="6">
        <f t="shared" ref="AC57" si="247">_xlfn.RANK.EQ(J57,$D57:$R57,1)</f>
        <v>9</v>
      </c>
      <c r="AD57" s="6">
        <f t="shared" ref="AD57" si="248">_xlfn.RANK.EQ(K57,$D57:$R57,1)</f>
        <v>3</v>
      </c>
      <c r="AE57" s="6">
        <f t="shared" ref="AE57" si="249">_xlfn.RANK.EQ(L57,$D57:$R57,1)</f>
        <v>7</v>
      </c>
      <c r="AF57" s="6" t="e">
        <f t="shared" ref="AF57" si="250">_xlfn.RANK.EQ(M57,$D57:$R57,1)</f>
        <v>#N/A</v>
      </c>
      <c r="AG57" s="6" t="e">
        <f t="shared" ref="AG57" si="251">_xlfn.RANK.EQ(N57,$D57:$R57,1)</f>
        <v>#N/A</v>
      </c>
      <c r="AH57" s="6" t="e">
        <f t="shared" ref="AH57" si="252">_xlfn.RANK.EQ(O57,$D57:$R57,1)</f>
        <v>#N/A</v>
      </c>
      <c r="AI57" s="6" t="e">
        <f t="shared" ref="AI57" si="253">_xlfn.RANK.EQ(P57,$D57:$R57,1)</f>
        <v>#N/A</v>
      </c>
      <c r="AJ57" s="6" t="e">
        <f t="shared" ref="AJ57" si="254">_xlfn.RANK.EQ(Q57,$D57:$R57,1)</f>
        <v>#N/A</v>
      </c>
      <c r="AK57" s="6" t="e">
        <f t="shared" ref="AK57" si="255">_xlfn.RANK.EQ(R57,$D57:$R57,1)</f>
        <v>#N/A</v>
      </c>
    </row>
    <row r="58" x14ac:dyDescent="0.3">
      <c r="A58" s="21"/>
      <c r="B58" s="22" t="s">
        <v>677</v>
      </c>
      <c r="C58" s="9" t="s">
        <v>744</v>
      </c>
      <c r="D58" s="7">
        <v>5337477.9550062381</v>
      </c>
      <c r="E58" s="7">
        <v>2564457838.0110321</v>
      </c>
      <c r="F58" s="7">
        <v>7769340.9565952439</v>
      </c>
      <c r="G58" s="7">
        <v>216955153.26933318</v>
      </c>
      <c r="H58" s="7">
        <v>12227793.305237738</v>
      </c>
      <c r="I58" s="7">
        <v>17927972.333074436</v>
      </c>
      <c r="J58" s="7">
        <v>3721891287.3329749</v>
      </c>
      <c r="K58" s="7">
        <v>57428255.449793167</v>
      </c>
      <c r="L58" s="7">
        <v>17044.904047921438</v>
      </c>
      <c r="M58" s="7">
        <v>209363309.5581508</v>
      </c>
      <c r="N58" s="7"/>
      <c r="O58" s="7"/>
      <c r="P58" s="7"/>
      <c r="Q58" s="7"/>
      <c r="R58" s="7"/>
      <c r="S58" s="3"/>
      <c r="T58" s="3" t="s">
        <v>30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x14ac:dyDescent="0.3">
      <c r="A59" s="24"/>
      <c r="B59" s="25" t="s">
        <v>677</v>
      </c>
      <c r="C59" s="4" t="s">
        <v>745</v>
      </c>
      <c r="D59" s="5">
        <v>32.321874999999999</v>
      </c>
      <c r="E59" s="5">
        <v>8.2619791666666664</v>
      </c>
      <c r="F59" s="5">
        <v>4.8421874999999996</v>
      </c>
      <c r="G59" s="5">
        <v>2.5182291666666665</v>
      </c>
      <c r="H59" s="5">
        <v>2.2932291666666669</v>
      </c>
      <c r="I59" s="5">
        <v>2.1927083333333335</v>
      </c>
      <c r="J59" s="5">
        <v>13.557291666666666</v>
      </c>
      <c r="K59" s="5">
        <v>2.4520833333333334</v>
      </c>
      <c r="L59" s="5">
        <v>3.6432291666666665</v>
      </c>
      <c r="M59" s="5">
        <v>2.4536458333333333</v>
      </c>
      <c r="N59" s="5"/>
      <c r="O59" s="5"/>
      <c r="P59" s="5"/>
      <c r="Q59" s="5"/>
      <c r="R59" s="5"/>
      <c r="S59" s="4"/>
      <c r="T59" s="4" t="s">
        <v>31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x14ac:dyDescent="0.3">
      <c r="A60" s="26" t="s">
        <v>34</v>
      </c>
      <c r="B60" s="27" t="s">
        <v>678</v>
      </c>
      <c r="C60" s="1" t="s">
        <v>746</v>
      </c>
      <c r="D60" s="2">
        <v>6125.533324964078</v>
      </c>
      <c r="E60" s="2">
        <v>7353.8259589128375</v>
      </c>
      <c r="F60" s="2">
        <v>6354.2017620580837</v>
      </c>
      <c r="G60" s="2">
        <v>6197.4493154422544</v>
      </c>
      <c r="H60" s="2">
        <v>7379.3431295210112</v>
      </c>
      <c r="I60" s="2">
        <v>6221.318758636703</v>
      </c>
      <c r="J60" s="2">
        <v>7597.03040020565</v>
      </c>
      <c r="K60" s="2">
        <v>5646.6726401939713</v>
      </c>
      <c r="L60" s="2">
        <v>5601.4646897789826</v>
      </c>
      <c r="M60" s="2">
        <v>6104.2903980883402</v>
      </c>
      <c r="N60" s="2"/>
      <c r="O60" s="2"/>
      <c r="P60" s="2"/>
      <c r="Q60" s="2"/>
      <c r="R60" s="2"/>
      <c r="S60" s="1" t="s">
        <v>18</v>
      </c>
      <c r="T60" s="1" t="s">
        <v>29</v>
      </c>
      <c r="W60" s="6">
        <f t="shared" ref="W60" si="256">_xlfn.RANK.EQ(D60,$D60:$R60,1)</f>
        <v>1</v>
      </c>
      <c r="X60" s="6">
        <f t="shared" ref="X60" si="257">_xlfn.RANK.EQ(E60,$D60:$R60,1)</f>
        <v>4</v>
      </c>
      <c r="Y60" s="6">
        <f t="shared" ref="Y60" si="258">_xlfn.RANK.EQ(F60,$D60:$R60,1)</f>
        <v>2</v>
      </c>
      <c r="Z60" s="6">
        <f t="shared" ref="Z60" si="259">_xlfn.RANK.EQ(G60,$D60:$R60,1)</f>
        <v>9</v>
      </c>
      <c r="AA60" s="6">
        <f t="shared" ref="AA60" si="260">_xlfn.RANK.EQ(H60,$D60:$R60,1)</f>
        <v>8</v>
      </c>
      <c r="AB60" s="6">
        <f t="shared" ref="AB60" si="261">_xlfn.RANK.EQ(I60,$D60:$R60,1)</f>
        <v>3</v>
      </c>
      <c r="AC60" s="6">
        <f t="shared" ref="AC60" si="262">_xlfn.RANK.EQ(J60,$D60:$R60,1)</f>
        <v>6</v>
      </c>
      <c r="AD60" s="6">
        <f t="shared" ref="AD60" si="263">_xlfn.RANK.EQ(K60,$D60:$R60,1)</f>
        <v>7</v>
      </c>
      <c r="AE60" s="6">
        <f t="shared" ref="AE60" si="264">_xlfn.RANK.EQ(L60,$D60:$R60,1)</f>
        <v>5</v>
      </c>
      <c r="AF60" s="6" t="e">
        <f t="shared" ref="AF60" si="265">_xlfn.RANK.EQ(M60,$D60:$R60,1)</f>
        <v>#N/A</v>
      </c>
      <c r="AG60" s="6" t="e">
        <f t="shared" ref="AG60" si="266">_xlfn.RANK.EQ(N60,$D60:$R60,1)</f>
        <v>#N/A</v>
      </c>
      <c r="AH60" s="6" t="e">
        <f t="shared" ref="AH60" si="267">_xlfn.RANK.EQ(O60,$D60:$R60,1)</f>
        <v>#N/A</v>
      </c>
      <c r="AI60" s="6" t="e">
        <f t="shared" ref="AI60" si="268">_xlfn.RANK.EQ(P60,$D60:$R60,1)</f>
        <v>#N/A</v>
      </c>
      <c r="AJ60" s="6" t="e">
        <f t="shared" ref="AJ60" si="269">_xlfn.RANK.EQ(Q60,$D60:$R60,1)</f>
        <v>#N/A</v>
      </c>
      <c r="AK60" s="6" t="e">
        <f t="shared" ref="AK60" si="270">_xlfn.RANK.EQ(R60,$D60:$R60,1)</f>
        <v>#N/A</v>
      </c>
    </row>
    <row r="61" x14ac:dyDescent="0.3">
      <c r="A61" s="21"/>
      <c r="B61" s="22" t="s">
        <v>678</v>
      </c>
      <c r="C61" s="9" t="s">
        <v>747</v>
      </c>
      <c r="D61" s="7">
        <v>496.58964015142266</v>
      </c>
      <c r="E61" s="7">
        <v>499.68596385123232</v>
      </c>
      <c r="F61" s="7">
        <v>408.92871054804795</v>
      </c>
      <c r="G61" s="7">
        <v>1384.9365678214576</v>
      </c>
      <c r="H61" s="7">
        <v>392.56479693928776</v>
      </c>
      <c r="I61" s="7">
        <v>632.48279394221095</v>
      </c>
      <c r="J61" s="7">
        <v>675.27044911106668</v>
      </c>
      <c r="K61" s="7">
        <v>423.74649345810303</v>
      </c>
      <c r="L61" s="7">
        <v>603.3905811701843</v>
      </c>
      <c r="M61" s="7">
        <v>1141.4594456042241</v>
      </c>
      <c r="N61" s="7"/>
      <c r="O61" s="7"/>
      <c r="P61" s="7"/>
      <c r="Q61" s="7"/>
      <c r="R61" s="7"/>
      <c r="S61" s="3"/>
      <c r="T61" s="3" t="s">
        <v>30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x14ac:dyDescent="0.3">
      <c r="A62" s="21"/>
      <c r="B62" s="25" t="s">
        <v>678</v>
      </c>
      <c r="C62" s="4" t="s">
        <v>748</v>
      </c>
      <c r="D62" s="5">
        <v>16.315625000000001</v>
      </c>
      <c r="E62" s="5">
        <v>3.3838541666666666</v>
      </c>
      <c r="F62" s="5">
        <v>2.1322916666666667</v>
      </c>
      <c r="G62" s="5">
        <v>1.2864583333333333</v>
      </c>
      <c r="H62" s="5">
        <v>1.1015625</v>
      </c>
      <c r="I62" s="5">
        <v>1.0848958333333334</v>
      </c>
      <c r="J62" s="5">
        <v>10.851041666666667</v>
      </c>
      <c r="K62" s="5">
        <v>1.2223958333333333</v>
      </c>
      <c r="L62" s="5">
        <v>2.4598958333333334</v>
      </c>
      <c r="M62" s="5">
        <v>1.2760416666666667</v>
      </c>
      <c r="N62" s="5"/>
      <c r="O62" s="5"/>
      <c r="P62" s="5"/>
      <c r="Q62" s="5"/>
      <c r="R62" s="5"/>
      <c r="S62" s="4"/>
      <c r="T62" s="4" t="s">
        <v>31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x14ac:dyDescent="0.3">
      <c r="A63" s="21"/>
      <c r="B63" s="27" t="s">
        <v>679</v>
      </c>
      <c r="C63" s="1" t="s">
        <v>749</v>
      </c>
      <c r="D63" s="2">
        <v>3875.5168401374012</v>
      </c>
      <c r="E63" s="2">
        <v>4573.9972918894937</v>
      </c>
      <c r="F63" s="2">
        <v>4289.8129454341206</v>
      </c>
      <c r="G63" s="2">
        <v>3142.1754381887995</v>
      </c>
      <c r="H63" s="2">
        <v>3386.3422039358438</v>
      </c>
      <c r="I63" s="2">
        <v>3232.0549320304676</v>
      </c>
      <c r="J63" s="2">
        <v>4454.516358323307</v>
      </c>
      <c r="K63" s="2">
        <v>3372.579639414877</v>
      </c>
      <c r="L63" s="2">
        <v>3859.1936926547105</v>
      </c>
      <c r="M63" s="2">
        <v>3214.3884297821719</v>
      </c>
      <c r="N63" s="2"/>
      <c r="O63" s="2"/>
      <c r="P63" s="2"/>
      <c r="Q63" s="2"/>
      <c r="R63" s="2"/>
      <c r="S63" s="1" t="s">
        <v>19</v>
      </c>
      <c r="T63" s="1" t="s">
        <v>29</v>
      </c>
      <c r="W63" s="6">
        <f t="shared" ref="W63" si="271">_xlfn.RANK.EQ(D63,$D63:$R63,1)</f>
        <v>2</v>
      </c>
      <c r="X63" s="6">
        <f t="shared" ref="X63" si="272">_xlfn.RANK.EQ(E63,$D63:$R63,1)</f>
        <v>4</v>
      </c>
      <c r="Y63" s="6">
        <f t="shared" ref="Y63" si="273">_xlfn.RANK.EQ(F63,$D63:$R63,1)</f>
        <v>7</v>
      </c>
      <c r="Z63" s="6">
        <f t="shared" ref="Z63" si="274">_xlfn.RANK.EQ(G63,$D63:$R63,1)</f>
        <v>6</v>
      </c>
      <c r="AA63" s="6">
        <f t="shared" ref="AA63" si="275">_xlfn.RANK.EQ(H63,$D63:$R63,1)</f>
        <v>8</v>
      </c>
      <c r="AB63" s="6">
        <f t="shared" ref="AB63" si="276">_xlfn.RANK.EQ(I63,$D63:$R63,1)</f>
        <v>5</v>
      </c>
      <c r="AC63" s="6">
        <f t="shared" ref="AC63" si="277">_xlfn.RANK.EQ(J63,$D63:$R63,1)</f>
        <v>9</v>
      </c>
      <c r="AD63" s="6">
        <f t="shared" ref="AD63" si="278">_xlfn.RANK.EQ(K63,$D63:$R63,1)</f>
        <v>3</v>
      </c>
      <c r="AE63" s="6">
        <f t="shared" ref="AE63" si="279">_xlfn.RANK.EQ(L63,$D63:$R63,1)</f>
        <v>1</v>
      </c>
      <c r="AF63" s="6" t="e">
        <f t="shared" ref="AF63" si="280">_xlfn.RANK.EQ(M63,$D63:$R63,1)</f>
        <v>#N/A</v>
      </c>
      <c r="AG63" s="6" t="e">
        <f t="shared" ref="AG63" si="281">_xlfn.RANK.EQ(N63,$D63:$R63,1)</f>
        <v>#N/A</v>
      </c>
      <c r="AH63" s="6" t="e">
        <f t="shared" ref="AH63" si="282">_xlfn.RANK.EQ(O63,$D63:$R63,1)</f>
        <v>#N/A</v>
      </c>
      <c r="AI63" s="6" t="e">
        <f t="shared" ref="AI63" si="283">_xlfn.RANK.EQ(P63,$D63:$R63,1)</f>
        <v>#N/A</v>
      </c>
      <c r="AJ63" s="6" t="e">
        <f t="shared" ref="AJ63" si="284">_xlfn.RANK.EQ(Q63,$D63:$R63,1)</f>
        <v>#N/A</v>
      </c>
      <c r="AK63" s="6" t="e">
        <f t="shared" ref="AK63" si="285">_xlfn.RANK.EQ(R63,$D63:$R63,1)</f>
        <v>#N/A</v>
      </c>
    </row>
    <row r="64" x14ac:dyDescent="0.3">
      <c r="A64" s="21"/>
      <c r="B64" s="22" t="s">
        <v>679</v>
      </c>
      <c r="C64" s="9" t="s">
        <v>750</v>
      </c>
      <c r="D64" s="7">
        <v>152.6821962905079</v>
      </c>
      <c r="E64" s="7">
        <v>180.52595289035486</v>
      </c>
      <c r="F64" s="7">
        <v>227.61337695756475</v>
      </c>
      <c r="G64" s="7">
        <v>147.86882744410448</v>
      </c>
      <c r="H64" s="7">
        <v>125.65430145142149</v>
      </c>
      <c r="I64" s="7">
        <v>76.958708487353519</v>
      </c>
      <c r="J64" s="7">
        <v>169.54143611162505</v>
      </c>
      <c r="K64" s="7">
        <v>139.02882709305837</v>
      </c>
      <c r="L64" s="7">
        <v>177.58568652988794</v>
      </c>
      <c r="M64" s="7">
        <v>209.30479597428626</v>
      </c>
      <c r="N64" s="7"/>
      <c r="O64" s="7"/>
      <c r="P64" s="7"/>
      <c r="Q64" s="7"/>
      <c r="R64" s="7"/>
      <c r="S64" s="3"/>
      <c r="T64" s="3" t="s">
        <v>30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x14ac:dyDescent="0.3">
      <c r="A65" s="21"/>
      <c r="B65" s="25" t="s">
        <v>679</v>
      </c>
      <c r="C65" s="4" t="s">
        <v>751</v>
      </c>
      <c r="D65" s="5">
        <v>29.034895833333334</v>
      </c>
      <c r="E65" s="5">
        <v>7.2432291666666666</v>
      </c>
      <c r="F65" s="5">
        <v>4.2260416666666663</v>
      </c>
      <c r="G65" s="5">
        <v>2.1708333333333334</v>
      </c>
      <c r="H65" s="5">
        <v>1.9937499999999999</v>
      </c>
      <c r="I65" s="5">
        <v>1.9848958333333333</v>
      </c>
      <c r="J65" s="5">
        <v>14.541145833333333</v>
      </c>
      <c r="K65" s="5">
        <v>2.2338541666666667</v>
      </c>
      <c r="L65" s="5">
        <v>3.5177083333333332</v>
      </c>
      <c r="M65" s="5">
        <v>2.2281249999999999</v>
      </c>
      <c r="N65" s="5"/>
      <c r="O65" s="5"/>
      <c r="P65" s="5"/>
      <c r="Q65" s="5"/>
      <c r="R65" s="5"/>
      <c r="S65" s="4"/>
      <c r="T65" s="4" t="s">
        <v>31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x14ac:dyDescent="0.3">
      <c r="A66" s="21"/>
      <c r="B66" s="27" t="s">
        <v>680</v>
      </c>
      <c r="C66" s="1" t="s">
        <v>752</v>
      </c>
      <c r="D66" s="2">
        <v>25460.340076488676</v>
      </c>
      <c r="E66" s="2">
        <v>33697.944755454919</v>
      </c>
      <c r="F66" s="2">
        <v>26152.812280665479</v>
      </c>
      <c r="G66" s="2">
        <v>26337.12373697916</v>
      </c>
      <c r="H66" s="2">
        <v>33405.009570698188</v>
      </c>
      <c r="I66" s="2">
        <v>23451.437142046736</v>
      </c>
      <c r="J66" s="2">
        <v>33224.049651853129</v>
      </c>
      <c r="K66" s="2">
        <v>25456.365280474402</v>
      </c>
      <c r="L66" s="2">
        <v>20589.742933484122</v>
      </c>
      <c r="M66" s="2">
        <v>26129.971754865277</v>
      </c>
      <c r="N66" s="2"/>
      <c r="O66" s="2"/>
      <c r="P66" s="2"/>
      <c r="Q66" s="2"/>
      <c r="R66" s="2"/>
      <c r="S66" s="1" t="s">
        <v>20</v>
      </c>
      <c r="T66" s="1" t="s">
        <v>29</v>
      </c>
      <c r="W66" s="6">
        <f t="shared" ref="W66" si="286">_xlfn.RANK.EQ(D66,$D66:$R66,1)</f>
        <v>1</v>
      </c>
      <c r="X66" s="6">
        <f t="shared" ref="X66" si="287">_xlfn.RANK.EQ(E66,$D66:$R66,1)</f>
        <v>5</v>
      </c>
      <c r="Y66" s="6">
        <f t="shared" ref="Y66" si="288">_xlfn.RANK.EQ(F66,$D66:$R66,1)</f>
        <v>2</v>
      </c>
      <c r="Z66" s="6">
        <f t="shared" ref="Z66" si="289">_xlfn.RANK.EQ(G66,$D66:$R66,1)</f>
        <v>9</v>
      </c>
      <c r="AA66" s="6">
        <f t="shared" ref="AA66" si="290">_xlfn.RANK.EQ(H66,$D66:$R66,1)</f>
        <v>7</v>
      </c>
      <c r="AB66" s="6">
        <f t="shared" ref="AB66" si="291">_xlfn.RANK.EQ(I66,$D66:$R66,1)</f>
        <v>3</v>
      </c>
      <c r="AC66" s="6">
        <f t="shared" ref="AC66" si="292">_xlfn.RANK.EQ(J66,$D66:$R66,1)</f>
        <v>6</v>
      </c>
      <c r="AD66" s="6">
        <f t="shared" ref="AD66" si="293">_xlfn.RANK.EQ(K66,$D66:$R66,1)</f>
        <v>8</v>
      </c>
      <c r="AE66" s="6">
        <f t="shared" ref="AE66" si="294">_xlfn.RANK.EQ(L66,$D66:$R66,1)</f>
        <v>4</v>
      </c>
      <c r="AF66" s="6" t="e">
        <f t="shared" ref="AF66" si="295">_xlfn.RANK.EQ(M66,$D66:$R66,1)</f>
        <v>#N/A</v>
      </c>
      <c r="AG66" s="6" t="e">
        <f t="shared" ref="AG66" si="296">_xlfn.RANK.EQ(N66,$D66:$R66,1)</f>
        <v>#N/A</v>
      </c>
      <c r="AH66" s="6" t="e">
        <f t="shared" ref="AH66" si="297">_xlfn.RANK.EQ(O66,$D66:$R66,1)</f>
        <v>#N/A</v>
      </c>
      <c r="AI66" s="6" t="e">
        <f t="shared" ref="AI66" si="298">_xlfn.RANK.EQ(P66,$D66:$R66,1)</f>
        <v>#N/A</v>
      </c>
      <c r="AJ66" s="6" t="e">
        <f t="shared" ref="AJ66" si="299">_xlfn.RANK.EQ(Q66,$D66:$R66,1)</f>
        <v>#N/A</v>
      </c>
      <c r="AK66" s="6" t="e">
        <f t="shared" ref="AK66" si="300">_xlfn.RANK.EQ(R66,$D66:$R66,1)</f>
        <v>#N/A</v>
      </c>
    </row>
    <row r="67" x14ac:dyDescent="0.3">
      <c r="A67" s="21"/>
      <c r="B67" s="22" t="s">
        <v>680</v>
      </c>
      <c r="C67" s="9" t="s">
        <v>753</v>
      </c>
      <c r="D67" s="7">
        <v>1122.0800819257011</v>
      </c>
      <c r="E67" s="7">
        <v>945.72144698054103</v>
      </c>
      <c r="F67" s="7">
        <v>1274.368993424549</v>
      </c>
      <c r="G67" s="7">
        <v>6865.4306400627438</v>
      </c>
      <c r="H67" s="7">
        <v>1701.769437306282</v>
      </c>
      <c r="I67" s="7">
        <v>1044.9534592532311</v>
      </c>
      <c r="J67" s="7">
        <v>1656.3365181005249</v>
      </c>
      <c r="K67" s="7">
        <v>1068.7135416702092</v>
      </c>
      <c r="L67" s="7">
        <v>1545.0605572144241</v>
      </c>
      <c r="M67" s="7">
        <v>6552.3975735898475</v>
      </c>
      <c r="N67" s="7"/>
      <c r="O67" s="7"/>
      <c r="P67" s="7"/>
      <c r="Q67" s="7"/>
      <c r="R67" s="7"/>
      <c r="S67" s="3"/>
      <c r="T67" s="3" t="s">
        <v>30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x14ac:dyDescent="0.3">
      <c r="A68" s="21"/>
      <c r="B68" s="25" t="s">
        <v>680</v>
      </c>
      <c r="C68" s="4" t="s">
        <v>754</v>
      </c>
      <c r="D68" s="5">
        <v>29.936979166666667</v>
      </c>
      <c r="E68" s="5">
        <v>7.6109375000000004</v>
      </c>
      <c r="F68" s="5">
        <v>4.3692708333333332</v>
      </c>
      <c r="G68" s="5">
        <v>2.2802083333333334</v>
      </c>
      <c r="H68" s="5">
        <v>2.171875</v>
      </c>
      <c r="I68" s="5">
        <v>2.0406249999999999</v>
      </c>
      <c r="J68" s="5">
        <v>14.233333333333333</v>
      </c>
      <c r="K68" s="5">
        <v>2.2468750000000002</v>
      </c>
      <c r="L68" s="5">
        <v>3.4427083333333335</v>
      </c>
      <c r="M68" s="5">
        <v>2.2729166666666667</v>
      </c>
      <c r="N68" s="5"/>
      <c r="O68" s="5"/>
      <c r="P68" s="5"/>
      <c r="Q68" s="5"/>
      <c r="R68" s="5"/>
      <c r="S68" s="4"/>
      <c r="T68" s="4" t="s">
        <v>31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4.4" customHeight="true" x14ac:dyDescent="0.3">
      <c r="A69" s="21"/>
      <c r="B69" s="27" t="s">
        <v>681</v>
      </c>
      <c r="C69" s="1" t="s">
        <v>755</v>
      </c>
      <c r="D69" s="2">
        <v>4578.7730671762947</v>
      </c>
      <c r="E69" s="2">
        <v>6209.7680909649198</v>
      </c>
      <c r="F69" s="2">
        <v>5582.0843831692146</v>
      </c>
      <c r="G69" s="2">
        <v>3785.7814366388816</v>
      </c>
      <c r="H69" s="2">
        <v>3690.1070971358581</v>
      </c>
      <c r="I69" s="2">
        <v>3530.5308636638219</v>
      </c>
      <c r="J69" s="2">
        <v>5817.3148891995424</v>
      </c>
      <c r="K69" s="2">
        <v>3960.4092447443745</v>
      </c>
      <c r="L69" s="2">
        <v>5378.136759541374</v>
      </c>
      <c r="M69" s="2">
        <v>3797.3545047488074</v>
      </c>
      <c r="N69" s="2"/>
      <c r="O69" s="2"/>
      <c r="P69" s="2"/>
      <c r="Q69" s="2"/>
      <c r="R69" s="2"/>
      <c r="S69" s="1" t="s">
        <v>21</v>
      </c>
      <c r="T69" s="1" t="s">
        <v>29</v>
      </c>
      <c r="W69" s="6">
        <f t="shared" ref="W69" si="301">_xlfn.RANK.EQ(D69,$D69:$R69,1)</f>
        <v>3</v>
      </c>
      <c r="X69" s="6">
        <f t="shared" ref="X69" si="302">_xlfn.RANK.EQ(E69,$D69:$R69,1)</f>
        <v>5</v>
      </c>
      <c r="Y69" s="6">
        <f t="shared" ref="Y69" si="303">_xlfn.RANK.EQ(F69,$D69:$R69,1)</f>
        <v>7</v>
      </c>
      <c r="Z69" s="6">
        <f t="shared" ref="Z69" si="304">_xlfn.RANK.EQ(G69,$D69:$R69,1)</f>
        <v>6</v>
      </c>
      <c r="AA69" s="6">
        <f t="shared" ref="AA69" si="305">_xlfn.RANK.EQ(H69,$D69:$R69,1)</f>
        <v>8</v>
      </c>
      <c r="AB69" s="6">
        <f t="shared" ref="AB69" si="306">_xlfn.RANK.EQ(I69,$D69:$R69,1)</f>
        <v>4</v>
      </c>
      <c r="AC69" s="6">
        <f t="shared" ref="AC69" si="307">_xlfn.RANK.EQ(J69,$D69:$R69,1)</f>
        <v>9</v>
      </c>
      <c r="AD69" s="6">
        <f t="shared" ref="AD69" si="308">_xlfn.RANK.EQ(K69,$D69:$R69,1)</f>
        <v>2</v>
      </c>
      <c r="AE69" s="6">
        <f t="shared" ref="AE69" si="309">_xlfn.RANK.EQ(L69,$D69:$R69,1)</f>
        <v>1</v>
      </c>
      <c r="AF69" s="6" t="e">
        <f t="shared" ref="AF69" si="310">_xlfn.RANK.EQ(M69,$D69:$R69,1)</f>
        <v>#N/A</v>
      </c>
      <c r="AG69" s="6" t="e">
        <f t="shared" ref="AG69" si="311">_xlfn.RANK.EQ(N69,$D69:$R69,1)</f>
        <v>#N/A</v>
      </c>
      <c r="AH69" s="6" t="e">
        <f t="shared" ref="AH69" si="312">_xlfn.RANK.EQ(O69,$D69:$R69,1)</f>
        <v>#N/A</v>
      </c>
      <c r="AI69" s="6" t="e">
        <f t="shared" ref="AI69" si="313">_xlfn.RANK.EQ(P69,$D69:$R69,1)</f>
        <v>#N/A</v>
      </c>
      <c r="AJ69" s="6" t="e">
        <f t="shared" ref="AJ69" si="314">_xlfn.RANK.EQ(Q69,$D69:$R69,1)</f>
        <v>#N/A</v>
      </c>
      <c r="AK69" s="6" t="e">
        <f t="shared" ref="AK69" si="315">_xlfn.RANK.EQ(R69,$D69:$R69,1)</f>
        <v>#N/A</v>
      </c>
    </row>
    <row r="70" x14ac:dyDescent="0.3">
      <c r="A70" s="21"/>
      <c r="B70" s="22" t="s">
        <v>681</v>
      </c>
      <c r="C70" s="9" t="s">
        <v>756</v>
      </c>
      <c r="D70" s="7">
        <v>173.5797782036301</v>
      </c>
      <c r="E70" s="7">
        <v>343.63752091647763</v>
      </c>
      <c r="F70" s="7">
        <v>403.53772738198222</v>
      </c>
      <c r="G70" s="7">
        <v>165.75939055375542</v>
      </c>
      <c r="H70" s="7">
        <v>105.91778435214709</v>
      </c>
      <c r="I70" s="7">
        <v>58.761550094393684</v>
      </c>
      <c r="J70" s="7">
        <v>389.04726064239571</v>
      </c>
      <c r="K70" s="7">
        <v>214.35839987130589</v>
      </c>
      <c r="L70" s="7">
        <v>251.1841728338824</v>
      </c>
      <c r="M70" s="7">
        <v>156.06948130786907</v>
      </c>
      <c r="N70" s="7"/>
      <c r="O70" s="7"/>
      <c r="P70" s="7"/>
      <c r="Q70" s="7"/>
      <c r="R70" s="7"/>
      <c r="S70" s="3"/>
      <c r="T70" s="3" t="s">
        <v>30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x14ac:dyDescent="0.3">
      <c r="A71" s="21"/>
      <c r="B71" s="25" t="s">
        <v>681</v>
      </c>
      <c r="C71" s="4" t="s">
        <v>757</v>
      </c>
      <c r="D71" s="5">
        <v>38.27760416666667</v>
      </c>
      <c r="E71" s="5">
        <v>9.7421875</v>
      </c>
      <c r="F71" s="5">
        <v>5.5578124999999998</v>
      </c>
      <c r="G71" s="5">
        <v>2.7567708333333334</v>
      </c>
      <c r="H71" s="5">
        <v>2.6005208333333334</v>
      </c>
      <c r="I71" s="5">
        <v>2.5208333333333335</v>
      </c>
      <c r="J71" s="5">
        <v>18.166145833333335</v>
      </c>
      <c r="K71" s="5">
        <v>2.7250000000000001</v>
      </c>
      <c r="L71" s="5">
        <v>3.9546874999999999</v>
      </c>
      <c r="M71" s="5">
        <v>2.7598958333333332</v>
      </c>
      <c r="N71" s="5"/>
      <c r="O71" s="5"/>
      <c r="P71" s="5"/>
      <c r="Q71" s="5"/>
      <c r="R71" s="5"/>
      <c r="S71" s="4"/>
      <c r="T71" s="4" t="s">
        <v>31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x14ac:dyDescent="0.3">
      <c r="A72" s="21"/>
      <c r="B72" s="27" t="s">
        <v>682</v>
      </c>
      <c r="C72" s="1" t="s">
        <v>758</v>
      </c>
      <c r="D72" s="2">
        <v>5535.7018340198347</v>
      </c>
      <c r="E72" s="2">
        <v>9112.2375498736546</v>
      </c>
      <c r="F72" s="2">
        <v>7305.4508793283267</v>
      </c>
      <c r="G72" s="2">
        <v>4598.851716984881</v>
      </c>
      <c r="H72" s="2">
        <v>4407.9910009846499</v>
      </c>
      <c r="I72" s="2">
        <v>4251.3751242878261</v>
      </c>
      <c r="J72" s="2">
        <v>8526.2321953350838</v>
      </c>
      <c r="K72" s="2">
        <v>4672.3052661626571</v>
      </c>
      <c r="L72" s="2">
        <v>6468.900845153863</v>
      </c>
      <c r="M72" s="2">
        <v>4576.5405370965264</v>
      </c>
      <c r="N72" s="2"/>
      <c r="O72" s="2"/>
      <c r="P72" s="2"/>
      <c r="Q72" s="2"/>
      <c r="R72" s="2"/>
      <c r="S72" s="1" t="s">
        <v>22</v>
      </c>
      <c r="T72" s="1" t="s">
        <v>29</v>
      </c>
      <c r="W72" s="6">
        <f t="shared" ref="W72" si="316">_xlfn.RANK.EQ(D72,$D72:$R72,1)</f>
        <v>6</v>
      </c>
      <c r="X72" s="6">
        <f t="shared" ref="X72" si="317">_xlfn.RANK.EQ(E72,$D72:$R72,1)</f>
        <v>5</v>
      </c>
      <c r="Y72" s="6">
        <f t="shared" ref="Y72" si="318">_xlfn.RANK.EQ(F72,$D72:$R72,1)</f>
        <v>7</v>
      </c>
      <c r="Z72" s="6">
        <f t="shared" ref="Z72" si="319">_xlfn.RANK.EQ(G72,$D72:$R72,1)</f>
        <v>3</v>
      </c>
      <c r="AA72" s="6">
        <f t="shared" ref="AA72" si="320">_xlfn.RANK.EQ(H72,$D72:$R72,1)</f>
        <v>8</v>
      </c>
      <c r="AB72" s="6">
        <f t="shared" ref="AB72" si="321">_xlfn.RANK.EQ(I72,$D72:$R72,1)</f>
        <v>4</v>
      </c>
      <c r="AC72" s="6">
        <f t="shared" ref="AC72" si="322">_xlfn.RANK.EQ(J72,$D72:$R72,1)</f>
        <v>9</v>
      </c>
      <c r="AD72" s="6">
        <f t="shared" ref="AD72" si="323">_xlfn.RANK.EQ(K72,$D72:$R72,1)</f>
        <v>2</v>
      </c>
      <c r="AE72" s="6">
        <f t="shared" ref="AE72" si="324">_xlfn.RANK.EQ(L72,$D72:$R72,1)</f>
        <v>1</v>
      </c>
      <c r="AF72" s="6" t="e">
        <f t="shared" ref="AF72" si="325">_xlfn.RANK.EQ(M72,$D72:$R72,1)</f>
        <v>#N/A</v>
      </c>
      <c r="AG72" s="6" t="e">
        <f t="shared" ref="AG72" si="326">_xlfn.RANK.EQ(N72,$D72:$R72,1)</f>
        <v>#N/A</v>
      </c>
      <c r="AH72" s="6" t="e">
        <f t="shared" ref="AH72" si="327">_xlfn.RANK.EQ(O72,$D72:$R72,1)</f>
        <v>#N/A</v>
      </c>
      <c r="AI72" s="6" t="e">
        <f t="shared" ref="AI72" si="328">_xlfn.RANK.EQ(P72,$D72:$R72,1)</f>
        <v>#N/A</v>
      </c>
      <c r="AJ72" s="6" t="e">
        <f t="shared" ref="AJ72" si="329">_xlfn.RANK.EQ(Q72,$D72:$R72,1)</f>
        <v>#N/A</v>
      </c>
      <c r="AK72" s="6" t="e">
        <f t="shared" ref="AK72" si="330">_xlfn.RANK.EQ(R72,$D72:$R72,1)</f>
        <v>#N/A</v>
      </c>
    </row>
    <row r="73" x14ac:dyDescent="0.3">
      <c r="A73" s="21"/>
      <c r="B73" s="22" t="s">
        <v>682</v>
      </c>
      <c r="C73" s="9" t="s">
        <v>759</v>
      </c>
      <c r="D73" s="7">
        <v>311.63571409104532</v>
      </c>
      <c r="E73" s="7">
        <v>797.71819790963161</v>
      </c>
      <c r="F73" s="7">
        <v>504.17625767604034</v>
      </c>
      <c r="G73" s="7">
        <v>204.21913991796154</v>
      </c>
      <c r="H73" s="7">
        <v>77.844436221007484</v>
      </c>
      <c r="I73" s="7">
        <v>80.964371500240048</v>
      </c>
      <c r="J73" s="7">
        <v>1140.0627898757452</v>
      </c>
      <c r="K73" s="7">
        <v>240.74648712197563</v>
      </c>
      <c r="L73" s="7">
        <v>391.36651679938728</v>
      </c>
      <c r="M73" s="7">
        <v>177.02722832031907</v>
      </c>
      <c r="N73" s="7"/>
      <c r="O73" s="7"/>
      <c r="P73" s="7"/>
      <c r="Q73" s="7"/>
      <c r="R73" s="7"/>
      <c r="S73" s="3"/>
      <c r="T73" s="3" t="s">
        <v>30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x14ac:dyDescent="0.3">
      <c r="A74" s="21"/>
      <c r="B74" s="25" t="s">
        <v>682</v>
      </c>
      <c r="C74" s="4" t="s">
        <v>760</v>
      </c>
      <c r="D74" s="5">
        <v>39.220833333333331</v>
      </c>
      <c r="E74" s="5">
        <v>10.2328125</v>
      </c>
      <c r="F74" s="5">
        <v>5.8869791666666664</v>
      </c>
      <c r="G74" s="5">
        <v>2.8770833333333332</v>
      </c>
      <c r="H74" s="5">
        <v>2.7005208333333335</v>
      </c>
      <c r="I74" s="5">
        <v>2.7286458333333332</v>
      </c>
      <c r="J74" s="5">
        <v>18.185937500000001</v>
      </c>
      <c r="K74" s="5">
        <v>2.8598958333333333</v>
      </c>
      <c r="L74" s="5">
        <v>4.0515625000000002</v>
      </c>
      <c r="M74" s="5">
        <v>2.8645833333333335</v>
      </c>
      <c r="N74" s="5"/>
      <c r="O74" s="5"/>
      <c r="P74" s="5"/>
      <c r="Q74" s="5"/>
      <c r="R74" s="5"/>
      <c r="S74" s="4"/>
      <c r="T74" s="4" t="s">
        <v>31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x14ac:dyDescent="0.3">
      <c r="A75" s="21"/>
      <c r="B75" s="27" t="s">
        <v>683</v>
      </c>
      <c r="C75" s="1" t="s">
        <v>761</v>
      </c>
      <c r="D75" s="2">
        <v>3686.2090077000571</v>
      </c>
      <c r="E75" s="2">
        <v>20985.291594767048</v>
      </c>
      <c r="F75" s="2">
        <v>4179.3811054952112</v>
      </c>
      <c r="G75" s="2">
        <v>6768.943545624441</v>
      </c>
      <c r="H75" s="2">
        <v>5522.7585740542818</v>
      </c>
      <c r="I75" s="2">
        <v>5421.7284677220978</v>
      </c>
      <c r="J75" s="2">
        <v>24312.056662125749</v>
      </c>
      <c r="K75" s="2">
        <v>5667.4611776521206</v>
      </c>
      <c r="L75" s="2">
        <v>3756.8361235000079</v>
      </c>
      <c r="M75" s="2">
        <v>7234.605828526177</v>
      </c>
      <c r="N75" s="2"/>
      <c r="O75" s="2"/>
      <c r="P75" s="2"/>
      <c r="Q75" s="2"/>
      <c r="R75" s="2"/>
      <c r="S75" s="1" t="s">
        <v>23</v>
      </c>
      <c r="T75" s="1" t="s">
        <v>29</v>
      </c>
      <c r="W75" s="6">
        <f t="shared" ref="W75" si="331">_xlfn.RANK.EQ(D75,$D75:$R75,1)</f>
        <v>1</v>
      </c>
      <c r="X75" s="6">
        <f t="shared" ref="X75" si="332">_xlfn.RANK.EQ(E75,$D75:$R75,1)</f>
        <v>6</v>
      </c>
      <c r="Y75" s="6">
        <f t="shared" ref="Y75" si="333">_xlfn.RANK.EQ(F75,$D75:$R75,1)</f>
        <v>2</v>
      </c>
      <c r="Z75" s="6">
        <f t="shared" ref="Z75" si="334">_xlfn.RANK.EQ(G75,$D75:$R75,1)</f>
        <v>7</v>
      </c>
      <c r="AA75" s="6">
        <f t="shared" ref="AA75" si="335">_xlfn.RANK.EQ(H75,$D75:$R75,1)</f>
        <v>9</v>
      </c>
      <c r="AB75" s="6">
        <f t="shared" ref="AB75" si="336">_xlfn.RANK.EQ(I75,$D75:$R75,1)</f>
        <v>3</v>
      </c>
      <c r="AC75" s="6">
        <f t="shared" ref="AC75" si="337">_xlfn.RANK.EQ(J75,$D75:$R75,1)</f>
        <v>8</v>
      </c>
      <c r="AD75" s="6">
        <f t="shared" ref="AD75" si="338">_xlfn.RANK.EQ(K75,$D75:$R75,1)</f>
        <v>5</v>
      </c>
      <c r="AE75" s="6">
        <f t="shared" ref="AE75" si="339">_xlfn.RANK.EQ(L75,$D75:$R75,1)</f>
        <v>4</v>
      </c>
      <c r="AF75" s="6" t="e">
        <f t="shared" ref="AF75" si="340">_xlfn.RANK.EQ(M75,$D75:$R75,1)</f>
        <v>#N/A</v>
      </c>
      <c r="AG75" s="6" t="e">
        <f t="shared" ref="AG75" si="341">_xlfn.RANK.EQ(N75,$D75:$R75,1)</f>
        <v>#N/A</v>
      </c>
      <c r="AH75" s="6" t="e">
        <f t="shared" ref="AH75" si="342">_xlfn.RANK.EQ(O75,$D75:$R75,1)</f>
        <v>#N/A</v>
      </c>
      <c r="AI75" s="6" t="e">
        <f t="shared" ref="AI75" si="343">_xlfn.RANK.EQ(P75,$D75:$R75,1)</f>
        <v>#N/A</v>
      </c>
      <c r="AJ75" s="6" t="e">
        <f t="shared" ref="AJ75" si="344">_xlfn.RANK.EQ(Q75,$D75:$R75,1)</f>
        <v>#N/A</v>
      </c>
      <c r="AK75" s="6" t="e">
        <f t="shared" ref="AK75" si="345">_xlfn.RANK.EQ(R75,$D75:$R75,1)</f>
        <v>#N/A</v>
      </c>
    </row>
    <row r="76" x14ac:dyDescent="0.3">
      <c r="A76" s="21"/>
      <c r="B76" s="22" t="s">
        <v>683</v>
      </c>
      <c r="C76" s="9" t="s">
        <v>762</v>
      </c>
      <c r="D76" s="7">
        <v>79.255061906225407</v>
      </c>
      <c r="E76" s="7">
        <v>1587.4131623883361</v>
      </c>
      <c r="F76" s="7">
        <v>166.54821066301776</v>
      </c>
      <c r="G76" s="7">
        <v>863.9079741065799</v>
      </c>
      <c r="H76" s="7">
        <v>720.45791014719123</v>
      </c>
      <c r="I76" s="7">
        <v>456.11932875076531</v>
      </c>
      <c r="J76" s="7">
        <v>7247.3181288007818</v>
      </c>
      <c r="K76" s="7">
        <v>1134.1127661943326</v>
      </c>
      <c r="L76" s="7">
        <v>73.371492961329992</v>
      </c>
      <c r="M76" s="7">
        <v>1065.8756189497144</v>
      </c>
      <c r="N76" s="7"/>
      <c r="O76" s="7"/>
      <c r="P76" s="7"/>
      <c r="Q76" s="7"/>
      <c r="R76" s="7"/>
      <c r="S76" s="3"/>
      <c r="T76" s="3" t="s">
        <v>30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x14ac:dyDescent="0.3">
      <c r="A77" s="21"/>
      <c r="B77" s="25" t="s">
        <v>683</v>
      </c>
      <c r="C77" s="4" t="s">
        <v>763</v>
      </c>
      <c r="D77" s="5">
        <v>43.52760416666667</v>
      </c>
      <c r="E77" s="5">
        <v>11.272916666666667</v>
      </c>
      <c r="F77" s="5">
        <v>6.3578124999999996</v>
      </c>
      <c r="G77" s="5">
        <v>3.1130208333333331</v>
      </c>
      <c r="H77" s="5">
        <v>2.9296875</v>
      </c>
      <c r="I77" s="5">
        <v>2.9307291666666666</v>
      </c>
      <c r="J77" s="5">
        <v>9.0151041666666671</v>
      </c>
      <c r="K77" s="5">
        <v>3.1656249999999999</v>
      </c>
      <c r="L77" s="5">
        <v>4.3250000000000002</v>
      </c>
      <c r="M77" s="5">
        <v>3.1312500000000001</v>
      </c>
      <c r="N77" s="5"/>
      <c r="O77" s="5"/>
      <c r="P77" s="5"/>
      <c r="Q77" s="5"/>
      <c r="R77" s="5"/>
      <c r="S77" s="4"/>
      <c r="T77" s="4" t="s">
        <v>31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x14ac:dyDescent="0.3">
      <c r="A78" s="21"/>
      <c r="B78" s="27" t="s">
        <v>684</v>
      </c>
      <c r="C78" s="1" t="s">
        <v>764</v>
      </c>
      <c r="D78" s="2">
        <v>22268.513540050964</v>
      </c>
      <c r="E78" s="2">
        <v>45284.710104170932</v>
      </c>
      <c r="F78" s="2">
        <v>29137.09476221295</v>
      </c>
      <c r="G78" s="2">
        <v>18815.438851323761</v>
      </c>
      <c r="H78" s="2">
        <v>16358.442106488261</v>
      </c>
      <c r="I78" s="2">
        <v>16020.961305217626</v>
      </c>
      <c r="J78" s="2">
        <v>47156.212312240816</v>
      </c>
      <c r="K78" s="2">
        <v>19441.249622224081</v>
      </c>
      <c r="L78" s="2">
        <v>34237.319521087062</v>
      </c>
      <c r="M78" s="2">
        <v>18816.259379705643</v>
      </c>
      <c r="N78" s="2"/>
      <c r="O78" s="2"/>
      <c r="P78" s="2"/>
      <c r="Q78" s="2"/>
      <c r="R78" s="2"/>
      <c r="S78" s="1" t="s">
        <v>24</v>
      </c>
      <c r="T78" s="1" t="s">
        <v>29</v>
      </c>
      <c r="W78" s="6">
        <f t="shared" ref="W78" si="346">_xlfn.RANK.EQ(D78,$D78:$R78,1)</f>
        <v>6</v>
      </c>
      <c r="X78" s="6">
        <f t="shared" ref="X78" si="347">_xlfn.RANK.EQ(E78,$D78:$R78,1)</f>
        <v>4</v>
      </c>
      <c r="Y78" s="6">
        <f t="shared" ref="Y78" si="348">_xlfn.RANK.EQ(F78,$D78:$R78,1)</f>
        <v>7</v>
      </c>
      <c r="Z78" s="6">
        <f t="shared" ref="Z78" si="349">_xlfn.RANK.EQ(G78,$D78:$R78,1)</f>
        <v>3</v>
      </c>
      <c r="AA78" s="6">
        <f t="shared" ref="AA78" si="350">_xlfn.RANK.EQ(H78,$D78:$R78,1)</f>
        <v>9</v>
      </c>
      <c r="AB78" s="6">
        <f t="shared" ref="AB78" si="351">_xlfn.RANK.EQ(I78,$D78:$R78,1)</f>
        <v>5</v>
      </c>
      <c r="AC78" s="6">
        <f t="shared" ref="AC78" si="352">_xlfn.RANK.EQ(J78,$D78:$R78,1)</f>
        <v>8</v>
      </c>
      <c r="AD78" s="6">
        <f t="shared" ref="AD78" si="353">_xlfn.RANK.EQ(K78,$D78:$R78,1)</f>
        <v>2</v>
      </c>
      <c r="AE78" s="6">
        <f t="shared" ref="AE78" si="354">_xlfn.RANK.EQ(L78,$D78:$R78,1)</f>
        <v>1</v>
      </c>
      <c r="AF78" s="6" t="e">
        <f t="shared" ref="AF78" si="355">_xlfn.RANK.EQ(M78,$D78:$R78,1)</f>
        <v>#N/A</v>
      </c>
      <c r="AG78" s="6" t="e">
        <f t="shared" ref="AG78" si="356">_xlfn.RANK.EQ(N78,$D78:$R78,1)</f>
        <v>#N/A</v>
      </c>
      <c r="AH78" s="6" t="e">
        <f t="shared" ref="AH78" si="357">_xlfn.RANK.EQ(O78,$D78:$R78,1)</f>
        <v>#N/A</v>
      </c>
      <c r="AI78" s="6" t="e">
        <f t="shared" ref="AI78" si="358">_xlfn.RANK.EQ(P78,$D78:$R78,1)</f>
        <v>#N/A</v>
      </c>
      <c r="AJ78" s="6" t="e">
        <f t="shared" ref="AJ78" si="359">_xlfn.RANK.EQ(Q78,$D78:$R78,1)</f>
        <v>#N/A</v>
      </c>
      <c r="AK78" s="6" t="e">
        <f t="shared" ref="AK78" si="360">_xlfn.RANK.EQ(R78,$D78:$R78,1)</f>
        <v>#N/A</v>
      </c>
    </row>
    <row r="79" x14ac:dyDescent="0.3">
      <c r="A79" s="21"/>
      <c r="B79" s="22" t="s">
        <v>684</v>
      </c>
      <c r="C79" s="9" t="s">
        <v>765</v>
      </c>
      <c r="D79" s="7">
        <v>7921.9768094967349</v>
      </c>
      <c r="E79" s="7">
        <v>3019.5567672882526</v>
      </c>
      <c r="F79" s="7">
        <v>2538.8333540014733</v>
      </c>
      <c r="G79" s="7">
        <v>1269.4983154732706</v>
      </c>
      <c r="H79" s="7">
        <v>952.02666481340725</v>
      </c>
      <c r="I79" s="7">
        <v>716.85628791747968</v>
      </c>
      <c r="J79" s="7">
        <v>7441.4677027863163</v>
      </c>
      <c r="K79" s="7">
        <v>2416.6303857116263</v>
      </c>
      <c r="L79" s="7">
        <v>2439.8321895395052</v>
      </c>
      <c r="M79" s="7">
        <v>1873.6295685099406</v>
      </c>
      <c r="N79" s="7"/>
      <c r="O79" s="7"/>
      <c r="P79" s="7"/>
      <c r="Q79" s="7"/>
      <c r="R79" s="7"/>
      <c r="S79" s="3"/>
      <c r="T79" s="3" t="s">
        <v>30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x14ac:dyDescent="0.3">
      <c r="A80" s="21"/>
      <c r="B80" s="25" t="s">
        <v>684</v>
      </c>
      <c r="C80" s="4" t="s">
        <v>766</v>
      </c>
      <c r="D80" s="5">
        <v>47.38645833333333</v>
      </c>
      <c r="E80" s="5">
        <v>12.245312500000001</v>
      </c>
      <c r="F80" s="5">
        <v>6.9489583333333336</v>
      </c>
      <c r="G80" s="5">
        <v>3.3380208333333332</v>
      </c>
      <c r="H80" s="5">
        <v>3.1875</v>
      </c>
      <c r="I80" s="5">
        <v>3.1317708333333334</v>
      </c>
      <c r="J80" s="5">
        <v>16.177604166666665</v>
      </c>
      <c r="K80" s="5">
        <v>3.3401041666666669</v>
      </c>
      <c r="L80" s="5">
        <v>4.5692708333333334</v>
      </c>
      <c r="M80" s="5">
        <v>3.3848958333333332</v>
      </c>
      <c r="N80" s="5"/>
      <c r="O80" s="5"/>
      <c r="P80" s="5"/>
      <c r="Q80" s="5"/>
      <c r="R80" s="5"/>
      <c r="S80" s="4"/>
      <c r="T80" s="4" t="s">
        <v>31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x14ac:dyDescent="0.3">
      <c r="A81" s="21"/>
      <c r="B81" s="27" t="s">
        <v>685</v>
      </c>
      <c r="C81" s="1" t="s">
        <v>767</v>
      </c>
      <c r="D81" s="2">
        <v>3996.3362983748834</v>
      </c>
      <c r="E81" s="2">
        <v>9772.2481297437898</v>
      </c>
      <c r="F81" s="2">
        <v>5393.8761956295957</v>
      </c>
      <c r="G81" s="2">
        <v>4291.4094809164017</v>
      </c>
      <c r="H81" s="2">
        <v>4110.8441738097781</v>
      </c>
      <c r="I81" s="2">
        <v>3917.1747905917673</v>
      </c>
      <c r="J81" s="2">
        <v>7235.2692159154258</v>
      </c>
      <c r="K81" s="2">
        <v>3944.5707185809151</v>
      </c>
      <c r="L81" s="2">
        <v>8940.3143893360811</v>
      </c>
      <c r="M81" s="2">
        <v>4388.5361661801981</v>
      </c>
      <c r="N81" s="2"/>
      <c r="O81" s="2"/>
      <c r="P81" s="2"/>
      <c r="Q81" s="2"/>
      <c r="R81" s="2"/>
      <c r="S81" s="1" t="s">
        <v>25</v>
      </c>
      <c r="T81" s="1" t="s">
        <v>29</v>
      </c>
      <c r="W81" s="6">
        <f t="shared" ref="W81" si="361">_xlfn.RANK.EQ(D81,$D81:$R81,1)</f>
        <v>1</v>
      </c>
      <c r="X81" s="6">
        <f t="shared" ref="X81" si="362">_xlfn.RANK.EQ(E81,$D81:$R81,1)</f>
        <v>3</v>
      </c>
      <c r="Y81" s="6">
        <f t="shared" ref="Y81" si="363">_xlfn.RANK.EQ(F81,$D81:$R81,1)</f>
        <v>8</v>
      </c>
      <c r="Z81" s="6">
        <f t="shared" ref="Z81" si="364">_xlfn.RANK.EQ(G81,$D81:$R81,1)</f>
        <v>2</v>
      </c>
      <c r="AA81" s="6">
        <f t="shared" ref="AA81" si="365">_xlfn.RANK.EQ(H81,$D81:$R81,1)</f>
        <v>7</v>
      </c>
      <c r="AB81" s="6">
        <f t="shared" ref="AB81" si="366">_xlfn.RANK.EQ(I81,$D81:$R81,1)</f>
        <v>6</v>
      </c>
      <c r="AC81" s="6">
        <f t="shared" ref="AC81" si="367">_xlfn.RANK.EQ(J81,$D81:$R81,1)</f>
        <v>9</v>
      </c>
      <c r="AD81" s="6">
        <f t="shared" ref="AD81" si="368">_xlfn.RANK.EQ(K81,$D81:$R81,1)</f>
        <v>5</v>
      </c>
      <c r="AE81" s="6">
        <f t="shared" ref="AE81" si="369">_xlfn.RANK.EQ(L81,$D81:$R81,1)</f>
        <v>4</v>
      </c>
      <c r="AF81" s="6" t="e">
        <f t="shared" ref="AF81" si="370">_xlfn.RANK.EQ(M81,$D81:$R81,1)</f>
        <v>#N/A</v>
      </c>
      <c r="AG81" s="6" t="e">
        <f t="shared" ref="AG81" si="371">_xlfn.RANK.EQ(N81,$D81:$R81,1)</f>
        <v>#N/A</v>
      </c>
      <c r="AH81" s="6" t="e">
        <f t="shared" ref="AH81" si="372">_xlfn.RANK.EQ(O81,$D81:$R81,1)</f>
        <v>#N/A</v>
      </c>
      <c r="AI81" s="6" t="e">
        <f t="shared" ref="AI81" si="373">_xlfn.RANK.EQ(P81,$D81:$R81,1)</f>
        <v>#N/A</v>
      </c>
      <c r="AJ81" s="6" t="e">
        <f t="shared" ref="AJ81" si="374">_xlfn.RANK.EQ(Q81,$D81:$R81,1)</f>
        <v>#N/A</v>
      </c>
      <c r="AK81" s="6" t="e">
        <f t="shared" ref="AK81" si="375">_xlfn.RANK.EQ(R81,$D81:$R81,1)</f>
        <v>#N/A</v>
      </c>
    </row>
    <row r="82" x14ac:dyDescent="0.3">
      <c r="A82" s="21"/>
      <c r="B82" s="22" t="s">
        <v>685</v>
      </c>
      <c r="C82" s="9" t="s">
        <v>768</v>
      </c>
      <c r="D82" s="7">
        <v>227.22051760556744</v>
      </c>
      <c r="E82" s="7">
        <v>1298.5270667588641</v>
      </c>
      <c r="F82" s="7">
        <v>1245.4550154003462</v>
      </c>
      <c r="G82" s="7">
        <v>184.85323338989309</v>
      </c>
      <c r="H82" s="7">
        <v>160.09943116446641</v>
      </c>
      <c r="I82" s="7">
        <v>126.41113161027462</v>
      </c>
      <c r="J82" s="7">
        <v>1427.4908866987043</v>
      </c>
      <c r="K82" s="7">
        <v>235.47747337309232</v>
      </c>
      <c r="L82" s="7">
        <v>1253.7042028310461</v>
      </c>
      <c r="M82" s="7">
        <v>219.87513046910033</v>
      </c>
      <c r="N82" s="7"/>
      <c r="O82" s="7"/>
      <c r="P82" s="7"/>
      <c r="Q82" s="7"/>
      <c r="R82" s="7"/>
      <c r="S82" s="3"/>
      <c r="T82" s="3" t="s">
        <v>30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x14ac:dyDescent="0.3">
      <c r="A83" s="21"/>
      <c r="B83" s="25" t="s">
        <v>685</v>
      </c>
      <c r="C83" s="4" t="s">
        <v>769</v>
      </c>
      <c r="D83" s="5">
        <v>56.455729166666664</v>
      </c>
      <c r="E83" s="5">
        <v>14.644270833333334</v>
      </c>
      <c r="F83" s="5">
        <v>8.1979166666666661</v>
      </c>
      <c r="G83" s="5">
        <v>3.9208333333333334</v>
      </c>
      <c r="H83" s="5">
        <v>3.7411458333333334</v>
      </c>
      <c r="I83" s="5">
        <v>3.7156250000000002</v>
      </c>
      <c r="J83" s="5">
        <v>18.436979166666667</v>
      </c>
      <c r="K83" s="5">
        <v>3.9729166666666669</v>
      </c>
      <c r="L83" s="5">
        <v>5.1755208333333336</v>
      </c>
      <c r="M83" s="5">
        <v>3.9411458333333331</v>
      </c>
      <c r="N83" s="5"/>
      <c r="O83" s="5"/>
      <c r="P83" s="5"/>
      <c r="Q83" s="5"/>
      <c r="R83" s="5"/>
      <c r="S83" s="4"/>
      <c r="T83" s="4" t="s">
        <v>31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x14ac:dyDescent="0.3">
      <c r="A84" s="21"/>
      <c r="B84" s="27" t="s">
        <v>686</v>
      </c>
      <c r="C84" s="1" t="s">
        <v>770</v>
      </c>
      <c r="D84" s="2">
        <v>3713.0598314858348</v>
      </c>
      <c r="E84" s="2">
        <v>24545.143748923751</v>
      </c>
      <c r="F84" s="2">
        <v>4760.7577888224578</v>
      </c>
      <c r="G84" s="2">
        <v>9920.338811761716</v>
      </c>
      <c r="H84" s="2">
        <v>7440.2980102135953</v>
      </c>
      <c r="I84" s="2">
        <v>6866.738130717833</v>
      </c>
      <c r="J84" s="2">
        <v>27158.128662983261</v>
      </c>
      <c r="K84" s="2">
        <v>8705.5262044327628</v>
      </c>
      <c r="L84" s="2">
        <v>4317.137871860361</v>
      </c>
      <c r="M84" s="2">
        <v>9634.1063042404494</v>
      </c>
      <c r="N84" s="2"/>
      <c r="O84" s="2"/>
      <c r="P84" s="2"/>
      <c r="Q84" s="2"/>
      <c r="R84" s="2"/>
      <c r="S84" s="1" t="s">
        <v>26</v>
      </c>
      <c r="T84" s="1" t="s">
        <v>29</v>
      </c>
      <c r="W84" s="6">
        <f t="shared" ref="W84" si="376">_xlfn.RANK.EQ(D84,$D84:$R84,1)</f>
        <v>1</v>
      </c>
      <c r="X84" s="6">
        <f t="shared" ref="X84" si="377">_xlfn.RANK.EQ(E84,$D84:$R84,1)</f>
        <v>6</v>
      </c>
      <c r="Y84" s="6">
        <f t="shared" ref="Y84" si="378">_xlfn.RANK.EQ(F84,$D84:$R84,1)</f>
        <v>2</v>
      </c>
      <c r="Z84" s="6">
        <f t="shared" ref="Z84" si="379">_xlfn.RANK.EQ(G84,$D84:$R84,1)</f>
        <v>7</v>
      </c>
      <c r="AA84" s="6">
        <f t="shared" ref="AA84" si="380">_xlfn.RANK.EQ(H84,$D84:$R84,1)</f>
        <v>8</v>
      </c>
      <c r="AB84" s="6">
        <f t="shared" ref="AB84" si="381">_xlfn.RANK.EQ(I84,$D84:$R84,1)</f>
        <v>3</v>
      </c>
      <c r="AC84" s="6">
        <f t="shared" ref="AC84" si="382">_xlfn.RANK.EQ(J84,$D84:$R84,1)</f>
        <v>9</v>
      </c>
      <c r="AD84" s="6">
        <f t="shared" ref="AD84" si="383">_xlfn.RANK.EQ(K84,$D84:$R84,1)</f>
        <v>5</v>
      </c>
      <c r="AE84" s="6">
        <f t="shared" ref="AE84" si="384">_xlfn.RANK.EQ(L84,$D84:$R84,1)</f>
        <v>4</v>
      </c>
      <c r="AF84" s="6" t="e">
        <f t="shared" ref="AF84" si="385">_xlfn.RANK.EQ(M84,$D84:$R84,1)</f>
        <v>#N/A</v>
      </c>
      <c r="AG84" s="6" t="e">
        <f t="shared" ref="AG84" si="386">_xlfn.RANK.EQ(N84,$D84:$R84,1)</f>
        <v>#N/A</v>
      </c>
      <c r="AH84" s="6" t="e">
        <f t="shared" ref="AH84" si="387">_xlfn.RANK.EQ(O84,$D84:$R84,1)</f>
        <v>#N/A</v>
      </c>
      <c r="AI84" s="6" t="e">
        <f t="shared" ref="AI84" si="388">_xlfn.RANK.EQ(P84,$D84:$R84,1)</f>
        <v>#N/A</v>
      </c>
      <c r="AJ84" s="6" t="e">
        <f t="shared" ref="AJ84" si="389">_xlfn.RANK.EQ(Q84,$D84:$R84,1)</f>
        <v>#N/A</v>
      </c>
      <c r="AK84" s="6" t="e">
        <f t="shared" ref="AK84" si="390">_xlfn.RANK.EQ(R84,$D84:$R84,1)</f>
        <v>#N/A</v>
      </c>
    </row>
    <row r="85" x14ac:dyDescent="0.3">
      <c r="A85" s="21"/>
      <c r="B85" s="22" t="s">
        <v>686</v>
      </c>
      <c r="C85" s="9" t="s">
        <v>771</v>
      </c>
      <c r="D85" s="7">
        <v>58.401901231378147</v>
      </c>
      <c r="E85" s="7">
        <v>977.89328760060152</v>
      </c>
      <c r="F85" s="7">
        <v>219.06615791383805</v>
      </c>
      <c r="G85" s="7">
        <v>1518.2038758771268</v>
      </c>
      <c r="H85" s="7">
        <v>1644.4416089060487</v>
      </c>
      <c r="I85" s="7">
        <v>1078.8038682706119</v>
      </c>
      <c r="J85" s="7">
        <v>4159.2351672966461</v>
      </c>
      <c r="K85" s="7">
        <v>2166.8939188221188</v>
      </c>
      <c r="L85" s="7">
        <v>267.38587471325582</v>
      </c>
      <c r="M85" s="7">
        <v>1657.0131017703472</v>
      </c>
      <c r="N85" s="7"/>
      <c r="O85" s="7"/>
      <c r="P85" s="7"/>
      <c r="Q85" s="7"/>
      <c r="R85" s="7"/>
      <c r="S85" s="3"/>
      <c r="T85" s="3" t="s">
        <v>30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x14ac:dyDescent="0.3">
      <c r="A86" s="21"/>
      <c r="B86" s="25" t="s">
        <v>686</v>
      </c>
      <c r="C86" s="4" t="s">
        <v>772</v>
      </c>
      <c r="D86" s="5">
        <v>52.744791666666664</v>
      </c>
      <c r="E86" s="5">
        <v>13.778124999999999</v>
      </c>
      <c r="F86" s="5">
        <v>7.6526041666666664</v>
      </c>
      <c r="G86" s="5">
        <v>3.7161458333333335</v>
      </c>
      <c r="H86" s="5">
        <v>3.5276041666666669</v>
      </c>
      <c r="I86" s="5">
        <v>3.4927083333333333</v>
      </c>
      <c r="J86" s="5">
        <v>10.9765625</v>
      </c>
      <c r="K86" s="5">
        <v>3.75</v>
      </c>
      <c r="L86" s="5">
        <v>4.9682291666666663</v>
      </c>
      <c r="M86" s="5">
        <v>3.7421875</v>
      </c>
      <c r="N86" s="5"/>
      <c r="O86" s="5"/>
      <c r="P86" s="5"/>
      <c r="Q86" s="5"/>
      <c r="R86" s="5"/>
      <c r="S86" s="4"/>
      <c r="T86" s="4" t="s">
        <v>31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x14ac:dyDescent="0.3">
      <c r="A87" s="21"/>
      <c r="B87" s="27" t="s">
        <v>687</v>
      </c>
      <c r="C87" s="1" t="s">
        <v>773</v>
      </c>
      <c r="D87" s="2">
        <v>9695.8374840931374</v>
      </c>
      <c r="E87" s="2">
        <v>128076.48954806259</v>
      </c>
      <c r="F87" s="2">
        <v>11506.830853124435</v>
      </c>
      <c r="G87" s="2">
        <v>9814.4453426356795</v>
      </c>
      <c r="H87" s="2">
        <v>8885.7091292895584</v>
      </c>
      <c r="I87" s="2">
        <v>8047.7834382187702</v>
      </c>
      <c r="J87" s="2">
        <v>126853.52554833541</v>
      </c>
      <c r="K87" s="2">
        <v>8122.6804004694122</v>
      </c>
      <c r="L87" s="2">
        <v>9041.245966269993</v>
      </c>
      <c r="M87" s="2">
        <v>9334.2291349713851</v>
      </c>
      <c r="N87" s="2"/>
      <c r="O87" s="2"/>
      <c r="P87" s="2"/>
      <c r="Q87" s="2"/>
      <c r="R87" s="2"/>
      <c r="S87" s="1" t="s">
        <v>27</v>
      </c>
      <c r="T87" s="1" t="s">
        <v>29</v>
      </c>
      <c r="W87" s="6">
        <f t="shared" ref="W87" si="391">_xlfn.RANK.EQ(D87,$D87:$R87,1)</f>
        <v>1</v>
      </c>
      <c r="X87" s="6">
        <f t="shared" ref="X87" si="392">_xlfn.RANK.EQ(E87,$D87:$R87,1)</f>
        <v>2</v>
      </c>
      <c r="Y87" s="6">
        <f t="shared" ref="Y87" si="393">_xlfn.RANK.EQ(F87,$D87:$R87,1)</f>
        <v>4</v>
      </c>
      <c r="Z87" s="6">
        <f t="shared" ref="Z87" si="394">_xlfn.RANK.EQ(G87,$D87:$R87,1)</f>
        <v>6</v>
      </c>
      <c r="AA87" s="6">
        <f t="shared" ref="AA87" si="395">_xlfn.RANK.EQ(H87,$D87:$R87,1)</f>
        <v>8</v>
      </c>
      <c r="AB87" s="6">
        <f t="shared" ref="AB87" si="396">_xlfn.RANK.EQ(I87,$D87:$R87,1)</f>
        <v>7</v>
      </c>
      <c r="AC87" s="6">
        <f t="shared" ref="AC87" si="397">_xlfn.RANK.EQ(J87,$D87:$R87,1)</f>
        <v>9</v>
      </c>
      <c r="AD87" s="6">
        <f t="shared" ref="AD87" si="398">_xlfn.RANK.EQ(K87,$D87:$R87,1)</f>
        <v>5</v>
      </c>
      <c r="AE87" s="6">
        <f t="shared" ref="AE87" si="399">_xlfn.RANK.EQ(L87,$D87:$R87,1)</f>
        <v>3</v>
      </c>
      <c r="AF87" s="6" t="e">
        <f t="shared" ref="AF87" si="400">_xlfn.RANK.EQ(M87,$D87:$R87,1)</f>
        <v>#N/A</v>
      </c>
      <c r="AG87" s="6" t="e">
        <f t="shared" ref="AG87" si="401">_xlfn.RANK.EQ(N87,$D87:$R87,1)</f>
        <v>#N/A</v>
      </c>
      <c r="AH87" s="6" t="e">
        <f t="shared" ref="AH87" si="402">_xlfn.RANK.EQ(O87,$D87:$R87,1)</f>
        <v>#N/A</v>
      </c>
      <c r="AI87" s="6" t="e">
        <f t="shared" ref="AI87" si="403">_xlfn.RANK.EQ(P87,$D87:$R87,1)</f>
        <v>#N/A</v>
      </c>
      <c r="AJ87" s="6" t="e">
        <f t="shared" ref="AJ87" si="404">_xlfn.RANK.EQ(Q87,$D87:$R87,1)</f>
        <v>#N/A</v>
      </c>
      <c r="AK87" s="6" t="e">
        <f t="shared" ref="AK87" si="405">_xlfn.RANK.EQ(R87,$D87:$R87,1)</f>
        <v>#N/A</v>
      </c>
    </row>
    <row r="88" x14ac:dyDescent="0.3">
      <c r="A88" s="21"/>
      <c r="B88" s="22" t="s">
        <v>687</v>
      </c>
      <c r="C88" s="9" t="s">
        <v>774</v>
      </c>
      <c r="D88" s="7">
        <v>648.54633077761775</v>
      </c>
      <c r="E88" s="7">
        <v>93115.304254377945</v>
      </c>
      <c r="F88" s="7">
        <v>1219.9782215322355</v>
      </c>
      <c r="G88" s="7">
        <v>1040.2871642468465</v>
      </c>
      <c r="H88" s="7">
        <v>847.99217934941305</v>
      </c>
      <c r="I88" s="7">
        <v>656.02159661635233</v>
      </c>
      <c r="J88" s="7">
        <v>394393.29803841386</v>
      </c>
      <c r="K88" s="7">
        <v>739.78690688041445</v>
      </c>
      <c r="L88" s="7">
        <v>522.33337220067278</v>
      </c>
      <c r="M88" s="7">
        <v>804.4500150210597</v>
      </c>
      <c r="N88" s="7"/>
      <c r="O88" s="7"/>
      <c r="P88" s="7"/>
      <c r="Q88" s="7"/>
      <c r="R88" s="7"/>
      <c r="S88" s="3"/>
      <c r="T88" s="3" t="s">
        <v>30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x14ac:dyDescent="0.3">
      <c r="A89" s="21"/>
      <c r="B89" s="25" t="s">
        <v>687</v>
      </c>
      <c r="C89" s="4" t="s">
        <v>775</v>
      </c>
      <c r="D89" s="5">
        <v>30.688020833333333</v>
      </c>
      <c r="E89" s="5">
        <v>7.7677083333333332</v>
      </c>
      <c r="F89" s="5">
        <v>4.5057291666666668</v>
      </c>
      <c r="G89" s="5">
        <v>2.2994791666666665</v>
      </c>
      <c r="H89" s="5">
        <v>2.1755208333333331</v>
      </c>
      <c r="I89" s="5">
        <v>2.0968749999999998</v>
      </c>
      <c r="J89" s="5">
        <v>13.4859375</v>
      </c>
      <c r="K89" s="5">
        <v>2.3802083333333335</v>
      </c>
      <c r="L89" s="5">
        <v>3.5161458333333333</v>
      </c>
      <c r="M89" s="5">
        <v>2.3312499999999998</v>
      </c>
      <c r="N89" s="5"/>
      <c r="O89" s="5"/>
      <c r="P89" s="5"/>
      <c r="Q89" s="5"/>
      <c r="R89" s="5"/>
      <c r="S89" s="4"/>
      <c r="T89" s="4" t="s">
        <v>31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x14ac:dyDescent="0.3">
      <c r="A90" s="21"/>
      <c r="B90" s="27" t="s">
        <v>688</v>
      </c>
      <c r="C90" s="1" t="s">
        <v>776</v>
      </c>
      <c r="D90" s="2">
        <v>68188170.652429655</v>
      </c>
      <c r="E90" s="2">
        <v>22511513317.215599</v>
      </c>
      <c r="F90" s="2">
        <v>153895798.88761395</v>
      </c>
      <c r="G90" s="2">
        <v>1763842820.4982753</v>
      </c>
      <c r="H90" s="2">
        <v>18783702.833822507</v>
      </c>
      <c r="I90" s="2">
        <v>124207055.72652072</v>
      </c>
      <c r="J90" s="2">
        <v>10021711777.373182</v>
      </c>
      <c r="K90" s="2">
        <v>214711709.91958004</v>
      </c>
      <c r="L90" s="2">
        <v>7455176.8817025153</v>
      </c>
      <c r="M90" s="2">
        <v>1322350022.4426565</v>
      </c>
      <c r="N90" s="2"/>
      <c r="O90" s="2"/>
      <c r="P90" s="2"/>
      <c r="Q90" s="2"/>
      <c r="R90" s="2"/>
      <c r="S90" s="1" t="s">
        <v>28</v>
      </c>
      <c r="T90" s="1" t="s">
        <v>29</v>
      </c>
      <c r="W90" s="6">
        <f t="shared" ref="W90" si="406">_xlfn.RANK.EQ(D90,$D90:$R90,1)</f>
        <v>1</v>
      </c>
      <c r="X90" s="6">
        <f t="shared" ref="X90" si="407">_xlfn.RANK.EQ(E90,$D90:$R90,1)</f>
        <v>4</v>
      </c>
      <c r="Y90" s="6">
        <f t="shared" ref="Y90" si="408">_xlfn.RANK.EQ(F90,$D90:$R90,1)</f>
        <v>2</v>
      </c>
      <c r="Z90" s="6">
        <f t="shared" ref="Z90" si="409">_xlfn.RANK.EQ(G90,$D90:$R90,1)</f>
        <v>5</v>
      </c>
      <c r="AA90" s="6">
        <f t="shared" ref="AA90" si="410">_xlfn.RANK.EQ(H90,$D90:$R90,1)</f>
        <v>8</v>
      </c>
      <c r="AB90" s="6">
        <f t="shared" ref="AB90" si="411">_xlfn.RANK.EQ(I90,$D90:$R90,1)</f>
        <v>7</v>
      </c>
      <c r="AC90" s="6">
        <f t="shared" ref="AC90" si="412">_xlfn.RANK.EQ(J90,$D90:$R90,1)</f>
        <v>9</v>
      </c>
      <c r="AD90" s="6">
        <f t="shared" ref="AD90" si="413">_xlfn.RANK.EQ(K90,$D90:$R90,1)</f>
        <v>3</v>
      </c>
      <c r="AE90" s="6">
        <f t="shared" ref="AE90" si="414">_xlfn.RANK.EQ(L90,$D90:$R90,1)</f>
        <v>6</v>
      </c>
      <c r="AF90" s="6" t="e">
        <f t="shared" ref="AF90" si="415">_xlfn.RANK.EQ(M90,$D90:$R90,1)</f>
        <v>#N/A</v>
      </c>
      <c r="AG90" s="6" t="e">
        <f t="shared" ref="AG90" si="416">_xlfn.RANK.EQ(N90,$D90:$R90,1)</f>
        <v>#N/A</v>
      </c>
      <c r="AH90" s="6" t="e">
        <f t="shared" ref="AH90" si="417">_xlfn.RANK.EQ(O90,$D90:$R90,1)</f>
        <v>#N/A</v>
      </c>
      <c r="AI90" s="6" t="e">
        <f t="shared" ref="AI90" si="418">_xlfn.RANK.EQ(P90,$D90:$R90,1)</f>
        <v>#N/A</v>
      </c>
      <c r="AJ90" s="6" t="e">
        <f t="shared" ref="AJ90" si="419">_xlfn.RANK.EQ(Q90,$D90:$R90,1)</f>
        <v>#N/A</v>
      </c>
      <c r="AK90" s="6" t="e">
        <f t="shared" ref="AK90" si="420">_xlfn.RANK.EQ(R90,$D90:$R90,1)</f>
        <v>#N/A</v>
      </c>
    </row>
    <row r="91" x14ac:dyDescent="0.3">
      <c r="A91" s="21"/>
      <c r="B91" s="22" t="s">
        <v>688</v>
      </c>
      <c r="C91" s="9" t="s">
        <v>777</v>
      </c>
      <c r="D91" s="7">
        <v>18854510.825252719</v>
      </c>
      <c r="E91" s="7">
        <v>5175853369.5028162</v>
      </c>
      <c r="F91" s="7">
        <v>58057680.058472283</v>
      </c>
      <c r="G91" s="7">
        <v>1246727391.9065425</v>
      </c>
      <c r="H91" s="7">
        <v>34761141.660612375</v>
      </c>
      <c r="I91" s="7">
        <v>65969219.370794877</v>
      </c>
      <c r="J91" s="7">
        <v>6788470190.4152136</v>
      </c>
      <c r="K91" s="7">
        <v>578754347.7692554</v>
      </c>
      <c r="L91" s="7">
        <v>3160763.0156766018</v>
      </c>
      <c r="M91" s="7">
        <v>1145945806.0259748</v>
      </c>
      <c r="N91" s="7"/>
      <c r="O91" s="7"/>
      <c r="P91" s="7"/>
      <c r="Q91" s="7"/>
      <c r="R91" s="7"/>
      <c r="S91" s="3"/>
      <c r="T91" s="3" t="s">
        <v>30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x14ac:dyDescent="0.3">
      <c r="A92" s="24"/>
      <c r="B92" s="25" t="s">
        <v>688</v>
      </c>
      <c r="C92" s="4" t="s">
        <v>778</v>
      </c>
      <c r="D92" s="5">
        <v>49.170312500000001</v>
      </c>
      <c r="E92" s="5">
        <v>12.86875</v>
      </c>
      <c r="F92" s="5">
        <v>7.2406249999999996</v>
      </c>
      <c r="G92" s="5">
        <v>3.6046874999999998</v>
      </c>
      <c r="H92" s="5">
        <v>3.3781249999999998</v>
      </c>
      <c r="I92" s="5">
        <v>3.3223958333333332</v>
      </c>
      <c r="J92" s="5">
        <v>17.164583333333333</v>
      </c>
      <c r="K92" s="5">
        <v>3.6869791666666667</v>
      </c>
      <c r="L92" s="5">
        <v>4.6984374999999998</v>
      </c>
      <c r="M92" s="5">
        <v>3.5072916666666667</v>
      </c>
      <c r="N92" s="5"/>
      <c r="O92" s="5"/>
      <c r="P92" s="5"/>
      <c r="Q92" s="5"/>
      <c r="R92" s="5"/>
      <c r="S92" s="3"/>
      <c r="T92" s="3" t="s">
        <v>31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32.4" customHeight="true" x14ac:dyDescent="0.3">
      <c r="A93" s="26" t="s">
        <v>40</v>
      </c>
      <c r="B93" s="27"/>
      <c r="C93" s="27"/>
      <c r="D93" s="1">
        <f>COUNTIF(W3:W92,1)</f>
        <v>23</v>
      </c>
      <c r="E93" s="1">
        <f t="shared" ref="E93:R93" si="421">COUNTIF(X3:X92,1)</f>
        <v>0</v>
      </c>
      <c r="F93" s="1">
        <f t="shared" si="421"/>
        <v>0</v>
      </c>
      <c r="G93" s="1">
        <f t="shared" si="421"/>
        <v>0</v>
      </c>
      <c r="H93" s="1">
        <f t="shared" si="421"/>
        <v>0</v>
      </c>
      <c r="I93" s="1">
        <f t="shared" si="421"/>
        <v>0</v>
      </c>
      <c r="J93" s="1">
        <f t="shared" si="421"/>
        <v>0</v>
      </c>
      <c r="K93" s="1">
        <f t="shared" si="421"/>
        <v>0</v>
      </c>
      <c r="L93" s="1">
        <f t="shared" si="421"/>
        <v>6</v>
      </c>
      <c r="M93" s="1">
        <f t="shared" si="421"/>
        <v>0</v>
      </c>
      <c r="N93" s="1">
        <f t="shared" si="421"/>
        <v>0</v>
      </c>
      <c r="O93" s="1">
        <f t="shared" si="421"/>
        <v>0</v>
      </c>
      <c r="P93" s="1">
        <f t="shared" si="421"/>
        <v>0</v>
      </c>
      <c r="Q93" s="1">
        <f t="shared" si="421"/>
        <v>0</v>
      </c>
      <c r="R93" s="1">
        <f t="shared" si="421"/>
        <v>0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32.4" customHeight="true" x14ac:dyDescent="0.3">
      <c r="A94" s="21" t="s">
        <v>41</v>
      </c>
      <c r="B94" s="22"/>
      <c r="C94" s="22"/>
      <c r="D94" s="9">
        <f>_xlfn.RANK.EQ(D93,$D93:$R93,0)</f>
        <v>1</v>
      </c>
      <c r="E94" s="9">
        <f t="shared" ref="E94:R94" si="422">_xlfn.RANK.EQ(E93,$D93:$R93,0)</f>
        <v>3</v>
      </c>
      <c r="F94" s="9">
        <f t="shared" si="422"/>
        <v>3</v>
      </c>
      <c r="G94" s="9">
        <f t="shared" si="422"/>
        <v>3</v>
      </c>
      <c r="H94" s="9">
        <f t="shared" si="422"/>
        <v>3</v>
      </c>
      <c r="I94" s="9">
        <f t="shared" si="422"/>
        <v>3</v>
      </c>
      <c r="J94" s="9">
        <f t="shared" si="422"/>
        <v>3</v>
      </c>
      <c r="K94" s="9">
        <f t="shared" si="422"/>
        <v>3</v>
      </c>
      <c r="L94" s="9">
        <f t="shared" si="422"/>
        <v>2</v>
      </c>
      <c r="M94" s="9">
        <f t="shared" si="422"/>
        <v>3</v>
      </c>
      <c r="N94" s="9">
        <f t="shared" si="422"/>
        <v>3</v>
      </c>
      <c r="O94" s="9">
        <f t="shared" si="422"/>
        <v>3</v>
      </c>
      <c r="P94" s="9">
        <f t="shared" si="422"/>
        <v>3</v>
      </c>
      <c r="Q94" s="9">
        <f t="shared" si="422"/>
        <v>3</v>
      </c>
      <c r="R94" s="9">
        <f t="shared" si="422"/>
        <v>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32.4" customHeight="true" x14ac:dyDescent="0.3">
      <c r="A95" s="23" t="s">
        <v>42</v>
      </c>
      <c r="B95" s="22"/>
      <c r="C95" s="22"/>
      <c r="D95" s="13">
        <f>AVERAGE(W3:W92)</f>
        <v>1.5862068965517242</v>
      </c>
      <c r="E95" s="13">
        <f t="shared" ref="E95:R95" si="423">AVERAGE(X3:X92)</f>
        <v>4.4137931034482758</v>
      </c>
      <c r="F95" s="13">
        <f t="shared" si="423"/>
        <v>3.6896551724137931</v>
      </c>
      <c r="G95" s="13">
        <f t="shared" si="423"/>
        <v>6.5862068965517242</v>
      </c>
      <c r="H95" s="13">
        <f t="shared" si="423"/>
        <v>8.2413793103448274</v>
      </c>
      <c r="I95" s="13">
        <f t="shared" si="423"/>
        <v>4.5172413793103452</v>
      </c>
      <c r="J95" s="13">
        <f t="shared" si="423"/>
        <v>7.5517241379310347</v>
      </c>
      <c r="K95" s="13">
        <f t="shared" si="423"/>
        <v>4.3103448275862073</v>
      </c>
      <c r="L95" s="13">
        <f t="shared" si="423"/>
        <v>4.1034482758620694</v>
      </c>
      <c r="M95" s="13" t="e">
        <f t="shared" si="423"/>
        <v>#N/A</v>
      </c>
      <c r="N95" s="13" t="e">
        <f t="shared" si="423"/>
        <v>#N/A</v>
      </c>
      <c r="O95" s="13" t="e">
        <f t="shared" si="423"/>
        <v>#N/A</v>
      </c>
      <c r="P95" s="13" t="e">
        <f t="shared" si="423"/>
        <v>#N/A</v>
      </c>
      <c r="Q95" s="13" t="e">
        <f t="shared" si="423"/>
        <v>#N/A</v>
      </c>
      <c r="R95" s="13" t="e">
        <f t="shared" si="423"/>
        <v>#N/A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32.4" customHeight="true" x14ac:dyDescent="0.3">
      <c r="A96" s="24" t="s">
        <v>43</v>
      </c>
      <c r="B96" s="25"/>
      <c r="C96" s="25"/>
      <c r="D96" s="4" t="e">
        <f>_xlfn.RANK.EQ(D95,$D95:$R95,1)</f>
        <v>#N/A</v>
      </c>
      <c r="E96" s="4" t="e">
        <f t="shared" ref="E96:R96" si="424">_xlfn.RANK.EQ(E95,$D95:$R95,1)</f>
        <v>#N/A</v>
      </c>
      <c r="F96" s="4" t="e">
        <f t="shared" si="424"/>
        <v>#N/A</v>
      </c>
      <c r="G96" s="4" t="e">
        <f t="shared" si="424"/>
        <v>#N/A</v>
      </c>
      <c r="H96" s="4" t="e">
        <f t="shared" si="424"/>
        <v>#N/A</v>
      </c>
      <c r="I96" s="4" t="e">
        <f t="shared" si="424"/>
        <v>#N/A</v>
      </c>
      <c r="J96" s="4" t="e">
        <f t="shared" si="424"/>
        <v>#N/A</v>
      </c>
      <c r="K96" s="4" t="e">
        <f t="shared" si="424"/>
        <v>#N/A</v>
      </c>
      <c r="L96" s="4" t="e">
        <f t="shared" si="424"/>
        <v>#N/A</v>
      </c>
      <c r="M96" s="4" t="e">
        <f t="shared" si="424"/>
        <v>#N/A</v>
      </c>
      <c r="N96" s="4" t="e">
        <f t="shared" si="424"/>
        <v>#N/A</v>
      </c>
      <c r="O96" s="4" t="e">
        <f t="shared" si="424"/>
        <v>#N/A</v>
      </c>
      <c r="P96" s="4" t="e">
        <f t="shared" si="424"/>
        <v>#N/A</v>
      </c>
      <c r="Q96" s="4" t="e">
        <f t="shared" si="424"/>
        <v>#N/A</v>
      </c>
      <c r="R96" s="4" t="e">
        <f t="shared" si="424"/>
        <v>#N/A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</sheetData>
  <mergeCells count="9">
    <mergeCell ref="A1:R1"/>
    <mergeCell ref="A94:C94"/>
    <mergeCell ref="A95:C95"/>
    <mergeCell ref="A96:C96"/>
    <mergeCell ref="A93:C93"/>
    <mergeCell ref="A60:A92"/>
    <mergeCell ref="A30:A59"/>
    <mergeCell ref="A3:A5"/>
    <mergeCell ref="A9:A29"/>
  </mergeCells>
  <phoneticPr fontId="3" type="noConversion"/>
  <conditionalFormatting sqref="D3:R3">
    <cfRule type="top10" dxfId="33" priority="60" bottom="true" rank="1"/>
  </conditionalFormatting>
  <conditionalFormatting sqref="D6:R6">
    <cfRule type="top10" dxfId="32" priority="29" bottom="true" rank="1"/>
  </conditionalFormatting>
  <conditionalFormatting sqref="D9:R9">
    <cfRule type="top10" dxfId="31" priority="28" bottom="true" rank="1"/>
  </conditionalFormatting>
  <conditionalFormatting sqref="D12:R12">
    <cfRule type="top10" dxfId="30" priority="27" bottom="true" rank="1"/>
  </conditionalFormatting>
  <conditionalFormatting sqref="D15:R15">
    <cfRule type="top10" dxfId="29" priority="26" bottom="true" rank="1"/>
  </conditionalFormatting>
  <conditionalFormatting sqref="D18:R18">
    <cfRule type="top10" dxfId="28" priority="25" bottom="true" rank="1"/>
  </conditionalFormatting>
  <conditionalFormatting sqref="D21:R21">
    <cfRule type="top10" dxfId="27" priority="24" bottom="true" rank="1"/>
  </conditionalFormatting>
  <conditionalFormatting sqref="D24:R24">
    <cfRule type="top10" dxfId="26" priority="23" bottom="true" rank="1"/>
  </conditionalFormatting>
  <conditionalFormatting sqref="D27:R27">
    <cfRule type="top10" dxfId="25" priority="22" bottom="true" rank="1"/>
  </conditionalFormatting>
  <conditionalFormatting sqref="D30:R30">
    <cfRule type="top10" dxfId="24" priority="21" bottom="true" rank="1"/>
  </conditionalFormatting>
  <conditionalFormatting sqref="D33:R33">
    <cfRule type="top10" dxfId="23" priority="20" bottom="true" rank="1"/>
  </conditionalFormatting>
  <conditionalFormatting sqref="D36:R36">
    <cfRule type="top10" dxfId="22" priority="19" bottom="true" rank="1"/>
  </conditionalFormatting>
  <conditionalFormatting sqref="D39:R39">
    <cfRule type="top10" dxfId="21" priority="18" bottom="true" rank="1"/>
  </conditionalFormatting>
  <conditionalFormatting sqref="D42:R42">
    <cfRule type="top10" dxfId="20" priority="17" bottom="true" rank="1"/>
  </conditionalFormatting>
  <conditionalFormatting sqref="D45:R45">
    <cfRule type="top10" dxfId="19" priority="16" bottom="true" rank="1"/>
  </conditionalFormatting>
  <conditionalFormatting sqref="D48:R48">
    <cfRule type="top10" dxfId="18" priority="15" bottom="true" rank="1"/>
  </conditionalFormatting>
  <conditionalFormatting sqref="D51:R51">
    <cfRule type="top10" dxfId="17" priority="14" bottom="true" rank="1"/>
  </conditionalFormatting>
  <conditionalFormatting sqref="D54:R54">
    <cfRule type="top10" dxfId="16" priority="13" bottom="true" rank="1"/>
  </conditionalFormatting>
  <conditionalFormatting sqref="D57:R57">
    <cfRule type="top10" dxfId="15" priority="12" bottom="true" rank="1"/>
  </conditionalFormatting>
  <conditionalFormatting sqref="D60:R60">
    <cfRule type="top10" dxfId="14" priority="11" bottom="true" rank="1"/>
  </conditionalFormatting>
  <conditionalFormatting sqref="D63:R63">
    <cfRule type="top10" dxfId="13" priority="10" bottom="true" rank="1"/>
  </conditionalFormatting>
  <conditionalFormatting sqref="D66:R66">
    <cfRule type="top10" dxfId="12" priority="9" bottom="true" rank="1"/>
  </conditionalFormatting>
  <conditionalFormatting sqref="D69:R69">
    <cfRule type="top10" dxfId="11" priority="8" bottom="true" rank="1"/>
  </conditionalFormatting>
  <conditionalFormatting sqref="D72:R72">
    <cfRule type="top10" dxfId="10" priority="7" bottom="true" rank="1"/>
  </conditionalFormatting>
  <conditionalFormatting sqref="D75:R75">
    <cfRule type="top10" dxfId="9" priority="6" bottom="true" rank="1"/>
  </conditionalFormatting>
  <conditionalFormatting sqref="D78:R78">
    <cfRule type="top10" dxfId="8" priority="5" bottom="true" rank="1"/>
  </conditionalFormatting>
  <conditionalFormatting sqref="D81:R81">
    <cfRule type="top10" dxfId="7" priority="4" bottom="true" rank="1"/>
  </conditionalFormatting>
  <conditionalFormatting sqref="D84:R84">
    <cfRule type="top10" dxfId="6" priority="3" bottom="true" rank="1"/>
  </conditionalFormatting>
  <conditionalFormatting sqref="D87:R87">
    <cfRule type="top10" dxfId="5" priority="2" bottom="true" rank="1"/>
  </conditionalFormatting>
  <conditionalFormatting sqref="D90:R90">
    <cfRule type="top10" dxfId="4" priority="1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sqref="A1:O1"/>
    </sheetView>
  </sheetViews>
  <sheetFormatPr defaultRowHeight="14.4" x14ac:dyDescent="0.3"/>
  <cols>
    <col min="1" max="1" width="8.15625" bestFit="true" customWidth="true"/>
    <col min="2" max="2" width="16.82421875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customWidth="true"/>
    <col min="9" max="9" width="14.37890625" bestFit="true" customWidth="true"/>
    <col min="10" max="10" width="15.37890625" bestFit="true" customWidth="true"/>
    <col min="8" max="8" width="15.37890625" customWidth="true"/>
    <col min="11" max="11" width="12" bestFit="true" customWidth="true"/>
  </cols>
  <sheetData>
    <row r="1" ht="15" thickBot="true" x14ac:dyDescent="0.35">
      <c r="A1" s="28" t="s">
        <v>320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x14ac:dyDescent="0.3">
      <c r="A2" s="4" t="s">
        <v>785</v>
      </c>
      <c r="B2" s="4" t="s">
        <v>816</v>
      </c>
      <c r="C2" s="4" t="s">
        <v>817</v>
      </c>
      <c r="D2" s="4" t="s">
        <v>818</v>
      </c>
      <c r="E2" s="4" t="s">
        <v>819</v>
      </c>
      <c r="F2" s="4" t="s">
        <v>820</v>
      </c>
      <c r="G2" s="4" t="s">
        <v>490</v>
      </c>
      <c r="H2" s="4" t="s">
        <v>491</v>
      </c>
      <c r="I2" s="4" t="s">
        <v>492</v>
      </c>
      <c r="J2" s="4" t="s">
        <v>493</v>
      </c>
      <c r="K2" s="4">
        <v>1.2828153430137927E-5</v>
      </c>
      <c r="L2" s="4"/>
      <c r="M2" s="4"/>
      <c r="N2" s="4"/>
      <c r="O2" s="4"/>
    </row>
    <row r="3" x14ac:dyDescent="0.3">
      <c r="A3" s="12" t="s">
        <v>786</v>
      </c>
      <c r="B3" s="2">
        <v>5.435898256049157e-37</v>
      </c>
      <c r="C3" s="2">
        <v>1.9887478049074699e-18</v>
      </c>
      <c r="D3" s="2">
        <v>8.9834389769284675e-21</v>
      </c>
      <c r="E3" s="2">
        <v>3.5432361080189157e-19</v>
      </c>
      <c r="F3" s="2">
        <v>2.184445604343055e-23</v>
      </c>
      <c r="G3" s="2">
        <v>2.3379562989153362e-21</v>
      </c>
      <c r="H3" s="2">
        <v>5.7646752580684351e-15</v>
      </c>
      <c r="I3" s="2">
        <v>3.6489048115709662e-13</v>
      </c>
      <c r="J3" s="2">
        <v>6.0795800741931944e-21</v>
      </c>
      <c r="K3" s="2"/>
      <c r="L3" s="2"/>
      <c r="M3" s="2"/>
      <c r="N3" s="2"/>
      <c r="O3" s="12"/>
    </row>
    <row r="4" x14ac:dyDescent="0.3">
      <c r="A4" s="15" t="s">
        <v>787</v>
      </c>
      <c r="B4" s="7"/>
      <c r="C4" s="7"/>
      <c r="D4" s="7"/>
      <c r="E4" s="7"/>
      <c r="F4" s="7"/>
      <c r="G4" s="7"/>
      <c r="H4" s="7"/>
      <c r="I4" s="7"/>
      <c r="J4" s="7"/>
      <c r="K4" s="7">
        <v>4.0014971099068456E-8</v>
      </c>
      <c r="L4" s="7"/>
      <c r="M4" s="7"/>
      <c r="N4" s="7"/>
      <c r="O4" s="15"/>
    </row>
    <row r="5" x14ac:dyDescent="0.3">
      <c r="A5" s="15" t="s">
        <v>788</v>
      </c>
      <c r="B5" s="7">
        <v>6.4003612197159015e-27</v>
      </c>
      <c r="C5" s="7">
        <v>6.1417731327872501e-10</v>
      </c>
      <c r="D5" s="7">
        <v>6.0028022322162464e-23</v>
      </c>
      <c r="E5" s="7">
        <v>2.5502359685513732e-24</v>
      </c>
      <c r="F5" s="7">
        <v>1.5309004806513464e-21</v>
      </c>
      <c r="G5" s="7">
        <v>1.2315195321729316e-16</v>
      </c>
      <c r="H5" s="7">
        <v>1.7447401066793046e-13</v>
      </c>
      <c r="I5" s="7">
        <v>1.5206504632311052e-16</v>
      </c>
      <c r="J5" s="7">
        <v>4.8324277235301493e-16</v>
      </c>
      <c r="K5" s="7">
        <v>2.007007314538658E-13</v>
      </c>
      <c r="L5" s="7"/>
      <c r="M5" s="7"/>
      <c r="N5" s="7"/>
      <c r="O5" s="15"/>
    </row>
    <row r="6" x14ac:dyDescent="0.3">
      <c r="A6" s="15" t="s">
        <v>789</v>
      </c>
      <c r="B6" s="7">
        <v>3.0034003433728985e-25</v>
      </c>
      <c r="C6" s="7">
        <v>3.3262611869620053e-16</v>
      </c>
      <c r="D6" s="7">
        <v>3.6090433570044216e-11</v>
      </c>
      <c r="E6" s="7">
        <v>7.3888049738754916e-18</v>
      </c>
      <c r="F6" s="7">
        <v>3.5611332902488594e-17</v>
      </c>
      <c r="G6" s="7">
        <v>3.9797341588614029e-15</v>
      </c>
      <c r="H6" s="7">
        <v>1.4036680725748783e-09</v>
      </c>
      <c r="I6" s="7">
        <v>6.4858932867637937e-23</v>
      </c>
      <c r="J6" s="7">
        <v>8.4737553484701921e-18</v>
      </c>
      <c r="K6" s="7">
        <v>5.3515382429839527E-3</v>
      </c>
      <c r="L6" s="7"/>
      <c r="M6" s="7"/>
      <c r="N6" s="7"/>
      <c r="O6" s="15"/>
    </row>
    <row r="7" x14ac:dyDescent="0.3">
      <c r="A7" s="15" t="s">
        <v>790</v>
      </c>
      <c r="B7" s="7">
        <v>2.0254493926451721e-23</v>
      </c>
      <c r="C7" s="7">
        <v>4.1505435201025821e-05</v>
      </c>
      <c r="D7" s="7">
        <v>2.0738346464180265e-11</v>
      </c>
      <c r="E7" s="7">
        <v>0.00044324608123720376</v>
      </c>
      <c r="F7" s="7">
        <v>1.3100708243700842e-13</v>
      </c>
      <c r="G7" s="7">
        <v>2.1241959707145016e-25</v>
      </c>
      <c r="H7" s="7">
        <v>1.3496919290023211e-10</v>
      </c>
      <c r="I7" s="7">
        <v>1.8910920940219264e-08</v>
      </c>
      <c r="J7" s="7">
        <v>0.85436445101120306</v>
      </c>
      <c r="K7" s="7">
        <v>2.1489804657247388E-17</v>
      </c>
      <c r="L7" s="7"/>
      <c r="M7" s="7"/>
      <c r="N7" s="7"/>
      <c r="O7" s="15"/>
    </row>
    <row r="8" x14ac:dyDescent="0.3">
      <c r="A8" s="15" t="s">
        <v>791</v>
      </c>
      <c r="B8" s="7">
        <v>1.2781970839960653e-16</v>
      </c>
      <c r="C8" s="7">
        <v>3.6026007362792739e-05</v>
      </c>
      <c r="D8" s="7">
        <v>4.8750241694503773e-16</v>
      </c>
      <c r="E8" s="7">
        <v>1.0647796909637716e-21</v>
      </c>
      <c r="F8" s="7">
        <v>1.4047411430819472e-30</v>
      </c>
      <c r="G8" s="7">
        <v>2.0077514421922165e-22</v>
      </c>
      <c r="H8" s="7">
        <v>6.9196807876302381e-06</v>
      </c>
      <c r="I8" s="7">
        <v>3.6050866582476854e-12</v>
      </c>
      <c r="J8" s="7">
        <v>0.0060114399518638997</v>
      </c>
      <c r="K8" s="7">
        <v>4.8206849792937767E-17</v>
      </c>
      <c r="L8" s="7"/>
      <c r="M8" s="7"/>
      <c r="N8" s="7"/>
      <c r="O8" s="15"/>
    </row>
    <row r="9" x14ac:dyDescent="0.3">
      <c r="A9" s="15" t="s">
        <v>792</v>
      </c>
      <c r="B9" s="7">
        <v>7.1971371533077294e-21</v>
      </c>
      <c r="C9" s="7">
        <v>1.115116329552832e-18</v>
      </c>
      <c r="D9" s="7">
        <v>3.4624319893202015e-17</v>
      </c>
      <c r="E9" s="7">
        <v>3.2401915322909933e-11</v>
      </c>
      <c r="F9" s="7">
        <v>9.2858315052402379e-21</v>
      </c>
      <c r="G9" s="7">
        <v>2.687968590618874e-15</v>
      </c>
      <c r="H9" s="7">
        <v>0.019637394311251229</v>
      </c>
      <c r="I9" s="7">
        <v>6.925558317776492e-21</v>
      </c>
      <c r="J9" s="7">
        <v>8.7159501666875416e-10</v>
      </c>
      <c r="K9" s="7">
        <v>1.33750594007455E-7</v>
      </c>
      <c r="L9" s="7"/>
      <c r="M9" s="7"/>
      <c r="N9" s="7"/>
      <c r="O9" s="15"/>
    </row>
    <row r="10" x14ac:dyDescent="0.3">
      <c r="A10" s="15" t="s">
        <v>793</v>
      </c>
      <c r="B10" s="7">
        <v>6.6023236565256306e-18</v>
      </c>
      <c r="C10" s="7">
        <v>2.3046952291272744e-06</v>
      </c>
      <c r="D10" s="7">
        <v>3.8473951656479608e-09</v>
      </c>
      <c r="E10" s="7">
        <v>2.5317674708287873e-07</v>
      </c>
      <c r="F10" s="7">
        <v>2.3258089868212857e-10</v>
      </c>
      <c r="G10" s="7">
        <v>1.7558385308852906e-23</v>
      </c>
      <c r="H10" s="7">
        <v>4.2055291074909313e-09</v>
      </c>
      <c r="I10" s="7">
        <v>7.7281037115808572e-08</v>
      </c>
      <c r="J10" s="7">
        <v>8.0362721681095066e-05</v>
      </c>
      <c r="K10" s="7">
        <v>7.6593404260785423E-12</v>
      </c>
      <c r="L10" s="7"/>
      <c r="M10" s="7"/>
      <c r="N10" s="7"/>
      <c r="O10" s="15"/>
    </row>
    <row r="11" x14ac:dyDescent="0.3">
      <c r="A11" s="15" t="s">
        <v>794</v>
      </c>
      <c r="B11" s="7">
        <v>4.9493876786563657e-10</v>
      </c>
      <c r="C11" s="7">
        <v>0.11460481148103541</v>
      </c>
      <c r="D11" s="7">
        <v>0.007442087407446364</v>
      </c>
      <c r="E11" s="7">
        <v>3.9527692511063128e-10</v>
      </c>
      <c r="F11" s="7">
        <v>1.3659911827736642e-09</v>
      </c>
      <c r="G11" s="7">
        <v>1.1969443934928209e-20</v>
      </c>
      <c r="H11" s="7">
        <v>3.917788069848248e-18</v>
      </c>
      <c r="I11" s="7">
        <v>2.0088766096499449e-14</v>
      </c>
      <c r="J11" s="7">
        <v>1.7010359251420787e-16</v>
      </c>
      <c r="K11" s="7">
        <v>1.588293001310785E-21</v>
      </c>
      <c r="L11" s="7"/>
      <c r="M11" s="7"/>
      <c r="N11" s="7"/>
      <c r="O11" s="15"/>
    </row>
    <row r="12" x14ac:dyDescent="0.3">
      <c r="A12" s="15" t="s">
        <v>795</v>
      </c>
      <c r="B12" s="7">
        <v>5.54770978616375e-24</v>
      </c>
      <c r="C12" s="7">
        <v>0.045125389844791662</v>
      </c>
      <c r="D12" s="7">
        <v>0.88630043747387754</v>
      </c>
      <c r="E12" s="7">
        <v>1.2286146900693057e-22</v>
      </c>
      <c r="F12" s="7">
        <v>0.00101951166352261</v>
      </c>
      <c r="G12" s="7">
        <v>1.9381675349879033e-29</v>
      </c>
      <c r="H12" s="7">
        <v>5.0615377125030367e-19</v>
      </c>
      <c r="I12" s="7">
        <v>0.00051169581842805119</v>
      </c>
      <c r="J12" s="7">
        <v>2.2412820231190129e-06</v>
      </c>
      <c r="K12" s="7">
        <v>2.5121099665715808E-9</v>
      </c>
      <c r="L12" s="7"/>
      <c r="M12" s="7"/>
      <c r="N12" s="7"/>
      <c r="O12" s="15"/>
    </row>
    <row r="13" x14ac:dyDescent="0.3">
      <c r="A13" s="15" t="s">
        <v>796</v>
      </c>
      <c r="B13" s="7">
        <v>2.7152321835373445e-23</v>
      </c>
      <c r="C13" s="7">
        <v>2.1395564178381066e-19</v>
      </c>
      <c r="D13" s="7">
        <v>2.5325205917720851e-24</v>
      </c>
      <c r="E13" s="7">
        <v>5.8615087501507761e-17</v>
      </c>
      <c r="F13" s="7">
        <v>4.4236373711639003e-15</v>
      </c>
      <c r="G13" s="7">
        <v>4.6318076528743824e-12</v>
      </c>
      <c r="H13" s="7">
        <v>2.1882660645722414e-17</v>
      </c>
      <c r="I13" s="7">
        <v>2.300451589544224e-14</v>
      </c>
      <c r="J13" s="7">
        <v>6.1551299498543156e-20</v>
      </c>
      <c r="K13" s="7">
        <v>1.9434348519140813E-10</v>
      </c>
      <c r="L13" s="7"/>
      <c r="M13" s="7"/>
      <c r="N13" s="7"/>
      <c r="O13" s="15"/>
    </row>
    <row r="14" x14ac:dyDescent="0.3">
      <c r="A14" s="15" t="s">
        <v>797</v>
      </c>
      <c r="B14" s="7">
        <v>1.6889399666759068e-29</v>
      </c>
      <c r="C14" s="7">
        <v>1.5761907574215536e-06</v>
      </c>
      <c r="D14" s="7">
        <v>4.6833376939105572e-13</v>
      </c>
      <c r="E14" s="7">
        <v>4.813800707792554e-06</v>
      </c>
      <c r="F14" s="7">
        <v>3.5418938246730215e-17</v>
      </c>
      <c r="G14" s="7">
        <v>2.1644751817011242e-16</v>
      </c>
      <c r="H14" s="7">
        <v>0.00024456285330022538</v>
      </c>
      <c r="I14" s="7">
        <v>2.7178980354422941e-14</v>
      </c>
      <c r="J14" s="7">
        <v>1.4434321419144652e-11</v>
      </c>
      <c r="K14" s="7">
        <v>0.9611785336969938</v>
      </c>
      <c r="L14" s="7"/>
      <c r="M14" s="7"/>
      <c r="N14" s="7"/>
      <c r="O14" s="15"/>
    </row>
    <row r="15" x14ac:dyDescent="0.3">
      <c r="A15" s="15" t="s">
        <v>798</v>
      </c>
      <c r="B15" s="7">
        <v>2.0123016906886572e-21</v>
      </c>
      <c r="C15" s="7">
        <v>1.5101588627683786e-15</v>
      </c>
      <c r="D15" s="7">
        <v>2.0225587961658452e-06</v>
      </c>
      <c r="E15" s="7">
        <v>1.837981488580304e-09</v>
      </c>
      <c r="F15" s="7">
        <v>3.6884363720941314e-17</v>
      </c>
      <c r="G15" s="7">
        <v>2.4358543107548316e-08</v>
      </c>
      <c r="H15" s="7">
        <v>0.30645984347145561</v>
      </c>
      <c r="I15" s="7">
        <v>1.2197759109758825e-16</v>
      </c>
      <c r="J15" s="7">
        <v>9.8886100002603711e-10</v>
      </c>
      <c r="K15" s="7">
        <v>3.6626862397208898E-8</v>
      </c>
      <c r="L15" s="7"/>
      <c r="M15" s="7"/>
      <c r="N15" s="7"/>
      <c r="O15" s="15"/>
    </row>
    <row r="16" x14ac:dyDescent="0.3">
      <c r="A16" s="15" t="s">
        <v>799</v>
      </c>
      <c r="B16" s="7">
        <v>1.1976558334275148e-13</v>
      </c>
      <c r="C16" s="7">
        <v>1.6405898473266521e-09</v>
      </c>
      <c r="D16" s="7">
        <v>1.4545697102837782e-09</v>
      </c>
      <c r="E16" s="7">
        <v>6.0655686819969675e-10</v>
      </c>
      <c r="F16" s="7">
        <v>3.9849820291707599e-09</v>
      </c>
      <c r="G16" s="7">
        <v>7.0238052170651529e-08</v>
      </c>
      <c r="H16" s="7">
        <v>1.5068576613746944e-09</v>
      </c>
      <c r="I16" s="7">
        <v>3.0263770296495539e-15</v>
      </c>
      <c r="J16" s="7">
        <v>1.2654636228461893e-13</v>
      </c>
      <c r="K16" s="7">
        <v>4.2086973472994617E-3</v>
      </c>
      <c r="L16" s="7"/>
      <c r="M16" s="7"/>
      <c r="N16" s="7"/>
      <c r="O16" s="15"/>
    </row>
    <row r="17" x14ac:dyDescent="0.3">
      <c r="A17" s="15" t="s">
        <v>800</v>
      </c>
      <c r="B17" s="7">
        <v>2.729749506638175e-16</v>
      </c>
      <c r="C17" s="7">
        <v>5.7823356394158894e-10</v>
      </c>
      <c r="D17" s="7">
        <v>0.0010044531356083759</v>
      </c>
      <c r="E17" s="7">
        <v>0.027741549142081569</v>
      </c>
      <c r="F17" s="7">
        <v>1.6255428024159381e-12</v>
      </c>
      <c r="G17" s="7">
        <v>7.2524396019794934e-07</v>
      </c>
      <c r="H17" s="7">
        <v>9.7799324020193451e-05</v>
      </c>
      <c r="I17" s="7">
        <v>8.3619633118914878e-16</v>
      </c>
      <c r="J17" s="7">
        <v>0.0057975839293103043</v>
      </c>
      <c r="K17" s="7">
        <v>1.5474329978971306E-7</v>
      </c>
      <c r="L17" s="7"/>
      <c r="M17" s="7"/>
      <c r="N17" s="7"/>
      <c r="O17" s="15"/>
    </row>
    <row r="18" x14ac:dyDescent="0.3">
      <c r="A18" s="15" t="s">
        <v>801</v>
      </c>
      <c r="B18" s="7">
        <v>5.9648447945558269e-21</v>
      </c>
      <c r="C18" s="7">
        <v>0.0028988516492087541</v>
      </c>
      <c r="D18" s="7">
        <v>2.010219159639506e-06</v>
      </c>
      <c r="E18" s="7">
        <v>0.0036475880726133587</v>
      </c>
      <c r="F18" s="7">
        <v>1.4613863748917885e-05</v>
      </c>
      <c r="G18" s="7">
        <v>1.2263666196287588e-17</v>
      </c>
      <c r="H18" s="7">
        <v>3.8597797942838747e-05</v>
      </c>
      <c r="I18" s="7">
        <v>2.951255925157309e-06</v>
      </c>
      <c r="J18" s="7">
        <v>8.6869030040110555e-08</v>
      </c>
      <c r="K18" s="7">
        <v>7.6770367007221803E-8</v>
      </c>
      <c r="L18" s="7"/>
      <c r="M18" s="7"/>
      <c r="N18" s="7"/>
      <c r="O18" s="15"/>
    </row>
    <row r="19" x14ac:dyDescent="0.3">
      <c r="A19" s="15" t="s">
        <v>802</v>
      </c>
      <c r="B19" s="7">
        <v>0.0049396595074355718</v>
      </c>
      <c r="C19" s="7">
        <v>0.17438953147072622</v>
      </c>
      <c r="D19" s="7">
        <v>0.10573957831788994</v>
      </c>
      <c r="E19" s="7">
        <v>0.9389497119710758</v>
      </c>
      <c r="F19" s="7">
        <v>0.0058037932051697352</v>
      </c>
      <c r="G19" s="7">
        <v>0.0028845099809958336</v>
      </c>
      <c r="H19" s="7">
        <v>0.95932885330635398</v>
      </c>
      <c r="I19" s="7">
        <v>0.9033256689516489</v>
      </c>
      <c r="J19" s="7">
        <v>0.76283661787614143</v>
      </c>
      <c r="K19" s="7">
        <v>1.6171646495978935E-8</v>
      </c>
      <c r="L19" s="7"/>
      <c r="M19" s="7"/>
      <c r="N19" s="7"/>
      <c r="O19" s="15"/>
    </row>
    <row r="20" x14ac:dyDescent="0.3">
      <c r="A20" s="15" t="s">
        <v>803</v>
      </c>
      <c r="B20" s="7">
        <v>2.9982743447686755e-10</v>
      </c>
      <c r="C20" s="7">
        <v>2.3449342972430785e-07</v>
      </c>
      <c r="D20" s="7">
        <v>4.3955767242800314e-06</v>
      </c>
      <c r="E20" s="7">
        <v>1.7020085117487637e-10</v>
      </c>
      <c r="F20" s="7">
        <v>1.7708558217546263e-12</v>
      </c>
      <c r="G20" s="7">
        <v>4.1313721678117725e-08</v>
      </c>
      <c r="H20" s="7">
        <v>6.643775423697572e-10</v>
      </c>
      <c r="I20" s="7">
        <v>2.3167355884223836e-14</v>
      </c>
      <c r="J20" s="7">
        <v>6.1000757455989849e-09</v>
      </c>
      <c r="K20" s="7">
        <v>6.5025392896358886E-8</v>
      </c>
      <c r="L20" s="7"/>
      <c r="M20" s="7"/>
      <c r="N20" s="7"/>
      <c r="O20" s="15"/>
    </row>
    <row r="21" x14ac:dyDescent="0.3">
      <c r="A21" s="15" t="s">
        <v>804</v>
      </c>
      <c r="B21" s="7">
        <v>9.062888682872321e-20</v>
      </c>
      <c r="C21" s="7">
        <v>0.0018167636478904651</v>
      </c>
      <c r="D21" s="7">
        <v>4.1409415783913168e-06</v>
      </c>
      <c r="E21" s="7">
        <v>0.0018272009862918622</v>
      </c>
      <c r="F21" s="7">
        <v>5.4621274693209433e-08</v>
      </c>
      <c r="G21" s="7">
        <v>2.806560326637468e-07</v>
      </c>
      <c r="H21" s="7">
        <v>0.16453552364438784</v>
      </c>
      <c r="I21" s="7">
        <v>3.2782561679586372e-12</v>
      </c>
      <c r="J21" s="7">
        <v>4.6375772234298332e-06</v>
      </c>
      <c r="K21" s="7">
        <v>4.8825750727540241E-10</v>
      </c>
      <c r="L21" s="7"/>
      <c r="M21" s="7"/>
      <c r="N21" s="7"/>
      <c r="O21" s="15"/>
    </row>
    <row r="22" x14ac:dyDescent="0.3">
      <c r="A22" s="15" t="s">
        <v>805</v>
      </c>
      <c r="B22" s="7">
        <v>1.1055455939993137e-10</v>
      </c>
      <c r="C22" s="7">
        <v>0.079695553179522025</v>
      </c>
      <c r="D22" s="7">
        <v>0.77942194294103295</v>
      </c>
      <c r="E22" s="7">
        <v>3.4238718287338093e-13</v>
      </c>
      <c r="F22" s="7">
        <v>0.43547444932106272</v>
      </c>
      <c r="G22" s="7">
        <v>1.5673464482666043e-18</v>
      </c>
      <c r="H22" s="7">
        <v>3.2396278596811305e-08</v>
      </c>
      <c r="I22" s="7">
        <v>2.716458887423141e-06</v>
      </c>
      <c r="J22" s="7">
        <v>1.6688552007987314e-05</v>
      </c>
      <c r="K22" s="7">
        <v>7.8422178688992319E-8</v>
      </c>
      <c r="L22" s="7"/>
      <c r="M22" s="7"/>
      <c r="N22" s="7"/>
      <c r="O22" s="15"/>
    </row>
    <row r="23" x14ac:dyDescent="0.3">
      <c r="A23" s="15" t="s">
        <v>806</v>
      </c>
      <c r="B23" s="7">
        <v>1.3604155379284808e-15</v>
      </c>
      <c r="C23" s="7">
        <v>4.2476036673821745e-09</v>
      </c>
      <c r="D23" s="7">
        <v>8.74810203036616e-18</v>
      </c>
      <c r="E23" s="7">
        <v>1.5658870846177706e-14</v>
      </c>
      <c r="F23" s="7">
        <v>1.0721557235137513e-19</v>
      </c>
      <c r="G23" s="7">
        <v>1.1716628813516005e-25</v>
      </c>
      <c r="H23" s="7">
        <v>0.36592382975173277</v>
      </c>
      <c r="I23" s="7">
        <v>2.8906526419931652e-11</v>
      </c>
      <c r="J23" s="7">
        <v>0.0024381933782593071</v>
      </c>
      <c r="K23" s="7">
        <v>1.2851540260356941E-22</v>
      </c>
      <c r="L23" s="7"/>
      <c r="M23" s="7"/>
      <c r="N23" s="7"/>
      <c r="O23" s="15"/>
    </row>
    <row r="24" x14ac:dyDescent="0.3">
      <c r="A24" s="15" t="s">
        <v>807</v>
      </c>
      <c r="B24" s="7">
        <v>2.3540111878043057e-27</v>
      </c>
      <c r="C24" s="7">
        <v>0.060732902453157982</v>
      </c>
      <c r="D24" s="7">
        <v>0.4801717087609132</v>
      </c>
      <c r="E24" s="7">
        <v>4.1112069844114654e-20</v>
      </c>
      <c r="F24" s="7">
        <v>4.0557869951247738e-07</v>
      </c>
      <c r="G24" s="7">
        <v>3.9638547629937797e-25</v>
      </c>
      <c r="H24" s="7">
        <v>8.3648991112851377e-17</v>
      </c>
      <c r="I24" s="7">
        <v>0.00052139739420220381</v>
      </c>
      <c r="J24" s="7">
        <v>5.0761276730491579e-06</v>
      </c>
      <c r="K24" s="7">
        <v>7.4978537180142846E-7</v>
      </c>
      <c r="L24" s="7"/>
      <c r="M24" s="7"/>
      <c r="N24" s="7"/>
      <c r="O24" s="15"/>
    </row>
    <row r="25" x14ac:dyDescent="0.3">
      <c r="A25" s="15" t="s">
        <v>808</v>
      </c>
      <c r="B25" s="7">
        <v>4.5143876556863839e-21</v>
      </c>
      <c r="C25" s="7">
        <v>5.3881940589390771e-13</v>
      </c>
      <c r="D25" s="7">
        <v>5.8808476566637123e-17</v>
      </c>
      <c r="E25" s="7">
        <v>8.0335971148865113e-22</v>
      </c>
      <c r="F25" s="7">
        <v>6.6314298204048802e-24</v>
      </c>
      <c r="G25" s="7">
        <v>1.0724482092650551e-22</v>
      </c>
      <c r="H25" s="7">
        <v>0.0093943384786780108</v>
      </c>
      <c r="I25" s="7">
        <v>4.2780706781911002e-23</v>
      </c>
      <c r="J25" s="7">
        <v>0.3965514018999422</v>
      </c>
      <c r="K25" s="7">
        <v>6.317299933877295E-11</v>
      </c>
      <c r="L25" s="7"/>
      <c r="M25" s="7"/>
      <c r="N25" s="7"/>
      <c r="O25" s="15"/>
    </row>
    <row r="26" x14ac:dyDescent="0.3">
      <c r="A26" s="15" t="s">
        <v>809</v>
      </c>
      <c r="B26" s="7">
        <v>2.5812414663082556e-19</v>
      </c>
      <c r="C26" s="7">
        <v>5.5224906461889611e-15</v>
      </c>
      <c r="D26" s="7">
        <v>4.2947255533668282e-14</v>
      </c>
      <c r="E26" s="7">
        <v>4.8767261340220105e-19</v>
      </c>
      <c r="F26" s="7">
        <v>1.4921185201314365e-19</v>
      </c>
      <c r="G26" s="7">
        <v>3.8647149457333072e-17</v>
      </c>
      <c r="H26" s="7">
        <v>0.74925288482317276</v>
      </c>
      <c r="I26" s="7">
        <v>1.8124849885357969e-20</v>
      </c>
      <c r="J26" s="7">
        <v>0.043195569085963934</v>
      </c>
      <c r="K26" s="7">
        <v>2.1556519429541708E-15</v>
      </c>
      <c r="L26" s="7"/>
      <c r="M26" s="7"/>
      <c r="N26" s="7"/>
      <c r="O26" s="15"/>
    </row>
    <row r="27" x14ac:dyDescent="0.3">
      <c r="A27" s="15" t="s">
        <v>810</v>
      </c>
      <c r="B27" s="7">
        <v>7.8147700500029627e-32</v>
      </c>
      <c r="C27" s="7">
        <v>7.7974873396051644e-16</v>
      </c>
      <c r="D27" s="7">
        <v>1.6323934618979632e-18</v>
      </c>
      <c r="E27" s="7">
        <v>1.5749855137642139e-14</v>
      </c>
      <c r="F27" s="7">
        <v>1.0951307348887298e-19</v>
      </c>
      <c r="G27" s="7">
        <v>7.7288130338872854e-16</v>
      </c>
      <c r="H27" s="7">
        <v>3.2132409959742076e-12</v>
      </c>
      <c r="I27" s="7">
        <v>1.5697591927514158e-22</v>
      </c>
      <c r="J27" s="7">
        <v>1.1879412714693541e-18</v>
      </c>
      <c r="K27" s="7">
        <v>7.8606297050391527E-7</v>
      </c>
      <c r="L27" s="7"/>
      <c r="M27" s="7"/>
      <c r="N27" s="7"/>
      <c r="O27" s="15"/>
    </row>
    <row r="28" x14ac:dyDescent="0.3">
      <c r="A28" s="15" t="s">
        <v>811</v>
      </c>
      <c r="B28" s="7">
        <v>2.6995629706081107e-15</v>
      </c>
      <c r="C28" s="7">
        <v>5.6897391224976786e-05</v>
      </c>
      <c r="D28" s="7">
        <v>0.024907940930428894</v>
      </c>
      <c r="E28" s="7">
        <v>0.00022070130919354917</v>
      </c>
      <c r="F28" s="7">
        <v>0.00016632366509841201</v>
      </c>
      <c r="G28" s="7">
        <v>2.6668759802519036e-14</v>
      </c>
      <c r="H28" s="7">
        <v>0.65989284873553689</v>
      </c>
      <c r="I28" s="7">
        <v>8.5362831200458339e-10</v>
      </c>
      <c r="J28" s="7">
        <v>0.37763117799249502</v>
      </c>
      <c r="K28" s="7">
        <v>6.3194684598022971E-16</v>
      </c>
      <c r="L28" s="7"/>
      <c r="M28" s="7"/>
      <c r="N28" s="7"/>
      <c r="O28" s="15"/>
    </row>
    <row r="29" x14ac:dyDescent="0.3">
      <c r="A29" s="15" t="s">
        <v>812</v>
      </c>
      <c r="B29" s="7">
        <v>9.5490778479005863e-21</v>
      </c>
      <c r="C29" s="7">
        <v>1.2770307845302353e-06</v>
      </c>
      <c r="D29" s="7">
        <v>2.3083470269460061e-05</v>
      </c>
      <c r="E29" s="7">
        <v>0.0099155402672193686</v>
      </c>
      <c r="F29" s="7">
        <v>0.10414392488461036</v>
      </c>
      <c r="G29" s="7">
        <v>7.7645018522325092e-14</v>
      </c>
      <c r="H29" s="7">
        <v>0.026816927669315965</v>
      </c>
      <c r="I29" s="7">
        <v>2.3247905342564642e-19</v>
      </c>
      <c r="J29" s="7">
        <v>1.8538582784531372e-13</v>
      </c>
      <c r="K29" s="7">
        <v>2.2502823965928388E-10</v>
      </c>
      <c r="L29" s="7"/>
      <c r="M29" s="7"/>
      <c r="N29" s="7"/>
      <c r="O29" s="15"/>
    </row>
    <row r="30" x14ac:dyDescent="0.3">
      <c r="A30" s="15" t="s">
        <v>813</v>
      </c>
      <c r="B30" s="7">
        <v>5.1361108438077584e-40</v>
      </c>
      <c r="C30" s="7">
        <v>2.5754136282934475e-21</v>
      </c>
      <c r="D30" s="7">
        <v>8.2279152436600563e-20</v>
      </c>
      <c r="E30" s="7">
        <v>4.1696336112577592e-13</v>
      </c>
      <c r="F30" s="7">
        <v>5.9043930220608918e-16</v>
      </c>
      <c r="G30" s="7">
        <v>6.097220269392675e-24</v>
      </c>
      <c r="H30" s="7">
        <v>4.8971371843415399e-14</v>
      </c>
      <c r="I30" s="7">
        <v>4.4454439129355115e-18</v>
      </c>
      <c r="J30" s="7">
        <v>7.1078789906436345e-19</v>
      </c>
      <c r="K30" s="7">
        <v>3.190592059178063E-11</v>
      </c>
      <c r="L30" s="7"/>
      <c r="M30" s="7"/>
      <c r="N30" s="7"/>
      <c r="O30" s="15"/>
    </row>
    <row r="31" x14ac:dyDescent="0.3">
      <c r="A31" s="15" t="s">
        <v>814</v>
      </c>
      <c r="B31" s="7">
        <v>1.2336608913893633e-07</v>
      </c>
      <c r="C31" s="7">
        <v>2.1258708835819464e-07</v>
      </c>
      <c r="D31" s="7">
        <v>0.6104432091883113</v>
      </c>
      <c r="E31" s="7">
        <v>7.1327623990974874e-05</v>
      </c>
      <c r="F31" s="7">
        <v>8.7734101599795832e-10</v>
      </c>
      <c r="G31" s="7">
        <v>0.10842070563285444</v>
      </c>
      <c r="H31" s="7">
        <v>0.00070735043691560887</v>
      </c>
      <c r="I31" s="7">
        <v>1.0740794793150976e-12</v>
      </c>
      <c r="J31" s="7">
        <v>1.0595455562559986e-11</v>
      </c>
      <c r="K31" s="7">
        <v>9.0309057032973944E-13</v>
      </c>
      <c r="L31" s="7"/>
      <c r="M31" s="7"/>
      <c r="N31" s="7"/>
      <c r="O31" s="15"/>
    </row>
    <row r="32" x14ac:dyDescent="0.3">
      <c r="A32" s="11" t="s">
        <v>815</v>
      </c>
      <c r="B32" s="10">
        <v>1.482667987748917e-20</v>
      </c>
      <c r="C32" s="10">
        <v>8.9172999557769055e-09</v>
      </c>
      <c r="D32" s="10">
        <v>3.1903886836882014e-08</v>
      </c>
      <c r="E32" s="10">
        <v>5.1209533800706231e-07</v>
      </c>
      <c r="F32" s="10">
        <v>0.0001729164499525976</v>
      </c>
      <c r="G32" s="10">
        <v>6.4500187038559347e-09</v>
      </c>
      <c r="H32" s="10">
        <v>0.051425410307751142</v>
      </c>
      <c r="I32" s="10">
        <v>1.5422910366084893e-13</v>
      </c>
      <c r="J32" s="10">
        <v>6.6411265763209006e-07</v>
      </c>
      <c r="K32" s="10"/>
      <c r="L32" s="10"/>
      <c r="M32" s="10"/>
      <c r="N32" s="10"/>
      <c r="O32" s="11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sqref="A1:O1"/>
    </sheetView>
  </sheetViews>
  <sheetFormatPr defaultRowHeight="14.4" x14ac:dyDescent="0.3"/>
  <cols>
    <col min="1" max="1" width="8.15625" bestFit="true" customWidth="true"/>
    <col min="2" max="2" width="16.82421875" customWidth="true"/>
    <col min="3" max="3" width="17.48828125" customWidth="true"/>
    <col min="4" max="4" width="18.046875" customWidth="true"/>
    <col min="5" max="5" width="16.93359375" customWidth="true"/>
    <col min="6" max="6" width="16.046875" customWidth="true"/>
    <col min="7" max="7" width="14.046875" customWidth="true"/>
    <col min="9" max="9" width="14.37890625" customWidth="true"/>
    <col min="10" max="10" width="15.37890625" bestFit="true" customWidth="true"/>
    <col min="8" max="8" width="15.37890625" customWidth="true"/>
    <col min="11" max="11" width="2" bestFit="true" customWidth="true"/>
  </cols>
  <sheetData>
    <row r="1" ht="15" thickBot="true" x14ac:dyDescent="0.35">
      <c r="A1" s="28" t="s">
        <v>321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x14ac:dyDescent="0.3">
      <c r="A2" s="4" t="s">
        <v>821</v>
      </c>
      <c r="B2" s="4" t="s">
        <v>852</v>
      </c>
      <c r="C2" s="4" t="s">
        <v>853</v>
      </c>
      <c r="D2" s="4" t="s">
        <v>854</v>
      </c>
      <c r="E2" s="4" t="s">
        <v>855</v>
      </c>
      <c r="F2" s="4" t="s">
        <v>856</v>
      </c>
      <c r="G2" s="4" t="s">
        <v>530</v>
      </c>
      <c r="H2" s="4" t="s">
        <v>531</v>
      </c>
      <c r="I2" s="4" t="s">
        <v>532</v>
      </c>
      <c r="J2" s="4" t="s">
        <v>533</v>
      </c>
      <c r="K2" s="4">
        <v>1</v>
      </c>
      <c r="L2" s="4"/>
      <c r="M2" s="4"/>
      <c r="N2" s="4"/>
      <c r="O2" s="4"/>
    </row>
    <row r="3" x14ac:dyDescent="0.3">
      <c r="A3" s="12" t="s">
        <v>822</v>
      </c>
      <c r="B3" s="16">
        <v>1</v>
      </c>
      <c r="C3" s="16">
        <v>1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/>
      <c r="L3" s="16"/>
      <c r="M3" s="16"/>
      <c r="N3" s="16"/>
      <c r="O3" s="16"/>
    </row>
    <row r="4" x14ac:dyDescent="0.3">
      <c r="A4" s="15" t="s">
        <v>823</v>
      </c>
      <c r="B4" s="17"/>
      <c r="C4" s="17"/>
      <c r="D4" s="17"/>
      <c r="E4" s="17"/>
      <c r="F4" s="17"/>
      <c r="G4" s="17"/>
      <c r="H4" s="17"/>
      <c r="I4" s="17"/>
      <c r="J4" s="17"/>
      <c r="K4" s="17">
        <v>1</v>
      </c>
      <c r="L4" s="17"/>
      <c r="M4" s="17"/>
      <c r="N4" s="17"/>
      <c r="O4" s="17"/>
    </row>
    <row r="5" x14ac:dyDescent="0.3">
      <c r="A5" s="15" t="s">
        <v>824</v>
      </c>
      <c r="B5" s="17">
        <v>1</v>
      </c>
      <c r="C5" s="17">
        <v>1</v>
      </c>
      <c r="D5" s="17">
        <v>1</v>
      </c>
      <c r="E5" s="17">
        <v>1</v>
      </c>
      <c r="F5" s="17">
        <v>1</v>
      </c>
      <c r="G5" s="17">
        <v>1</v>
      </c>
      <c r="H5" s="17">
        <v>1</v>
      </c>
      <c r="I5" s="17">
        <v>1</v>
      </c>
      <c r="J5" s="17">
        <v>1</v>
      </c>
      <c r="K5" s="17">
        <v>1</v>
      </c>
      <c r="L5" s="17"/>
      <c r="M5" s="17"/>
      <c r="N5" s="17"/>
      <c r="O5" s="17"/>
    </row>
    <row r="6" x14ac:dyDescent="0.3">
      <c r="A6" s="15" t="s">
        <v>825</v>
      </c>
      <c r="B6" s="17">
        <v>1</v>
      </c>
      <c r="C6" s="17">
        <v>1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/>
      <c r="M6" s="17"/>
      <c r="N6" s="17"/>
      <c r="O6" s="17"/>
    </row>
    <row r="7" x14ac:dyDescent="0.3">
      <c r="A7" s="15" t="s">
        <v>826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0</v>
      </c>
      <c r="K7" s="17">
        <v>1</v>
      </c>
      <c r="L7" s="17"/>
      <c r="M7" s="17"/>
      <c r="N7" s="17"/>
      <c r="O7" s="17"/>
    </row>
    <row r="8" x14ac:dyDescent="0.3">
      <c r="A8" s="15" t="s">
        <v>827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/>
      <c r="M8" s="17"/>
      <c r="N8" s="17"/>
      <c r="O8" s="17"/>
    </row>
    <row r="9" x14ac:dyDescent="0.3">
      <c r="A9" s="15" t="s">
        <v>828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1</v>
      </c>
      <c r="L9" s="17"/>
      <c r="M9" s="17"/>
      <c r="N9" s="17"/>
      <c r="O9" s="17"/>
    </row>
    <row r="10" x14ac:dyDescent="0.3">
      <c r="A10" s="15" t="s">
        <v>829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/>
      <c r="M10" s="17"/>
      <c r="N10" s="17"/>
      <c r="O10" s="17"/>
    </row>
    <row r="11" x14ac:dyDescent="0.3">
      <c r="A11" s="15" t="s">
        <v>830</v>
      </c>
      <c r="B11" s="17">
        <v>1</v>
      </c>
      <c r="C11" s="17">
        <v>0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/>
      <c r="M11" s="17"/>
      <c r="N11" s="17"/>
      <c r="O11" s="17"/>
    </row>
    <row r="12" x14ac:dyDescent="0.3">
      <c r="A12" s="15" t="s">
        <v>831</v>
      </c>
      <c r="B12" s="17">
        <v>1</v>
      </c>
      <c r="C12" s="17">
        <v>1</v>
      </c>
      <c r="D12" s="17">
        <v>0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/>
      <c r="M12" s="17"/>
      <c r="N12" s="17"/>
      <c r="O12" s="17"/>
    </row>
    <row r="13" x14ac:dyDescent="0.3">
      <c r="A13" s="15" t="s">
        <v>832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/>
      <c r="M13" s="17"/>
      <c r="N13" s="17"/>
      <c r="O13" s="17"/>
    </row>
    <row r="14" x14ac:dyDescent="0.3">
      <c r="A14" s="15" t="s">
        <v>833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0</v>
      </c>
      <c r="L14" s="17"/>
      <c r="M14" s="17"/>
      <c r="N14" s="17"/>
      <c r="O14" s="17"/>
    </row>
    <row r="15" x14ac:dyDescent="0.3">
      <c r="A15" s="15" t="s">
        <v>834</v>
      </c>
      <c r="B15" s="17">
        <v>1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  <c r="H15" s="17">
        <v>0</v>
      </c>
      <c r="I15" s="17">
        <v>1</v>
      </c>
      <c r="J15" s="17">
        <v>1</v>
      </c>
      <c r="K15" s="17">
        <v>1</v>
      </c>
      <c r="L15" s="17"/>
      <c r="M15" s="17"/>
      <c r="N15" s="17"/>
      <c r="O15" s="17"/>
    </row>
    <row r="16" x14ac:dyDescent="0.3">
      <c r="A16" s="15" t="s">
        <v>835</v>
      </c>
      <c r="B16" s="17">
        <v>1</v>
      </c>
      <c r="C16" s="17">
        <v>1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/>
      <c r="M16" s="17"/>
      <c r="N16" s="17"/>
      <c r="O16" s="17"/>
    </row>
    <row r="17" x14ac:dyDescent="0.3">
      <c r="A17" s="15" t="s">
        <v>836</v>
      </c>
      <c r="B17" s="17">
        <v>1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1</v>
      </c>
      <c r="L17" s="17"/>
      <c r="M17" s="17"/>
      <c r="N17" s="17"/>
      <c r="O17" s="17"/>
    </row>
    <row r="18" x14ac:dyDescent="0.3">
      <c r="A18" s="15" t="s">
        <v>837</v>
      </c>
      <c r="B18" s="17">
        <v>1</v>
      </c>
      <c r="C18" s="17">
        <v>1</v>
      </c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1</v>
      </c>
      <c r="L18" s="17"/>
      <c r="M18" s="17"/>
      <c r="N18" s="17"/>
      <c r="O18" s="17"/>
    </row>
    <row r="19" x14ac:dyDescent="0.3">
      <c r="A19" s="15" t="s">
        <v>838</v>
      </c>
      <c r="B19" s="17">
        <v>1</v>
      </c>
      <c r="C19" s="17">
        <v>0</v>
      </c>
      <c r="D19" s="17">
        <v>0</v>
      </c>
      <c r="E19" s="17">
        <v>0</v>
      </c>
      <c r="F19" s="17">
        <v>1</v>
      </c>
      <c r="G19" s="17">
        <v>1</v>
      </c>
      <c r="H19" s="17">
        <v>0</v>
      </c>
      <c r="I19" s="17">
        <v>0</v>
      </c>
      <c r="J19" s="17">
        <v>0</v>
      </c>
      <c r="K19" s="17">
        <v>1</v>
      </c>
      <c r="L19" s="17"/>
      <c r="M19" s="17"/>
      <c r="N19" s="17"/>
      <c r="O19" s="17"/>
    </row>
    <row r="20" x14ac:dyDescent="0.3">
      <c r="A20" s="15" t="s">
        <v>839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/>
      <c r="M20" s="17"/>
      <c r="N20" s="17"/>
      <c r="O20" s="17"/>
    </row>
    <row r="21" x14ac:dyDescent="0.3">
      <c r="A21" s="15" t="s">
        <v>840</v>
      </c>
      <c r="B21" s="17">
        <v>1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0</v>
      </c>
      <c r="I21" s="17">
        <v>1</v>
      </c>
      <c r="J21" s="17">
        <v>1</v>
      </c>
      <c r="K21" s="17">
        <v>1</v>
      </c>
      <c r="L21" s="17"/>
      <c r="M21" s="17"/>
      <c r="N21" s="17"/>
      <c r="O21" s="17"/>
    </row>
    <row r="22" x14ac:dyDescent="0.3">
      <c r="A22" s="15" t="s">
        <v>841</v>
      </c>
      <c r="B22" s="17">
        <v>1</v>
      </c>
      <c r="C22" s="17">
        <v>0</v>
      </c>
      <c r="D22" s="17">
        <v>0</v>
      </c>
      <c r="E22" s="17">
        <v>1</v>
      </c>
      <c r="F22" s="17">
        <v>0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/>
      <c r="M22" s="17"/>
      <c r="N22" s="17"/>
      <c r="O22" s="17"/>
    </row>
    <row r="23" x14ac:dyDescent="0.3">
      <c r="A23" s="15" t="s">
        <v>842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7">
        <v>1</v>
      </c>
      <c r="H23" s="17">
        <v>0</v>
      </c>
      <c r="I23" s="17">
        <v>1</v>
      </c>
      <c r="J23" s="17">
        <v>1</v>
      </c>
      <c r="K23" s="17">
        <v>1</v>
      </c>
      <c r="L23" s="17"/>
      <c r="M23" s="17"/>
      <c r="N23" s="17"/>
      <c r="O23" s="17"/>
    </row>
    <row r="24" x14ac:dyDescent="0.3">
      <c r="A24" s="15" t="s">
        <v>843</v>
      </c>
      <c r="B24" s="17">
        <v>1</v>
      </c>
      <c r="C24" s="17">
        <v>0</v>
      </c>
      <c r="D24" s="17">
        <v>0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/>
      <c r="M24" s="17"/>
      <c r="N24" s="17"/>
      <c r="O24" s="17"/>
    </row>
    <row r="25" x14ac:dyDescent="0.3">
      <c r="A25" s="15" t="s">
        <v>844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0</v>
      </c>
      <c r="K25" s="17">
        <v>1</v>
      </c>
      <c r="L25" s="17"/>
      <c r="M25" s="17"/>
      <c r="N25" s="17"/>
      <c r="O25" s="17"/>
    </row>
    <row r="26" x14ac:dyDescent="0.3">
      <c r="A26" s="15" t="s">
        <v>845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0</v>
      </c>
      <c r="I26" s="17">
        <v>1</v>
      </c>
      <c r="J26" s="17">
        <v>1</v>
      </c>
      <c r="K26" s="17">
        <v>1</v>
      </c>
      <c r="L26" s="17"/>
      <c r="M26" s="17"/>
      <c r="N26" s="17"/>
      <c r="O26" s="17"/>
    </row>
    <row r="27" x14ac:dyDescent="0.3">
      <c r="A27" s="15" t="s">
        <v>846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/>
      <c r="M27" s="17"/>
      <c r="N27" s="17"/>
      <c r="O27" s="17"/>
    </row>
    <row r="28" x14ac:dyDescent="0.3">
      <c r="A28" s="15" t="s">
        <v>847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0</v>
      </c>
      <c r="I28" s="17">
        <v>1</v>
      </c>
      <c r="J28" s="17">
        <v>0</v>
      </c>
      <c r="K28" s="17">
        <v>1</v>
      </c>
      <c r="L28" s="17"/>
      <c r="M28" s="17"/>
      <c r="N28" s="17"/>
      <c r="O28" s="17"/>
    </row>
    <row r="29" x14ac:dyDescent="0.3">
      <c r="A29" s="15" t="s">
        <v>848</v>
      </c>
      <c r="B29" s="17">
        <v>1</v>
      </c>
      <c r="C29" s="17">
        <v>1</v>
      </c>
      <c r="D29" s="17">
        <v>1</v>
      </c>
      <c r="E29" s="17">
        <v>1</v>
      </c>
      <c r="F29" s="17">
        <v>0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/>
      <c r="M29" s="17"/>
      <c r="N29" s="17"/>
      <c r="O29" s="17"/>
    </row>
    <row r="30" x14ac:dyDescent="0.3">
      <c r="A30" s="15" t="s">
        <v>849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/>
      <c r="M30" s="17"/>
      <c r="N30" s="17"/>
      <c r="O30" s="17"/>
    </row>
    <row r="31" x14ac:dyDescent="0.3">
      <c r="A31" s="15" t="s">
        <v>850</v>
      </c>
      <c r="B31" s="17">
        <v>1</v>
      </c>
      <c r="C31" s="17">
        <v>1</v>
      </c>
      <c r="D31" s="17">
        <v>0</v>
      </c>
      <c r="E31" s="17">
        <v>1</v>
      </c>
      <c r="F31" s="17">
        <v>1</v>
      </c>
      <c r="G31" s="17">
        <v>0</v>
      </c>
      <c r="H31" s="17">
        <v>1</v>
      </c>
      <c r="I31" s="17">
        <v>1</v>
      </c>
      <c r="J31" s="17">
        <v>1</v>
      </c>
      <c r="K31" s="17">
        <v>1</v>
      </c>
      <c r="L31" s="17"/>
      <c r="M31" s="17"/>
      <c r="N31" s="17"/>
      <c r="O31" s="17"/>
    </row>
    <row r="32" x14ac:dyDescent="0.3">
      <c r="A32" s="11" t="s">
        <v>851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0</v>
      </c>
      <c r="I32" s="18">
        <v>1</v>
      </c>
      <c r="J32" s="18">
        <v>1</v>
      </c>
      <c r="K32" s="18"/>
      <c r="L32" s="18"/>
      <c r="M32" s="18"/>
      <c r="N32" s="18"/>
      <c r="O32" s="18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zoomScaleNormal="100" workbookViewId="0">
      <selection sqref="A1:O1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8" max="8" width="15.37890625" bestFit="true" customWidth="true"/>
    <col min="10" max="10" width="15.37890625" customWidth="true"/>
  </cols>
  <sheetData>
    <row r="1" ht="15" thickBot="true" x14ac:dyDescent="0.35">
      <c r="A1" s="28" t="s">
        <v>304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x14ac:dyDescent="0.3">
      <c r="A2" s="11" t="s">
        <v>857</v>
      </c>
      <c r="B2" s="11" t="s">
        <v>888</v>
      </c>
      <c r="C2" s="11" t="s">
        <v>889</v>
      </c>
      <c r="D2" s="11" t="s">
        <v>890</v>
      </c>
      <c r="E2" s="11" t="s">
        <v>891</v>
      </c>
      <c r="F2" s="11" t="s">
        <v>892</v>
      </c>
      <c r="G2" s="11" t="s">
        <v>570</v>
      </c>
      <c r="H2" s="11" t="s">
        <v>571</v>
      </c>
      <c r="I2" s="11" t="s">
        <v>572</v>
      </c>
      <c r="J2" s="11" t="s">
        <v>573</v>
      </c>
      <c r="K2" s="11"/>
      <c r="L2" s="11"/>
      <c r="M2" s="11"/>
      <c r="N2" s="11"/>
      <c r="O2" s="11"/>
    </row>
    <row r="3" x14ac:dyDescent="0.3">
      <c r="A3" s="12" t="s">
        <v>858</v>
      </c>
      <c r="B3" s="2">
        <v>1.7343976283205826e-06</v>
      </c>
      <c r="C3" s="2">
        <v>1.7343976283205826e-06</v>
      </c>
      <c r="D3" s="2">
        <v>1.7343976283205826e-06</v>
      </c>
      <c r="E3" s="2">
        <v>1.7343976283205826e-06</v>
      </c>
      <c r="F3" s="2">
        <v>1.7343976283205826e-06</v>
      </c>
      <c r="G3" s="2">
        <v>1.7343976283205826e-06</v>
      </c>
      <c r="H3" s="2">
        <v>1.7343976283205826e-06</v>
      </c>
      <c r="I3" s="2">
        <v>1.7343976283205826e-06</v>
      </c>
      <c r="J3" s="2">
        <v>1.7343976283205826e-06</v>
      </c>
      <c r="K3" s="2"/>
      <c r="L3" s="2"/>
      <c r="M3" s="2"/>
      <c r="N3" s="2"/>
      <c r="O3" s="2"/>
    </row>
    <row r="4" x14ac:dyDescent="0.3">
      <c r="A4" s="15" t="s">
        <v>859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x14ac:dyDescent="0.3">
      <c r="A5" s="15" t="s">
        <v>860</v>
      </c>
      <c r="B5" s="7">
        <v>1.7343976283205826e-06</v>
      </c>
      <c r="C5" s="7">
        <v>1.7343976283205826e-06</v>
      </c>
      <c r="D5" s="7">
        <v>1.7343976283205826e-06</v>
      </c>
      <c r="E5" s="7">
        <v>1.7343976283205826e-06</v>
      </c>
      <c r="F5" s="7">
        <v>1.7343976283205826e-06</v>
      </c>
      <c r="G5" s="7">
        <v>1.7343976283205826e-06</v>
      </c>
      <c r="H5" s="7">
        <v>1.7343976283205826e-06</v>
      </c>
      <c r="I5" s="7">
        <v>1.7343976283205826e-06</v>
      </c>
      <c r="J5" s="7">
        <v>1.7343976283205826e-06</v>
      </c>
      <c r="K5" s="7"/>
      <c r="L5" s="7"/>
      <c r="M5" s="7"/>
      <c r="N5" s="7"/>
      <c r="O5" s="7"/>
    </row>
    <row r="6" x14ac:dyDescent="0.3">
      <c r="A6" s="15" t="s">
        <v>861</v>
      </c>
      <c r="B6" s="7">
        <v>1.7343976283205826e-06</v>
      </c>
      <c r="C6" s="7">
        <v>1.7343976283205826e-06</v>
      </c>
      <c r="D6" s="7">
        <v>1.7343976283205826e-06</v>
      </c>
      <c r="E6" s="7">
        <v>1.7343976283205826e-06</v>
      </c>
      <c r="F6" s="7">
        <v>1.7343976283205826e-06</v>
      </c>
      <c r="G6" s="7">
        <v>1.7343976283205826e-06</v>
      </c>
      <c r="H6" s="7">
        <v>1.7343976283205826e-06</v>
      </c>
      <c r="I6" s="7">
        <v>1.7343976283205826e-06</v>
      </c>
      <c r="J6" s="7">
        <v>1.7343976283205826e-06</v>
      </c>
      <c r="K6" s="7"/>
      <c r="L6" s="7"/>
      <c r="M6" s="7"/>
      <c r="N6" s="7"/>
      <c r="O6" s="7"/>
    </row>
    <row r="7" x14ac:dyDescent="0.3">
      <c r="A7" s="15" t="s">
        <v>862</v>
      </c>
      <c r="B7" s="7">
        <v>1.7343976283205826e-06</v>
      </c>
      <c r="C7" s="7">
        <v>0.00016046383716795373</v>
      </c>
      <c r="D7" s="7">
        <v>4.7292023374470689e-06</v>
      </c>
      <c r="E7" s="7">
        <v>0.0010356813035458732</v>
      </c>
      <c r="F7" s="7">
        <v>1.9209211049031476e-06</v>
      </c>
      <c r="G7" s="7">
        <v>1.7343976283205826e-06</v>
      </c>
      <c r="H7" s="7">
        <v>1.7343976283205826e-06</v>
      </c>
      <c r="I7" s="7">
        <v>8.4660816903838918e-06</v>
      </c>
      <c r="J7" s="7">
        <v>0.29894375201959067</v>
      </c>
      <c r="K7" s="7"/>
      <c r="L7" s="7"/>
      <c r="M7" s="7"/>
      <c r="N7" s="7"/>
      <c r="O7" s="7"/>
    </row>
    <row r="8" x14ac:dyDescent="0.3">
      <c r="A8" s="15" t="s">
        <v>863</v>
      </c>
      <c r="B8" s="7">
        <v>1.7343976283205826e-06</v>
      </c>
      <c r="C8" s="7">
        <v>4.4493372834531134e-05</v>
      </c>
      <c r="D8" s="7">
        <v>2.12663601073143e-06</v>
      </c>
      <c r="E8" s="7">
        <v>1.7343976283205826e-06</v>
      </c>
      <c r="F8" s="7">
        <v>1.7343976283205826e-06</v>
      </c>
      <c r="G8" s="7">
        <v>1.7343976283205826e-06</v>
      </c>
      <c r="H8" s="7">
        <v>9.7110489760716314e-05</v>
      </c>
      <c r="I8" s="7">
        <v>1.9209211049031476e-06</v>
      </c>
      <c r="J8" s="7">
        <v>0.0015927015020870084</v>
      </c>
      <c r="K8" s="7"/>
      <c r="L8" s="7"/>
      <c r="M8" s="7"/>
      <c r="N8" s="7"/>
      <c r="O8" s="7"/>
    </row>
    <row r="9" x14ac:dyDescent="0.3">
      <c r="A9" s="15" t="s">
        <v>864</v>
      </c>
      <c r="B9" s="7">
        <v>1.7343976283205826e-06</v>
      </c>
      <c r="C9" s="7">
        <v>1.7343976283205826e-06</v>
      </c>
      <c r="D9" s="7">
        <v>1.7343976283205826e-06</v>
      </c>
      <c r="E9" s="7">
        <v>2.6033283895389329e-06</v>
      </c>
      <c r="F9" s="7">
        <v>1.7343976283205826e-06</v>
      </c>
      <c r="G9" s="7">
        <v>1.7343976283205826e-06</v>
      </c>
      <c r="H9" s="7">
        <v>0.030009891313080801</v>
      </c>
      <c r="I9" s="7">
        <v>1.7343976283205826e-06</v>
      </c>
      <c r="J9" s="7">
        <v>6.3391355731224854e-06</v>
      </c>
      <c r="K9" s="7"/>
      <c r="L9" s="7"/>
      <c r="M9" s="7"/>
      <c r="N9" s="7"/>
      <c r="O9" s="7"/>
    </row>
    <row r="10" x14ac:dyDescent="0.3">
      <c r="A10" s="15" t="s">
        <v>865</v>
      </c>
      <c r="B10" s="7">
        <v>1.7343976283205826e-06</v>
      </c>
      <c r="C10" s="7">
        <v>4.7292023374470689e-06</v>
      </c>
      <c r="D10" s="7">
        <v>8.4660816903838918e-06</v>
      </c>
      <c r="E10" s="7">
        <v>1.6394463016779945e-05</v>
      </c>
      <c r="F10" s="7">
        <v>2.6033283895389329e-06</v>
      </c>
      <c r="G10" s="7">
        <v>1.7343976283205826e-06</v>
      </c>
      <c r="H10" s="7">
        <v>6.3391355731224854e-06</v>
      </c>
      <c r="I10" s="7">
        <v>4.7292023374470689e-06</v>
      </c>
      <c r="J10" s="7">
        <v>0.00026134309226671595</v>
      </c>
      <c r="K10" s="7"/>
      <c r="L10" s="7"/>
      <c r="M10" s="7"/>
      <c r="N10" s="7"/>
      <c r="O10" s="7"/>
    </row>
    <row r="11" x14ac:dyDescent="0.3">
      <c r="A11" s="15" t="s">
        <v>866</v>
      </c>
      <c r="B11" s="7">
        <v>2.6033283895389329e-06</v>
      </c>
      <c r="C11" s="7">
        <v>0.10201069524998857</v>
      </c>
      <c r="D11" s="7">
        <v>0.01245256043855447</v>
      </c>
      <c r="E11" s="7">
        <v>1.0246327832617652e-05</v>
      </c>
      <c r="F11" s="7">
        <v>2.8785992193943049e-06</v>
      </c>
      <c r="G11" s="7">
        <v>1.7343976283205826e-06</v>
      </c>
      <c r="H11" s="7">
        <v>1.7343976283205826e-06</v>
      </c>
      <c r="I11" s="7">
        <v>1.7343976283205826e-06</v>
      </c>
      <c r="J11" s="7">
        <v>1.7343976283205826e-06</v>
      </c>
      <c r="K11" s="7"/>
      <c r="L11" s="7"/>
      <c r="M11" s="7"/>
      <c r="N11" s="7"/>
      <c r="O11" s="7"/>
    </row>
    <row r="12" x14ac:dyDescent="0.3">
      <c r="A12" s="15" t="s">
        <v>867</v>
      </c>
      <c r="B12" s="7">
        <v>1.7343976283205826e-06</v>
      </c>
      <c r="C12" s="7">
        <v>0.062682812499579812</v>
      </c>
      <c r="D12" s="7">
        <v>0.67327980652330466</v>
      </c>
      <c r="E12" s="7">
        <v>1.7343976283205826e-06</v>
      </c>
      <c r="F12" s="7">
        <v>0.0022551238907870951</v>
      </c>
      <c r="G12" s="7">
        <v>1.7343976283205826e-06</v>
      </c>
      <c r="H12" s="7">
        <v>1.7343976283205826e-06</v>
      </c>
      <c r="I12" s="7">
        <v>0.00052872483715050533</v>
      </c>
      <c r="J12" s="7">
        <v>6.3391355731224854e-06</v>
      </c>
      <c r="K12" s="7"/>
      <c r="L12" s="7"/>
      <c r="M12" s="7"/>
      <c r="N12" s="7"/>
      <c r="O12" s="7"/>
    </row>
    <row r="13" x14ac:dyDescent="0.3">
      <c r="A13" s="15" t="s">
        <v>868</v>
      </c>
      <c r="B13" s="7">
        <v>1.7343976283205826e-06</v>
      </c>
      <c r="C13" s="7">
        <v>1.7343976283205826e-06</v>
      </c>
      <c r="D13" s="7">
        <v>1.7343976283205826e-06</v>
      </c>
      <c r="E13" s="7">
        <v>1.7343976283205826e-06</v>
      </c>
      <c r="F13" s="7">
        <v>1.7343976283205826e-06</v>
      </c>
      <c r="G13" s="7">
        <v>1.7343976283205826e-06</v>
      </c>
      <c r="H13" s="7">
        <v>1.7343976283205826e-06</v>
      </c>
      <c r="I13" s="7">
        <v>1.7343976283205826e-06</v>
      </c>
      <c r="J13" s="7">
        <v>1.7343976283205826e-06</v>
      </c>
      <c r="K13" s="7"/>
      <c r="L13" s="7"/>
      <c r="M13" s="7"/>
      <c r="N13" s="7"/>
      <c r="O13" s="7"/>
    </row>
    <row r="14" x14ac:dyDescent="0.3">
      <c r="A14" s="15" t="s">
        <v>869</v>
      </c>
      <c r="B14" s="7">
        <v>1.7343976283205826e-06</v>
      </c>
      <c r="C14" s="7">
        <v>5.3069919380911133e-05</v>
      </c>
      <c r="D14" s="7">
        <v>1.7343976283205826e-06</v>
      </c>
      <c r="E14" s="7">
        <v>6.9837831474771065e-06</v>
      </c>
      <c r="F14" s="7">
        <v>1.7343976283205826e-06</v>
      </c>
      <c r="G14" s="7">
        <v>1.7343976283205826e-06</v>
      </c>
      <c r="H14" s="7">
        <v>1.7343976283205826e-06</v>
      </c>
      <c r="I14" s="7">
        <v>1.7343976283205826e-06</v>
      </c>
      <c r="J14" s="7">
        <v>1.7343976283205826e-06</v>
      </c>
      <c r="K14" s="7"/>
      <c r="L14" s="7"/>
      <c r="M14" s="7"/>
      <c r="N14" s="7"/>
      <c r="O14" s="7"/>
    </row>
    <row r="15" x14ac:dyDescent="0.3">
      <c r="A15" s="15" t="s">
        <v>870</v>
      </c>
      <c r="B15" s="7">
        <v>1.7343976283205826e-06</v>
      </c>
      <c r="C15" s="7">
        <v>1.7343976283205826e-06</v>
      </c>
      <c r="D15" s="7">
        <v>1.7343976283205826e-06</v>
      </c>
      <c r="E15" s="7">
        <v>5.7516532694018495e-06</v>
      </c>
      <c r="F15" s="7">
        <v>1.7343976283205826e-06</v>
      </c>
      <c r="G15" s="7">
        <v>1.7343976283205826e-06</v>
      </c>
      <c r="H15" s="7">
        <v>1.7343976283205826e-06</v>
      </c>
      <c r="I15" s="7">
        <v>1.7343976283205826e-06</v>
      </c>
      <c r="J15" s="7">
        <v>1.7343976283205826e-06</v>
      </c>
      <c r="K15" s="7"/>
      <c r="L15" s="7"/>
      <c r="M15" s="7"/>
      <c r="N15" s="7"/>
      <c r="O15" s="7"/>
    </row>
    <row r="16" x14ac:dyDescent="0.3">
      <c r="A16" s="15" t="s">
        <v>871</v>
      </c>
      <c r="B16" s="7">
        <v>1.7343976283205826e-06</v>
      </c>
      <c r="C16" s="7">
        <v>2.3534209951215406e-06</v>
      </c>
      <c r="D16" s="7">
        <v>1.7343976283205826e-06</v>
      </c>
      <c r="E16" s="7">
        <v>1.7343976283205826e-06</v>
      </c>
      <c r="F16" s="7">
        <v>1.7343976283205826e-06</v>
      </c>
      <c r="G16" s="7">
        <v>1.7343976283205826e-06</v>
      </c>
      <c r="H16" s="7">
        <v>1.7343976283205826e-06</v>
      </c>
      <c r="I16" s="7">
        <v>1.7343976283205826e-06</v>
      </c>
      <c r="J16" s="7">
        <v>1.7343976283205826e-06</v>
      </c>
      <c r="K16" s="7"/>
      <c r="L16" s="7"/>
      <c r="M16" s="7"/>
      <c r="N16" s="7"/>
      <c r="O16" s="7"/>
    </row>
    <row r="17" x14ac:dyDescent="0.3">
      <c r="A17" s="15" t="s">
        <v>872</v>
      </c>
      <c r="B17" s="7">
        <v>1.7343976283205826e-06</v>
      </c>
      <c r="C17" s="7">
        <v>3.8821823860608705e-06</v>
      </c>
      <c r="D17" s="7">
        <v>1.7343976283205826e-06</v>
      </c>
      <c r="E17" s="7">
        <v>0.67327980652330466</v>
      </c>
      <c r="F17" s="7">
        <v>1.7343976283205826e-06</v>
      </c>
      <c r="G17" s="7">
        <v>1.7343976283205826e-06</v>
      </c>
      <c r="H17" s="7">
        <v>1.7343976283205826e-06</v>
      </c>
      <c r="I17" s="7">
        <v>1.7343976283205826e-06</v>
      </c>
      <c r="J17" s="7">
        <v>1.7343976283205826e-06</v>
      </c>
      <c r="K17" s="7"/>
      <c r="L17" s="7"/>
      <c r="M17" s="7"/>
      <c r="N17" s="7"/>
      <c r="O17" s="7"/>
    </row>
    <row r="18" x14ac:dyDescent="0.3">
      <c r="A18" s="15" t="s">
        <v>873</v>
      </c>
      <c r="B18" s="7">
        <v>1.7343976283205826e-06</v>
      </c>
      <c r="C18" s="7">
        <v>0.0031617649366554898</v>
      </c>
      <c r="D18" s="7">
        <v>3.1123151153729202e-05</v>
      </c>
      <c r="E18" s="7">
        <v>0.0072710496910462115</v>
      </c>
      <c r="F18" s="7">
        <v>0.00010569503498431315</v>
      </c>
      <c r="G18" s="7">
        <v>1.7343976283205826e-06</v>
      </c>
      <c r="H18" s="7">
        <v>0.00026134309226671595</v>
      </c>
      <c r="I18" s="7">
        <v>6.8922902968349725e-05</v>
      </c>
      <c r="J18" s="7">
        <v>6.9837831474771065e-06</v>
      </c>
      <c r="K18" s="7"/>
      <c r="L18" s="7"/>
      <c r="M18" s="7"/>
      <c r="N18" s="7"/>
      <c r="O18" s="7"/>
    </row>
    <row r="19" x14ac:dyDescent="0.3">
      <c r="A19" s="15" t="s">
        <v>874</v>
      </c>
      <c r="B19" s="7">
        <v>1.7343976283205826e-06</v>
      </c>
      <c r="C19" s="7">
        <v>0.22102157481330351</v>
      </c>
      <c r="D19" s="7">
        <v>0.0017087731951465361</v>
      </c>
      <c r="E19" s="7">
        <v>0.94261051245765115</v>
      </c>
      <c r="F19" s="7">
        <v>0.0087296677536022934</v>
      </c>
      <c r="G19" s="7">
        <v>1.7343976283205826e-06</v>
      </c>
      <c r="H19" s="7">
        <v>0.82901303169467</v>
      </c>
      <c r="I19" s="7">
        <v>0.65833052408813408</v>
      </c>
      <c r="J19" s="7">
        <v>0.73432529143912806</v>
      </c>
      <c r="K19" s="7"/>
      <c r="L19" s="7"/>
      <c r="M19" s="7"/>
      <c r="N19" s="7"/>
      <c r="O19" s="7"/>
    </row>
    <row r="20" x14ac:dyDescent="0.3">
      <c r="A20" s="15" t="s">
        <v>875</v>
      </c>
      <c r="B20" s="7">
        <v>1.7343976283205826e-06</v>
      </c>
      <c r="C20" s="7">
        <v>3.5152372790448369e-06</v>
      </c>
      <c r="D20" s="7">
        <v>4.7292023374470689e-06</v>
      </c>
      <c r="E20" s="7">
        <v>1.7343976283205826e-06</v>
      </c>
      <c r="F20" s="7">
        <v>1.7343976283205826e-06</v>
      </c>
      <c r="G20" s="7">
        <v>1.7343976283205826e-06</v>
      </c>
      <c r="H20" s="7">
        <v>1.7343976283205826e-06</v>
      </c>
      <c r="I20" s="7">
        <v>1.7343976283205826e-06</v>
      </c>
      <c r="J20" s="7">
        <v>1.7343976283205826e-06</v>
      </c>
      <c r="K20" s="7"/>
      <c r="L20" s="7"/>
      <c r="M20" s="7"/>
      <c r="N20" s="7"/>
      <c r="O20" s="7"/>
    </row>
    <row r="21" x14ac:dyDescent="0.3">
      <c r="A21" s="15" t="s">
        <v>876</v>
      </c>
      <c r="B21" s="7">
        <v>1.7343976283205826e-06</v>
      </c>
      <c r="C21" s="7">
        <v>0.0038542362868791286</v>
      </c>
      <c r="D21" s="7">
        <v>1.9209211049031476e-06</v>
      </c>
      <c r="E21" s="7">
        <v>3.1123151153729202e-05</v>
      </c>
      <c r="F21" s="7">
        <v>2.8785992193943049e-06</v>
      </c>
      <c r="G21" s="7">
        <v>1.7343976283205826e-06</v>
      </c>
      <c r="H21" s="7">
        <v>1.7343976283205826e-06</v>
      </c>
      <c r="I21" s="7">
        <v>1.7343976283205826e-06</v>
      </c>
      <c r="J21" s="7">
        <v>1.7343976283205826e-06</v>
      </c>
      <c r="K21" s="7"/>
      <c r="L21" s="7"/>
      <c r="M21" s="7"/>
      <c r="N21" s="7"/>
      <c r="O21" s="7"/>
    </row>
    <row r="22" x14ac:dyDescent="0.3">
      <c r="A22" s="15" t="s">
        <v>877</v>
      </c>
      <c r="B22" s="7">
        <v>1.7343976283205826e-06</v>
      </c>
      <c r="C22" s="7">
        <v>0.089717837767508926</v>
      </c>
      <c r="D22" s="7">
        <v>0.90993076815873453</v>
      </c>
      <c r="E22" s="7">
        <v>1.7343976283205826e-06</v>
      </c>
      <c r="F22" s="7">
        <v>0.31849060257821749</v>
      </c>
      <c r="G22" s="7">
        <v>1.7343976283205826e-06</v>
      </c>
      <c r="H22" s="7">
        <v>4.7292023374470689e-06</v>
      </c>
      <c r="I22" s="7">
        <v>0.00011499217543570143</v>
      </c>
      <c r="J22" s="7">
        <v>4.4493372834531134e-05</v>
      </c>
      <c r="K22" s="7"/>
      <c r="L22" s="7"/>
      <c r="M22" s="7"/>
      <c r="N22" s="7"/>
      <c r="O22" s="7"/>
    </row>
    <row r="23" x14ac:dyDescent="0.3">
      <c r="A23" s="15" t="s">
        <v>878</v>
      </c>
      <c r="B23" s="7">
        <v>1.9209211049031476e-06</v>
      </c>
      <c r="C23" s="7">
        <v>3.8821823860608705e-06</v>
      </c>
      <c r="D23" s="7">
        <v>1.7343976283205826e-06</v>
      </c>
      <c r="E23" s="7">
        <v>1.7343976283205826e-06</v>
      </c>
      <c r="F23" s="7">
        <v>1.7343976283205826e-06</v>
      </c>
      <c r="G23" s="7">
        <v>1.7343976283205826e-06</v>
      </c>
      <c r="H23" s="7">
        <v>0.34934556237492975</v>
      </c>
      <c r="I23" s="7">
        <v>1.7343976283205826e-06</v>
      </c>
      <c r="J23" s="7">
        <v>0.004681835234144679</v>
      </c>
      <c r="K23" s="7"/>
      <c r="L23" s="7"/>
      <c r="M23" s="7"/>
      <c r="N23" s="7"/>
      <c r="O23" s="7"/>
    </row>
    <row r="24" x14ac:dyDescent="0.3">
      <c r="A24" s="15" t="s">
        <v>879</v>
      </c>
      <c r="B24" s="7">
        <v>1.7343976283205826e-06</v>
      </c>
      <c r="C24" s="7">
        <v>0.11560818762398353</v>
      </c>
      <c r="D24" s="7">
        <v>0.39333437219927975</v>
      </c>
      <c r="E24" s="7">
        <v>1.7343976283205826e-06</v>
      </c>
      <c r="F24" s="7">
        <v>1.6394463016779945e-05</v>
      </c>
      <c r="G24" s="7">
        <v>1.7343976283205826e-06</v>
      </c>
      <c r="H24" s="7">
        <v>1.7343976283205826e-06</v>
      </c>
      <c r="I24" s="7">
        <v>0.0011138009078172097</v>
      </c>
      <c r="J24" s="7">
        <v>7.6908593028485401e-06</v>
      </c>
      <c r="K24" s="7"/>
      <c r="L24" s="7"/>
      <c r="M24" s="7"/>
      <c r="N24" s="7"/>
      <c r="O24" s="7"/>
    </row>
    <row r="25" x14ac:dyDescent="0.3">
      <c r="A25" s="15" t="s">
        <v>880</v>
      </c>
      <c r="B25" s="7">
        <v>1.7343976283205826e-06</v>
      </c>
      <c r="C25" s="7">
        <v>1.7343976283205826e-06</v>
      </c>
      <c r="D25" s="7">
        <v>1.7343976283205826e-06</v>
      </c>
      <c r="E25" s="7">
        <v>1.7343976283205826e-06</v>
      </c>
      <c r="F25" s="7">
        <v>1.7343976283205826e-06</v>
      </c>
      <c r="G25" s="7">
        <v>1.7343976283205826e-06</v>
      </c>
      <c r="H25" s="7">
        <v>0.020671113566912331</v>
      </c>
      <c r="I25" s="7">
        <v>1.7343976283205826e-06</v>
      </c>
      <c r="J25" s="7">
        <v>0.17790738330384101</v>
      </c>
      <c r="K25" s="7"/>
      <c r="L25" s="7"/>
      <c r="M25" s="7"/>
      <c r="N25" s="7"/>
      <c r="O25" s="7"/>
    </row>
    <row r="26" x14ac:dyDescent="0.3">
      <c r="A26" s="15" t="s">
        <v>881</v>
      </c>
      <c r="B26" s="7">
        <v>1.7343976283205826e-06</v>
      </c>
      <c r="C26" s="7">
        <v>1.7343976283205826e-06</v>
      </c>
      <c r="D26" s="7">
        <v>1.7343976283205826e-06</v>
      </c>
      <c r="E26" s="7">
        <v>1.7343976283205826e-06</v>
      </c>
      <c r="F26" s="7">
        <v>1.7343976283205826e-06</v>
      </c>
      <c r="G26" s="7">
        <v>1.7343976283205826e-06</v>
      </c>
      <c r="H26" s="7">
        <v>0.67327980652330466</v>
      </c>
      <c r="I26" s="7">
        <v>1.7343976283205826e-06</v>
      </c>
      <c r="J26" s="7">
        <v>0.044918903765480356</v>
      </c>
      <c r="K26" s="7"/>
      <c r="L26" s="7"/>
      <c r="M26" s="7"/>
      <c r="N26" s="7"/>
      <c r="O26" s="7"/>
    </row>
    <row r="27" x14ac:dyDescent="0.3">
      <c r="A27" s="15" t="s">
        <v>882</v>
      </c>
      <c r="B27" s="7">
        <v>1.7343976283205826e-06</v>
      </c>
      <c r="C27" s="7">
        <v>1.7343976283205826e-06</v>
      </c>
      <c r="D27" s="7">
        <v>1.7343976283205826e-06</v>
      </c>
      <c r="E27" s="7">
        <v>1.7343976283205826e-06</v>
      </c>
      <c r="F27" s="7">
        <v>1.7343976283205826e-06</v>
      </c>
      <c r="G27" s="7">
        <v>1.7343976283205826e-06</v>
      </c>
      <c r="H27" s="7">
        <v>1.7343976283205826e-06</v>
      </c>
      <c r="I27" s="7">
        <v>1.7343976283205826e-06</v>
      </c>
      <c r="J27" s="7">
        <v>1.7343976283205826e-06</v>
      </c>
      <c r="K27" s="7"/>
      <c r="L27" s="7"/>
      <c r="M27" s="7"/>
      <c r="N27" s="7"/>
      <c r="O27" s="7"/>
    </row>
    <row r="28" x14ac:dyDescent="0.3">
      <c r="A28" s="15" t="s">
        <v>883</v>
      </c>
      <c r="B28" s="7">
        <v>1.7343976283205826e-06</v>
      </c>
      <c r="C28" s="7">
        <v>3.1816794109698638e-06</v>
      </c>
      <c r="D28" s="7">
        <v>0.054462503971891126</v>
      </c>
      <c r="E28" s="7">
        <v>0.0092710251720259165</v>
      </c>
      <c r="F28" s="7">
        <v>0.0092710251720259165</v>
      </c>
      <c r="G28" s="7">
        <v>1.7343976283205826e-06</v>
      </c>
      <c r="H28" s="7">
        <v>0.15885549928519563</v>
      </c>
      <c r="I28" s="7">
        <v>1.7343976283205826e-06</v>
      </c>
      <c r="J28" s="7">
        <v>0.075213312215476835</v>
      </c>
      <c r="K28" s="7"/>
      <c r="L28" s="7"/>
      <c r="M28" s="7"/>
      <c r="N28" s="7"/>
      <c r="O28" s="7"/>
    </row>
    <row r="29" x14ac:dyDescent="0.3">
      <c r="A29" s="15" t="s">
        <v>884</v>
      </c>
      <c r="B29" s="7">
        <v>1.7343976283205826e-06</v>
      </c>
      <c r="C29" s="7">
        <v>1.7343976283205826e-06</v>
      </c>
      <c r="D29" s="7">
        <v>0.00022248266458074997</v>
      </c>
      <c r="E29" s="7">
        <v>0.011079229099818117</v>
      </c>
      <c r="F29" s="7">
        <v>0.21335807338945137</v>
      </c>
      <c r="G29" s="7">
        <v>1.7343976283205826e-06</v>
      </c>
      <c r="H29" s="7">
        <v>0.040702311426277761</v>
      </c>
      <c r="I29" s="7">
        <v>1.7343976283205826e-06</v>
      </c>
      <c r="J29" s="7">
        <v>1.7343976283205826e-06</v>
      </c>
      <c r="K29" s="7"/>
      <c r="L29" s="7"/>
      <c r="M29" s="7"/>
      <c r="N29" s="7"/>
      <c r="O29" s="7"/>
    </row>
    <row r="30" x14ac:dyDescent="0.3">
      <c r="A30" s="15" t="s">
        <v>885</v>
      </c>
      <c r="B30" s="7">
        <v>1.7343976283205826e-06</v>
      </c>
      <c r="C30" s="7">
        <v>1.7343976283205826e-06</v>
      </c>
      <c r="D30" s="7">
        <v>1.7343976283205826e-06</v>
      </c>
      <c r="E30" s="7">
        <v>1.7343976283205826e-06</v>
      </c>
      <c r="F30" s="7">
        <v>1.7343976283205826e-06</v>
      </c>
      <c r="G30" s="7">
        <v>1.7343976283205826e-06</v>
      </c>
      <c r="H30" s="7">
        <v>1.7343976283205826e-06</v>
      </c>
      <c r="I30" s="7">
        <v>1.7343976283205826e-06</v>
      </c>
      <c r="J30" s="7">
        <v>1.7343976283205826e-06</v>
      </c>
      <c r="K30" s="7"/>
      <c r="L30" s="7"/>
      <c r="M30" s="7"/>
      <c r="N30" s="7"/>
      <c r="O30" s="7"/>
    </row>
    <row r="31" x14ac:dyDescent="0.3">
      <c r="A31" s="15" t="s">
        <v>886</v>
      </c>
      <c r="B31" s="7">
        <v>1.7343976283205826e-06</v>
      </c>
      <c r="C31" s="7">
        <v>8.4660816903838918e-06</v>
      </c>
      <c r="D31" s="7">
        <v>0.79709830300679518</v>
      </c>
      <c r="E31" s="7">
        <v>0.00028307894351654194</v>
      </c>
      <c r="F31" s="7">
        <v>2.3534209951215406e-06</v>
      </c>
      <c r="G31" s="7">
        <v>1.7343976283205826e-06</v>
      </c>
      <c r="H31" s="7">
        <v>0.00077121736520955296</v>
      </c>
      <c r="I31" s="7">
        <v>1.7343976283205826e-06</v>
      </c>
      <c r="J31" s="7">
        <v>1.7343976283205826e-06</v>
      </c>
      <c r="K31" s="7"/>
      <c r="L31" s="7"/>
      <c r="M31" s="7"/>
      <c r="N31" s="7"/>
      <c r="O31" s="7"/>
    </row>
    <row r="32" x14ac:dyDescent="0.3">
      <c r="A32" s="11" t="s">
        <v>887</v>
      </c>
      <c r="B32" s="10">
        <v>1.7343976283205826e-06</v>
      </c>
      <c r="C32" s="10">
        <v>2.8785992193943049e-06</v>
      </c>
      <c r="D32" s="10">
        <v>1.7343976283205826e-06</v>
      </c>
      <c r="E32" s="10">
        <v>3.405256723280547e-05</v>
      </c>
      <c r="F32" s="10">
        <v>0.00016046383716795373</v>
      </c>
      <c r="G32" s="10">
        <v>1.7343976283205826e-06</v>
      </c>
      <c r="H32" s="10">
        <v>1.7343976283205826e-06</v>
      </c>
      <c r="I32" s="10">
        <v>1.7343976283205826e-06</v>
      </c>
      <c r="J32" s="10">
        <v>1.7343976283205826e-06</v>
      </c>
      <c r="K32" s="10"/>
      <c r="L32" s="10"/>
      <c r="M32" s="10"/>
      <c r="N32" s="10"/>
      <c r="O32" s="10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sqref="A1:O1"/>
    </sheetView>
  </sheetViews>
  <sheetFormatPr defaultRowHeight="14.4" x14ac:dyDescent="0.3"/>
  <cols>
    <col min="1" max="1" width="8.15625" bestFit="true" customWidth="true"/>
    <col min="2" max="2" width="16.82421875" customWidth="true"/>
    <col min="3" max="3" width="17.48828125" customWidth="true"/>
    <col min="4" max="4" width="18.046875" customWidth="true"/>
    <col min="5" max="5" width="16.93359375" customWidth="true"/>
    <col min="6" max="6" width="16.046875" customWidth="true"/>
    <col min="7" max="7" width="14.046875" customWidth="true"/>
    <col min="9" max="9" width="14.37890625" customWidth="true"/>
    <col min="10" max="10" width="15.37890625" bestFit="true" customWidth="true"/>
    <col min="8" max="8" width="15.37890625" customWidth="true"/>
    <col min="11" max="11" width="2" bestFit="true" customWidth="true"/>
  </cols>
  <sheetData>
    <row r="1" ht="15" thickBot="true" x14ac:dyDescent="0.35">
      <c r="A1" s="28" t="s">
        <v>322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x14ac:dyDescent="0.3">
      <c r="A2" s="4" t="s">
        <v>893</v>
      </c>
      <c r="B2" s="4" t="s">
        <v>924</v>
      </c>
      <c r="C2" s="4" t="s">
        <v>925</v>
      </c>
      <c r="D2" s="4" t="s">
        <v>926</v>
      </c>
      <c r="E2" s="4" t="s">
        <v>927</v>
      </c>
      <c r="F2" s="4" t="s">
        <v>928</v>
      </c>
      <c r="G2" s="4" t="s">
        <v>610</v>
      </c>
      <c r="H2" s="4" t="s">
        <v>611</v>
      </c>
      <c r="I2" s="4" t="s">
        <v>612</v>
      </c>
      <c r="J2" s="4" t="s">
        <v>613</v>
      </c>
      <c r="K2" s="4">
        <v>1</v>
      </c>
      <c r="L2" s="4"/>
      <c r="M2" s="4"/>
      <c r="N2" s="4"/>
      <c r="O2" s="4"/>
    </row>
    <row r="3" x14ac:dyDescent="0.3">
      <c r="A3" s="1" t="s">
        <v>894</v>
      </c>
      <c r="B3" s="16">
        <v>1</v>
      </c>
      <c r="C3" s="16">
        <v>1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/>
      <c r="L3" s="16"/>
      <c r="M3" s="16"/>
      <c r="N3" s="16"/>
      <c r="O3" s="16"/>
    </row>
    <row r="4" x14ac:dyDescent="0.3">
      <c r="A4" s="9" t="s">
        <v>895</v>
      </c>
      <c r="B4" s="17"/>
      <c r="C4" s="17"/>
      <c r="D4" s="17"/>
      <c r="E4" s="17"/>
      <c r="F4" s="17"/>
      <c r="G4" s="17"/>
      <c r="H4" s="17"/>
      <c r="I4" s="17"/>
      <c r="J4" s="17"/>
      <c r="K4" s="17">
        <v>1</v>
      </c>
      <c r="L4" s="17"/>
      <c r="M4" s="17"/>
      <c r="N4" s="17"/>
      <c r="O4" s="17"/>
    </row>
    <row r="5" x14ac:dyDescent="0.3">
      <c r="A5" s="9" t="s">
        <v>896</v>
      </c>
      <c r="B5" s="17">
        <v>1</v>
      </c>
      <c r="C5" s="17">
        <v>1</v>
      </c>
      <c r="D5" s="17">
        <v>1</v>
      </c>
      <c r="E5" s="17">
        <v>1</v>
      </c>
      <c r="F5" s="17">
        <v>1</v>
      </c>
      <c r="G5" s="17">
        <v>1</v>
      </c>
      <c r="H5" s="17">
        <v>1</v>
      </c>
      <c r="I5" s="17">
        <v>1</v>
      </c>
      <c r="J5" s="17">
        <v>1</v>
      </c>
      <c r="K5" s="17">
        <v>1</v>
      </c>
      <c r="L5" s="17"/>
      <c r="M5" s="17"/>
      <c r="N5" s="17"/>
      <c r="O5" s="17"/>
    </row>
    <row r="6" x14ac:dyDescent="0.3">
      <c r="A6" s="9" t="s">
        <v>897</v>
      </c>
      <c r="B6" s="17">
        <v>1</v>
      </c>
      <c r="C6" s="17">
        <v>1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/>
      <c r="M6" s="17"/>
      <c r="N6" s="17"/>
      <c r="O6" s="17"/>
    </row>
    <row r="7" x14ac:dyDescent="0.3">
      <c r="A7" s="9" t="s">
        <v>898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0</v>
      </c>
      <c r="K7" s="17">
        <v>1</v>
      </c>
      <c r="L7" s="17"/>
      <c r="M7" s="17"/>
      <c r="N7" s="17"/>
      <c r="O7" s="17"/>
    </row>
    <row r="8" x14ac:dyDescent="0.3">
      <c r="A8" s="9" t="s">
        <v>899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/>
      <c r="M8" s="17"/>
      <c r="N8" s="17"/>
      <c r="O8" s="17"/>
    </row>
    <row r="9" x14ac:dyDescent="0.3">
      <c r="A9" s="9" t="s">
        <v>900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1</v>
      </c>
      <c r="L9" s="17"/>
      <c r="M9" s="17"/>
      <c r="N9" s="17"/>
      <c r="O9" s="17"/>
    </row>
    <row r="10" x14ac:dyDescent="0.3">
      <c r="A10" s="9" t="s">
        <v>901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/>
      <c r="M10" s="17"/>
      <c r="N10" s="17"/>
      <c r="O10" s="17"/>
    </row>
    <row r="11" x14ac:dyDescent="0.3">
      <c r="A11" s="9" t="s">
        <v>902</v>
      </c>
      <c r="B11" s="17">
        <v>1</v>
      </c>
      <c r="C11" s="17">
        <v>0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/>
      <c r="M11" s="17"/>
      <c r="N11" s="17"/>
      <c r="O11" s="17"/>
    </row>
    <row r="12" x14ac:dyDescent="0.3">
      <c r="A12" s="9" t="s">
        <v>903</v>
      </c>
      <c r="B12" s="17">
        <v>1</v>
      </c>
      <c r="C12" s="17">
        <v>0</v>
      </c>
      <c r="D12" s="17">
        <v>0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/>
      <c r="M12" s="17"/>
      <c r="N12" s="17"/>
      <c r="O12" s="17"/>
    </row>
    <row r="13" x14ac:dyDescent="0.3">
      <c r="A13" s="9" t="s">
        <v>904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/>
      <c r="M13" s="17"/>
      <c r="N13" s="17"/>
      <c r="O13" s="17"/>
    </row>
    <row r="14" x14ac:dyDescent="0.3">
      <c r="A14" s="9" t="s">
        <v>905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/>
      <c r="M14" s="17"/>
      <c r="N14" s="17"/>
      <c r="O14" s="17"/>
    </row>
    <row r="15" x14ac:dyDescent="0.3">
      <c r="A15" s="9" t="s">
        <v>906</v>
      </c>
      <c r="B15" s="17">
        <v>1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/>
      <c r="M15" s="17"/>
      <c r="N15" s="17"/>
      <c r="O15" s="17"/>
    </row>
    <row r="16" x14ac:dyDescent="0.3">
      <c r="A16" s="9" t="s">
        <v>907</v>
      </c>
      <c r="B16" s="17">
        <v>1</v>
      </c>
      <c r="C16" s="17">
        <v>1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/>
      <c r="M16" s="17"/>
      <c r="N16" s="17"/>
      <c r="O16" s="17"/>
    </row>
    <row r="17" x14ac:dyDescent="0.3">
      <c r="A17" s="9" t="s">
        <v>908</v>
      </c>
      <c r="B17" s="17">
        <v>1</v>
      </c>
      <c r="C17" s="17">
        <v>1</v>
      </c>
      <c r="D17" s="17">
        <v>1</v>
      </c>
      <c r="E17" s="17">
        <v>0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1</v>
      </c>
      <c r="L17" s="17"/>
      <c r="M17" s="17"/>
      <c r="N17" s="17"/>
      <c r="O17" s="17"/>
    </row>
    <row r="18" x14ac:dyDescent="0.3">
      <c r="A18" s="9" t="s">
        <v>909</v>
      </c>
      <c r="B18" s="17">
        <v>1</v>
      </c>
      <c r="C18" s="17">
        <v>1</v>
      </c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1</v>
      </c>
      <c r="L18" s="17"/>
      <c r="M18" s="17"/>
      <c r="N18" s="17"/>
      <c r="O18" s="17"/>
    </row>
    <row r="19" x14ac:dyDescent="0.3">
      <c r="A19" s="9" t="s">
        <v>910</v>
      </c>
      <c r="B19" s="17">
        <v>1</v>
      </c>
      <c r="C19" s="17">
        <v>0</v>
      </c>
      <c r="D19" s="17">
        <v>1</v>
      </c>
      <c r="E19" s="17">
        <v>0</v>
      </c>
      <c r="F19" s="17">
        <v>1</v>
      </c>
      <c r="G19" s="17">
        <v>1</v>
      </c>
      <c r="H19" s="17">
        <v>0</v>
      </c>
      <c r="I19" s="17">
        <v>0</v>
      </c>
      <c r="J19" s="17">
        <v>0</v>
      </c>
      <c r="K19" s="17">
        <v>1</v>
      </c>
      <c r="L19" s="17"/>
      <c r="M19" s="17"/>
      <c r="N19" s="17"/>
      <c r="O19" s="17"/>
    </row>
    <row r="20" x14ac:dyDescent="0.3">
      <c r="A20" s="9" t="s">
        <v>911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/>
      <c r="M20" s="17"/>
      <c r="N20" s="17"/>
      <c r="O20" s="17"/>
    </row>
    <row r="21" x14ac:dyDescent="0.3">
      <c r="A21" s="9" t="s">
        <v>912</v>
      </c>
      <c r="B21" s="17">
        <v>1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7"/>
      <c r="M21" s="17"/>
      <c r="N21" s="17"/>
      <c r="O21" s="17"/>
    </row>
    <row r="22" x14ac:dyDescent="0.3">
      <c r="A22" s="9" t="s">
        <v>913</v>
      </c>
      <c r="B22" s="17">
        <v>1</v>
      </c>
      <c r="C22" s="17">
        <v>0</v>
      </c>
      <c r="D22" s="17">
        <v>0</v>
      </c>
      <c r="E22" s="17">
        <v>1</v>
      </c>
      <c r="F22" s="17">
        <v>0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/>
      <c r="M22" s="17"/>
      <c r="N22" s="17"/>
      <c r="O22" s="17"/>
    </row>
    <row r="23" x14ac:dyDescent="0.3">
      <c r="A23" s="9" t="s">
        <v>914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7">
        <v>1</v>
      </c>
      <c r="H23" s="17">
        <v>0</v>
      </c>
      <c r="I23" s="17">
        <v>1</v>
      </c>
      <c r="J23" s="17">
        <v>1</v>
      </c>
      <c r="K23" s="17">
        <v>1</v>
      </c>
      <c r="L23" s="17"/>
      <c r="M23" s="17"/>
      <c r="N23" s="17"/>
      <c r="O23" s="17"/>
    </row>
    <row r="24" x14ac:dyDescent="0.3">
      <c r="A24" s="9" t="s">
        <v>915</v>
      </c>
      <c r="B24" s="17">
        <v>1</v>
      </c>
      <c r="C24" s="17">
        <v>0</v>
      </c>
      <c r="D24" s="17">
        <v>0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/>
      <c r="M24" s="17"/>
      <c r="N24" s="17"/>
      <c r="O24" s="17"/>
    </row>
    <row r="25" x14ac:dyDescent="0.3">
      <c r="A25" s="9" t="s">
        <v>916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0</v>
      </c>
      <c r="K25" s="17">
        <v>1</v>
      </c>
      <c r="L25" s="17"/>
      <c r="M25" s="17"/>
      <c r="N25" s="17"/>
      <c r="O25" s="17"/>
    </row>
    <row r="26" x14ac:dyDescent="0.3">
      <c r="A26" s="9" t="s">
        <v>917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0</v>
      </c>
      <c r="I26" s="17">
        <v>1</v>
      </c>
      <c r="J26" s="17">
        <v>1</v>
      </c>
      <c r="K26" s="17">
        <v>1</v>
      </c>
      <c r="L26" s="17"/>
      <c r="M26" s="17"/>
      <c r="N26" s="17"/>
      <c r="O26" s="17"/>
    </row>
    <row r="27" x14ac:dyDescent="0.3">
      <c r="A27" s="9" t="s">
        <v>918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/>
      <c r="M27" s="17"/>
      <c r="N27" s="17"/>
      <c r="O27" s="17"/>
    </row>
    <row r="28" x14ac:dyDescent="0.3">
      <c r="A28" s="9" t="s">
        <v>919</v>
      </c>
      <c r="B28" s="17">
        <v>1</v>
      </c>
      <c r="C28" s="17">
        <v>1</v>
      </c>
      <c r="D28" s="17">
        <v>0</v>
      </c>
      <c r="E28" s="17">
        <v>1</v>
      </c>
      <c r="F28" s="17">
        <v>1</v>
      </c>
      <c r="G28" s="17">
        <v>1</v>
      </c>
      <c r="H28" s="17">
        <v>0</v>
      </c>
      <c r="I28" s="17">
        <v>1</v>
      </c>
      <c r="J28" s="17">
        <v>0</v>
      </c>
      <c r="K28" s="17">
        <v>1</v>
      </c>
      <c r="L28" s="17"/>
      <c r="M28" s="17"/>
      <c r="N28" s="17"/>
      <c r="O28" s="17"/>
    </row>
    <row r="29" x14ac:dyDescent="0.3">
      <c r="A29" s="9" t="s">
        <v>920</v>
      </c>
      <c r="B29" s="17">
        <v>1</v>
      </c>
      <c r="C29" s="17">
        <v>1</v>
      </c>
      <c r="D29" s="17">
        <v>1</v>
      </c>
      <c r="E29" s="17">
        <v>1</v>
      </c>
      <c r="F29" s="17">
        <v>0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/>
      <c r="M29" s="17"/>
      <c r="N29" s="17"/>
      <c r="O29" s="17"/>
    </row>
    <row r="30" x14ac:dyDescent="0.3">
      <c r="A30" s="9" t="s">
        <v>921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/>
      <c r="M30" s="17"/>
      <c r="N30" s="17"/>
      <c r="O30" s="17"/>
    </row>
    <row r="31" x14ac:dyDescent="0.3">
      <c r="A31" s="9" t="s">
        <v>922</v>
      </c>
      <c r="B31" s="17">
        <v>1</v>
      </c>
      <c r="C31" s="17">
        <v>1</v>
      </c>
      <c r="D31" s="17">
        <v>0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/>
      <c r="M31" s="17"/>
      <c r="N31" s="17"/>
      <c r="O31" s="17"/>
    </row>
    <row r="32" x14ac:dyDescent="0.3">
      <c r="A32" s="4" t="s">
        <v>923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/>
      <c r="L32" s="18"/>
      <c r="M32" s="18"/>
      <c r="N32" s="18"/>
      <c r="O32" s="18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sqref="A1:O1"/>
    </sheetView>
  </sheetViews>
  <sheetFormatPr defaultRowHeight="14.4" x14ac:dyDescent="0.3"/>
  <cols>
    <col min="1" max="1" width="8.15625" style="6" bestFit="true" customWidth="true"/>
    <col min="2" max="2" width="16.82421875" style="6" customWidth="true"/>
    <col min="3" max="3" width="17.48828125" style="6" customWidth="true"/>
    <col min="4" max="4" width="18.046875" style="6" customWidth="true"/>
    <col min="5" max="5" width="16.93359375" style="6" customWidth="true"/>
    <col min="6" max="6" width="16.046875" style="6" customWidth="true"/>
    <col min="7" max="7" width="14.046875" style="6" customWidth="true"/>
    <col min="9" max="9" width="14.37890625" style="6" customWidth="true"/>
    <col min="10" max="10" width="15.37890625" style="6" bestFit="true" customWidth="true"/>
    <col min="12" max="15" width="8.88671875" style="6"/>
    <col min="8" max="8" width="15.37890625" style="6" customWidth="true"/>
    <col min="11" max="11" width="4" style="6" bestFit="true" customWidth="true"/>
  </cols>
  <sheetData>
    <row r="1" ht="15" thickBot="true" x14ac:dyDescent="0.35">
      <c r="A1" s="28" t="s">
        <v>323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x14ac:dyDescent="0.3">
      <c r="A2" s="4" t="s">
        <v>929</v>
      </c>
      <c r="B2" s="4" t="s">
        <v>960</v>
      </c>
      <c r="C2" s="4" t="s">
        <v>961</v>
      </c>
      <c r="D2" s="4" t="s">
        <v>962</v>
      </c>
      <c r="E2" s="4" t="s">
        <v>963</v>
      </c>
      <c r="F2" s="4" t="s">
        <v>964</v>
      </c>
      <c r="G2" s="4" t="s">
        <v>650</v>
      </c>
      <c r="H2" s="4" t="s">
        <v>651</v>
      </c>
      <c r="I2" s="4" t="s">
        <v>652</v>
      </c>
      <c r="J2" s="4" t="s">
        <v>653</v>
      </c>
      <c r="K2" s="4">
        <v>0</v>
      </c>
      <c r="L2" s="4"/>
      <c r="M2" s="4"/>
      <c r="N2" s="4"/>
      <c r="O2" s="4"/>
    </row>
    <row r="3" x14ac:dyDescent="0.3">
      <c r="A3" s="1" t="s">
        <v>930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/>
      <c r="L3" s="1"/>
      <c r="M3" s="1"/>
      <c r="N3" s="1"/>
      <c r="O3" s="1"/>
    </row>
    <row r="4" x14ac:dyDescent="0.3">
      <c r="A4" s="9" t="s">
        <v>931</v>
      </c>
      <c r="B4" s="9"/>
      <c r="C4" s="9"/>
      <c r="D4" s="9"/>
      <c r="E4" s="9"/>
      <c r="F4" s="9"/>
      <c r="G4" s="9"/>
      <c r="H4" s="9"/>
      <c r="I4" s="9"/>
      <c r="J4" s="9"/>
      <c r="K4" s="9">
        <v>2</v>
      </c>
      <c r="L4" s="9"/>
      <c r="M4" s="9"/>
      <c r="N4" s="9"/>
      <c r="O4" s="9"/>
    </row>
    <row r="5" x14ac:dyDescent="0.3">
      <c r="A5" s="9" t="s">
        <v>932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/>
      <c r="M5" s="9"/>
      <c r="N5" s="9"/>
      <c r="O5" s="9"/>
    </row>
    <row r="6" x14ac:dyDescent="0.3">
      <c r="A6" s="9" t="s">
        <v>933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98</v>
      </c>
      <c r="L6" s="9"/>
      <c r="M6" s="9"/>
      <c r="N6" s="9"/>
      <c r="O6" s="9"/>
    </row>
    <row r="7" x14ac:dyDescent="0.3">
      <c r="A7" s="9" t="s">
        <v>934</v>
      </c>
      <c r="B7" s="9">
        <v>0</v>
      </c>
      <c r="C7" s="9">
        <v>49</v>
      </c>
      <c r="D7" s="9">
        <v>455</v>
      </c>
      <c r="E7" s="9">
        <v>392</v>
      </c>
      <c r="F7" s="9">
        <v>464</v>
      </c>
      <c r="G7" s="9">
        <v>0</v>
      </c>
      <c r="H7" s="9">
        <v>0</v>
      </c>
      <c r="I7" s="9">
        <v>16</v>
      </c>
      <c r="J7" s="9">
        <v>283</v>
      </c>
      <c r="K7" s="9">
        <v>2</v>
      </c>
      <c r="L7" s="9"/>
      <c r="M7" s="9"/>
      <c r="N7" s="9"/>
      <c r="O7" s="9"/>
    </row>
    <row r="8" x14ac:dyDescent="0.3">
      <c r="A8" s="9" t="s">
        <v>935</v>
      </c>
      <c r="B8" s="9">
        <v>0</v>
      </c>
      <c r="C8" s="9">
        <v>34</v>
      </c>
      <c r="D8" s="9">
        <v>463</v>
      </c>
      <c r="E8" s="9">
        <v>465</v>
      </c>
      <c r="F8" s="9">
        <v>465</v>
      </c>
      <c r="G8" s="9">
        <v>0</v>
      </c>
      <c r="H8" s="9">
        <v>43</v>
      </c>
      <c r="I8" s="9">
        <v>1</v>
      </c>
      <c r="J8" s="9">
        <v>386</v>
      </c>
      <c r="K8" s="9">
        <v>0</v>
      </c>
      <c r="L8" s="9"/>
      <c r="M8" s="9"/>
      <c r="N8" s="9"/>
      <c r="O8" s="9"/>
    </row>
    <row r="9" x14ac:dyDescent="0.3">
      <c r="A9" s="9" t="s">
        <v>936</v>
      </c>
      <c r="B9" s="9">
        <v>0</v>
      </c>
      <c r="C9" s="9">
        <v>0</v>
      </c>
      <c r="D9" s="9">
        <v>465</v>
      </c>
      <c r="E9" s="9">
        <v>461</v>
      </c>
      <c r="F9" s="9">
        <v>465</v>
      </c>
      <c r="G9" s="9">
        <v>0</v>
      </c>
      <c r="H9" s="9">
        <v>127</v>
      </c>
      <c r="I9" s="9">
        <v>0</v>
      </c>
      <c r="J9" s="9">
        <v>452</v>
      </c>
      <c r="K9" s="9">
        <v>19</v>
      </c>
      <c r="L9" s="9"/>
      <c r="M9" s="9"/>
      <c r="N9" s="9"/>
      <c r="O9" s="9"/>
    </row>
    <row r="10" x14ac:dyDescent="0.3">
      <c r="A10" s="9" t="s">
        <v>937</v>
      </c>
      <c r="B10" s="9">
        <v>0</v>
      </c>
      <c r="C10" s="9">
        <v>10</v>
      </c>
      <c r="D10" s="9">
        <v>449</v>
      </c>
      <c r="E10" s="9">
        <v>442</v>
      </c>
      <c r="F10" s="9">
        <v>461</v>
      </c>
      <c r="G10" s="9">
        <v>0</v>
      </c>
      <c r="H10" s="9">
        <v>13</v>
      </c>
      <c r="I10" s="9">
        <v>10</v>
      </c>
      <c r="J10" s="9">
        <v>410</v>
      </c>
      <c r="K10" s="9">
        <v>10</v>
      </c>
      <c r="L10" s="9"/>
      <c r="M10" s="9"/>
      <c r="N10" s="9"/>
      <c r="O10" s="9"/>
    </row>
    <row r="11" x14ac:dyDescent="0.3">
      <c r="A11" s="9" t="s">
        <v>938</v>
      </c>
      <c r="B11" s="9">
        <v>4</v>
      </c>
      <c r="C11" s="9">
        <v>153</v>
      </c>
      <c r="D11" s="9">
        <v>354</v>
      </c>
      <c r="E11" s="9">
        <v>447</v>
      </c>
      <c r="F11" s="9">
        <v>460</v>
      </c>
      <c r="G11" s="9">
        <v>0</v>
      </c>
      <c r="H11" s="9">
        <v>0</v>
      </c>
      <c r="I11" s="9">
        <v>0</v>
      </c>
      <c r="J11" s="9">
        <v>0</v>
      </c>
      <c r="K11" s="9">
        <v>465</v>
      </c>
      <c r="L11" s="9"/>
      <c r="M11" s="9"/>
      <c r="N11" s="9"/>
      <c r="O11" s="9"/>
    </row>
    <row r="12" x14ac:dyDescent="0.3">
      <c r="A12" s="9" t="s">
        <v>939</v>
      </c>
      <c r="B12" s="9">
        <v>0</v>
      </c>
      <c r="C12" s="9">
        <v>142</v>
      </c>
      <c r="D12" s="9">
        <v>253</v>
      </c>
      <c r="E12" s="9">
        <v>0</v>
      </c>
      <c r="F12" s="9">
        <v>381</v>
      </c>
      <c r="G12" s="9">
        <v>0</v>
      </c>
      <c r="H12" s="9">
        <v>0</v>
      </c>
      <c r="I12" s="9">
        <v>64</v>
      </c>
      <c r="J12" s="9">
        <v>13</v>
      </c>
      <c r="K12" s="9">
        <v>1</v>
      </c>
      <c r="L12" s="9"/>
      <c r="M12" s="9"/>
      <c r="N12" s="9"/>
      <c r="O12" s="9"/>
    </row>
    <row r="13" x14ac:dyDescent="0.3">
      <c r="A13" s="9" t="s">
        <v>940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/>
      <c r="M13" s="9"/>
      <c r="N13" s="9"/>
      <c r="O13" s="9"/>
    </row>
    <row r="14" x14ac:dyDescent="0.3">
      <c r="A14" s="9" t="s">
        <v>941</v>
      </c>
      <c r="B14" s="9">
        <v>0</v>
      </c>
      <c r="C14" s="9">
        <v>36</v>
      </c>
      <c r="D14" s="9">
        <v>0</v>
      </c>
      <c r="E14" s="9">
        <v>14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406</v>
      </c>
      <c r="L14" s="9"/>
      <c r="M14" s="9"/>
      <c r="N14" s="9"/>
      <c r="O14" s="9"/>
    </row>
    <row r="15" x14ac:dyDescent="0.3">
      <c r="A15" s="9" t="s">
        <v>942</v>
      </c>
      <c r="B15" s="9">
        <v>0</v>
      </c>
      <c r="C15" s="9">
        <v>0</v>
      </c>
      <c r="D15" s="9">
        <v>0</v>
      </c>
      <c r="E15" s="9">
        <v>453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/>
      <c r="M15" s="9"/>
      <c r="N15" s="9"/>
      <c r="O15" s="9"/>
    </row>
    <row r="16" x14ac:dyDescent="0.3">
      <c r="A16" s="9" t="s">
        <v>943</v>
      </c>
      <c r="B16" s="9">
        <v>0</v>
      </c>
      <c r="C16" s="9">
        <v>3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403</v>
      </c>
      <c r="L16" s="9"/>
      <c r="M16" s="9"/>
      <c r="N16" s="9"/>
      <c r="O16" s="9"/>
    </row>
    <row r="17" x14ac:dyDescent="0.3">
      <c r="A17" s="9" t="s">
        <v>944</v>
      </c>
      <c r="B17" s="9">
        <v>0</v>
      </c>
      <c r="C17" s="9">
        <v>8</v>
      </c>
      <c r="D17" s="9">
        <v>0</v>
      </c>
      <c r="E17" s="9">
        <v>253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447</v>
      </c>
      <c r="L17" s="9"/>
      <c r="M17" s="9"/>
      <c r="N17" s="9"/>
      <c r="O17" s="9"/>
    </row>
    <row r="18" x14ac:dyDescent="0.3">
      <c r="A18" s="9" t="s">
        <v>945</v>
      </c>
      <c r="B18" s="9">
        <v>0</v>
      </c>
      <c r="C18" s="9">
        <v>89</v>
      </c>
      <c r="D18" s="9">
        <v>435</v>
      </c>
      <c r="E18" s="9">
        <v>102</v>
      </c>
      <c r="F18" s="9">
        <v>421</v>
      </c>
      <c r="G18" s="9">
        <v>0</v>
      </c>
      <c r="H18" s="9">
        <v>55</v>
      </c>
      <c r="I18" s="9">
        <v>39</v>
      </c>
      <c r="J18" s="9">
        <v>14</v>
      </c>
      <c r="K18" s="9">
        <v>450</v>
      </c>
      <c r="L18" s="9"/>
      <c r="M18" s="9"/>
      <c r="N18" s="9"/>
      <c r="O18" s="9"/>
    </row>
    <row r="19" x14ac:dyDescent="0.3">
      <c r="A19" s="9" t="s">
        <v>946</v>
      </c>
      <c r="B19" s="9">
        <v>0</v>
      </c>
      <c r="C19" s="9">
        <v>173</v>
      </c>
      <c r="D19" s="9">
        <v>385</v>
      </c>
      <c r="E19" s="9">
        <v>236</v>
      </c>
      <c r="F19" s="9">
        <v>360</v>
      </c>
      <c r="G19" s="9">
        <v>0</v>
      </c>
      <c r="H19" s="9">
        <v>243</v>
      </c>
      <c r="I19" s="9">
        <v>254</v>
      </c>
      <c r="J19" s="9">
        <v>249</v>
      </c>
      <c r="K19" s="9">
        <v>0</v>
      </c>
      <c r="L19" s="9"/>
      <c r="M19" s="9"/>
      <c r="N19" s="9"/>
      <c r="O19" s="9"/>
    </row>
    <row r="20" x14ac:dyDescent="0.3">
      <c r="A20" s="9" t="s">
        <v>947</v>
      </c>
      <c r="B20" s="9">
        <v>0</v>
      </c>
      <c r="C20" s="9">
        <v>7</v>
      </c>
      <c r="D20" s="9">
        <v>10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/>
      <c r="M20" s="9"/>
      <c r="N20" s="9"/>
      <c r="O20" s="9"/>
    </row>
    <row r="21" x14ac:dyDescent="0.3">
      <c r="A21" s="9" t="s">
        <v>948</v>
      </c>
      <c r="B21" s="9">
        <v>0</v>
      </c>
      <c r="C21" s="9">
        <v>92</v>
      </c>
      <c r="D21" s="9">
        <v>1</v>
      </c>
      <c r="E21" s="9">
        <v>435</v>
      </c>
      <c r="F21" s="9">
        <v>5</v>
      </c>
      <c r="G21" s="9">
        <v>0</v>
      </c>
      <c r="H21" s="9">
        <v>0</v>
      </c>
      <c r="I21" s="9">
        <v>0</v>
      </c>
      <c r="J21" s="9">
        <v>0</v>
      </c>
      <c r="K21" s="9">
        <v>463</v>
      </c>
      <c r="L21" s="9"/>
      <c r="M21" s="9"/>
      <c r="N21" s="9"/>
      <c r="O21" s="9"/>
    </row>
    <row r="22" x14ac:dyDescent="0.3">
      <c r="A22" s="9" t="s">
        <v>949</v>
      </c>
      <c r="B22" s="9">
        <v>0</v>
      </c>
      <c r="C22" s="9">
        <v>150</v>
      </c>
      <c r="D22" s="9">
        <v>227</v>
      </c>
      <c r="E22" s="9">
        <v>0</v>
      </c>
      <c r="F22" s="9">
        <v>184</v>
      </c>
      <c r="G22" s="9">
        <v>0</v>
      </c>
      <c r="H22" s="9">
        <v>10</v>
      </c>
      <c r="I22" s="9">
        <v>45</v>
      </c>
      <c r="J22" s="9">
        <v>34</v>
      </c>
      <c r="K22" s="9">
        <v>2</v>
      </c>
      <c r="L22" s="9"/>
      <c r="M22" s="9"/>
      <c r="N22" s="9"/>
      <c r="O22" s="9"/>
    </row>
    <row r="23" x14ac:dyDescent="0.3">
      <c r="A23" s="9" t="s">
        <v>950</v>
      </c>
      <c r="B23" s="9">
        <v>1</v>
      </c>
      <c r="C23" s="9">
        <v>8</v>
      </c>
      <c r="D23" s="9">
        <v>465</v>
      </c>
      <c r="E23" s="9">
        <v>465</v>
      </c>
      <c r="F23" s="9">
        <v>465</v>
      </c>
      <c r="G23" s="9">
        <v>0</v>
      </c>
      <c r="H23" s="9">
        <v>187</v>
      </c>
      <c r="I23" s="9">
        <v>0</v>
      </c>
      <c r="J23" s="9">
        <v>370</v>
      </c>
      <c r="K23" s="9">
        <v>0</v>
      </c>
      <c r="L23" s="9"/>
      <c r="M23" s="9"/>
      <c r="N23" s="9"/>
      <c r="O23" s="9"/>
    </row>
    <row r="24" x14ac:dyDescent="0.3">
      <c r="A24" s="9" t="s">
        <v>951</v>
      </c>
      <c r="B24" s="9">
        <v>0</v>
      </c>
      <c r="C24" s="9">
        <v>156</v>
      </c>
      <c r="D24" s="9">
        <v>191</v>
      </c>
      <c r="E24" s="9">
        <v>0</v>
      </c>
      <c r="F24" s="9">
        <v>442</v>
      </c>
      <c r="G24" s="9">
        <v>0</v>
      </c>
      <c r="H24" s="9">
        <v>0</v>
      </c>
      <c r="I24" s="9">
        <v>74</v>
      </c>
      <c r="J24" s="9">
        <v>15</v>
      </c>
      <c r="K24" s="9">
        <v>8</v>
      </c>
      <c r="L24" s="9"/>
      <c r="M24" s="9"/>
      <c r="N24" s="9"/>
      <c r="O24" s="9"/>
    </row>
    <row r="25" x14ac:dyDescent="0.3">
      <c r="A25" s="9" t="s">
        <v>952</v>
      </c>
      <c r="B25" s="9">
        <v>0</v>
      </c>
      <c r="C25" s="9">
        <v>0</v>
      </c>
      <c r="D25" s="9">
        <v>465</v>
      </c>
      <c r="E25" s="9">
        <v>465</v>
      </c>
      <c r="F25" s="9">
        <v>465</v>
      </c>
      <c r="G25" s="9">
        <v>0</v>
      </c>
      <c r="H25" s="9">
        <v>120</v>
      </c>
      <c r="I25" s="9">
        <v>0</v>
      </c>
      <c r="J25" s="9">
        <v>298</v>
      </c>
      <c r="K25" s="9">
        <v>1</v>
      </c>
      <c r="L25" s="9"/>
      <c r="M25" s="9"/>
      <c r="N25" s="9"/>
      <c r="O25" s="9"/>
    </row>
    <row r="26" x14ac:dyDescent="0.3">
      <c r="A26" s="9" t="s">
        <v>953</v>
      </c>
      <c r="B26" s="9">
        <v>0</v>
      </c>
      <c r="C26" s="9">
        <v>0</v>
      </c>
      <c r="D26" s="9">
        <v>465</v>
      </c>
      <c r="E26" s="9">
        <v>465</v>
      </c>
      <c r="F26" s="9">
        <v>465</v>
      </c>
      <c r="G26" s="9">
        <v>0</v>
      </c>
      <c r="H26" s="9">
        <v>253</v>
      </c>
      <c r="I26" s="9">
        <v>0</v>
      </c>
      <c r="J26" s="9">
        <v>330</v>
      </c>
      <c r="K26" s="9">
        <v>0</v>
      </c>
      <c r="L26" s="9"/>
      <c r="M26" s="9"/>
      <c r="N26" s="9"/>
      <c r="O26" s="9"/>
    </row>
    <row r="27" x14ac:dyDescent="0.3">
      <c r="A27" s="9" t="s">
        <v>954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26</v>
      </c>
      <c r="L27" s="9"/>
      <c r="M27" s="9"/>
      <c r="N27" s="9"/>
      <c r="O27" s="9"/>
    </row>
    <row r="28" x14ac:dyDescent="0.3">
      <c r="A28" s="9" t="s">
        <v>955</v>
      </c>
      <c r="B28" s="9">
        <v>0</v>
      </c>
      <c r="C28" s="9">
        <v>6</v>
      </c>
      <c r="D28" s="9">
        <v>326</v>
      </c>
      <c r="E28" s="9">
        <v>359</v>
      </c>
      <c r="F28" s="9">
        <v>359</v>
      </c>
      <c r="G28" s="9">
        <v>0</v>
      </c>
      <c r="H28" s="9">
        <v>301</v>
      </c>
      <c r="I28" s="9">
        <v>0</v>
      </c>
      <c r="J28" s="9">
        <v>319</v>
      </c>
      <c r="K28" s="9">
        <v>0</v>
      </c>
      <c r="L28" s="9"/>
      <c r="M28" s="9"/>
      <c r="N28" s="9"/>
      <c r="O28" s="9"/>
    </row>
    <row r="29" x14ac:dyDescent="0.3">
      <c r="A29" s="9" t="s">
        <v>956</v>
      </c>
      <c r="B29" s="9">
        <v>0</v>
      </c>
      <c r="C29" s="9">
        <v>0</v>
      </c>
      <c r="D29" s="9">
        <v>53</v>
      </c>
      <c r="E29" s="9">
        <v>109</v>
      </c>
      <c r="F29" s="9">
        <v>293</v>
      </c>
      <c r="G29" s="9">
        <v>0</v>
      </c>
      <c r="H29" s="9">
        <v>133</v>
      </c>
      <c r="I29" s="9">
        <v>0</v>
      </c>
      <c r="J29" s="9">
        <v>0</v>
      </c>
      <c r="K29" s="9">
        <v>0</v>
      </c>
      <c r="L29" s="9"/>
      <c r="M29" s="9"/>
      <c r="N29" s="9"/>
      <c r="O29" s="9"/>
    </row>
    <row r="30" x14ac:dyDescent="0.3">
      <c r="A30" s="9" t="s">
        <v>957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/>
      <c r="M30" s="9"/>
      <c r="N30" s="9"/>
      <c r="O30" s="9"/>
    </row>
    <row r="31" x14ac:dyDescent="0.3">
      <c r="A31" s="9" t="s">
        <v>958</v>
      </c>
      <c r="B31" s="9">
        <v>0</v>
      </c>
      <c r="C31" s="9">
        <v>16</v>
      </c>
      <c r="D31" s="9">
        <v>245</v>
      </c>
      <c r="E31" s="9">
        <v>409</v>
      </c>
      <c r="F31" s="9">
        <v>462</v>
      </c>
      <c r="G31" s="9">
        <v>0</v>
      </c>
      <c r="H31" s="9">
        <v>69</v>
      </c>
      <c r="I31" s="9">
        <v>0</v>
      </c>
      <c r="J31" s="9">
        <v>0</v>
      </c>
      <c r="K31" s="9">
        <v>0</v>
      </c>
      <c r="L31" s="9"/>
      <c r="M31" s="9"/>
      <c r="N31" s="9"/>
      <c r="O31" s="9"/>
    </row>
    <row r="32" x14ac:dyDescent="0.3">
      <c r="A32" s="4" t="s">
        <v>959</v>
      </c>
      <c r="B32" s="4">
        <v>0</v>
      </c>
      <c r="C32" s="4">
        <v>5</v>
      </c>
      <c r="D32" s="4">
        <v>0</v>
      </c>
      <c r="E32" s="4">
        <v>434</v>
      </c>
      <c r="F32" s="4">
        <v>49</v>
      </c>
      <c r="G32" s="4">
        <v>0</v>
      </c>
      <c r="H32" s="4">
        <v>0</v>
      </c>
      <c r="I32" s="4">
        <v>0</v>
      </c>
      <c r="J32" s="4">
        <v>0</v>
      </c>
      <c r="K32" s="4"/>
      <c r="L32" s="4"/>
      <c r="M32" s="4"/>
      <c r="N32" s="4"/>
      <c r="O32" s="4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4" x14ac:dyDescent="0.3"/>
  <cols>
    <col min="1" max="1" width="46.26953125" customWidth="true"/>
  </cols>
  <sheetData>
    <row r="1" x14ac:dyDescent="0.3">
      <c r="A1" s="0" t="s">
        <v>965</v>
      </c>
    </row>
    <row r="2" x14ac:dyDescent="0.3">
      <c r="A2" s="0" t="s">
        <v>966</v>
      </c>
    </row>
    <row r="3" x14ac:dyDescent="0.3">
      <c r="A3" s="0" t="s">
        <v>967</v>
      </c>
    </row>
    <row r="4" x14ac:dyDescent="0.3">
      <c r="A4" s="0" t="s">
        <v>968</v>
      </c>
    </row>
    <row r="5" x14ac:dyDescent="0.3">
      <c r="A5" s="0" t="s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2025-08-15T20:08:37Z</dcterms:modified>
</cp:coreProperties>
</file>