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onh\Desktop\New folder\CEC2022\"/>
    </mc:Choice>
  </mc:AlternateContent>
  <xr:revisionPtr revIDLastSave="0" documentId="13_ncr:1_{4B348078-82AD-40DD-8CD9-77074257EAB0}" xr6:coauthVersionLast="47" xr6:coauthVersionMax="47" xr10:uidLastSave="{00000000-0000-0000-0000-000000000000}"/>
  <bookViews>
    <workbookView xWindow="-108" yWindow="-108" windowWidth="23256" windowHeight="12456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<sst xmlns="http://schemas.openxmlformats.org/spreadsheetml/2006/main" xmlns:r="http://schemas.openxmlformats.org/officeDocument/2006/relationships" xmlns:xdr="http://schemas.openxmlformats.org/drawingml/2006/spreadsheetDrawing" count="808" uniqueCount="528">
  <si>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</si>
  <si>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</si>
  <si>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</si>
  <si>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</si>
  <si>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</si>
  <si>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</si>
  <si>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</si>
  <si>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</si>
  <si>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</si>
  <si>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</si>
  <si>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</si>
  <si>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</si>
  <si>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Mean</t>
  </si>
  <si>
    <t>Std</t>
  </si>
  <si>
    <t>CPU</t>
  </si>
  <si>
    <t>Unimodal
Functions</t>
  </si>
  <si>
    <t>Composition
Functions</t>
  </si>
  <si>
    <t>Functions</t>
  </si>
  <si>
    <t>Column1</t>
  </si>
  <si>
    <t>Column2</t>
  </si>
  <si>
    <t>Basic
Functions</t>
  </si>
  <si>
    <t>Hybrid
Functions</t>
  </si>
  <si>
    <t>Comparison of optimization results for the CEC benchmark functions 2022 (20 Dim)</t>
  </si>
  <si>
    <t>Average rating in the set</t>
  </si>
  <si>
    <t>Function</t>
  </si>
  <si>
    <t>F1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</si>
  <si>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</si>
  <si>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</si>
  <si>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</si>
  <si>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</si>
  <si>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</si>
  <si>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</si>
  <si>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</si>
  <si>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</si>
  <si>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</si>
  <si>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</si>
  <si>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</si>
  <si>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</si>
  <si>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</si>
  <si>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</si>
  <si>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</si>
  <si>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</si>
  <si>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</si>
  <si>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</si>
  <si>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</si>
  <si>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</si>
  <si>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</si>
  <si>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</si>
  <si>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</si>
  <si>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</si>
  <si>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</si>
  <si>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</si>
  <si>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</si>
  <si>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</si>
  <si>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</si>
  <si>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</si>
  <si>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</si>
  <si>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</si>
  <si>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</si>
  <si>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</si>
  <si>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</si>
  <si>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</si>
  <si>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</si>
  <si>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</si>
  <si>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</si>
  <si>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</si>
  <si>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</si>
  <si>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</si>
  <si>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</si>
  <si>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</si>
  <si>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</si>
  <si>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</si>
  <si>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</si>
  <si>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</si>
  <si>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</si>
  <si>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MADFOA_vs_WHO</t>
  </si>
  <si>
    <t>MADFOA_vs_SBO</t>
  </si>
  <si>
    <t>MADFOA_vs_CSA</t>
  </si>
  <si>
    <t>MADFOA_vs_LEA</t>
  </si>
  <si>
    <t>MADFOA_vs_SSA</t>
  </si>
  <si>
    <t>MADFOA_vs_GSA</t>
  </si>
  <si>
    <t>MADFOA_vs_PSO</t>
  </si>
  <si>
    <t>MADFOA_vs_GA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</si>
  <si>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</si>
  <si>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</si>
  <si>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</si>
  <si>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</si>
  <si>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</si>
  <si>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</si>
  <si>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</si>
  <si>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</si>
  <si>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</si>
  <si>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</si>
  <si>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</si>
  <si>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</si>
  <si>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</si>
  <si>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MADFOA_vs_WHO</t>
  </si>
  <si>
    <t>MADFOA_vs_SBO</t>
  </si>
  <si>
    <t>MADFOA_vs_CSA</t>
  </si>
  <si>
    <t>MADFOA_vs_LEA</t>
  </si>
  <si>
    <t>MADFOA_vs_SSA</t>
  </si>
  <si>
    <t>MADFOA_vs_GSA</t>
  </si>
  <si>
    <t>MADFOA_vs_PSO</t>
  </si>
  <si>
    <t>MADFOA_vs_GA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</si>
  <si>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</si>
  <si>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</si>
  <si>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</si>
  <si>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</si>
  <si>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</si>
  <si>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</si>
  <si>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</si>
  <si>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</si>
  <si>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</si>
  <si>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</si>
  <si>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</si>
  <si>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</si>
  <si>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</si>
  <si>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</si>
  <si>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</si>
  <si>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</si>
  <si>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</si>
  <si>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</si>
  <si>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</si>
  <si>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</si>
  <si>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</si>
  <si>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</si>
  <si>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</si>
  <si>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</si>
  <si>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</si>
  <si>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MADFOA_vs_WHO</t>
  </si>
  <si>
    <t>MADFOA_vs_SBO</t>
  </si>
  <si>
    <t>MADFOA_vs_CSA</t>
  </si>
  <si>
    <t>MADFOA_vs_LEA</t>
  </si>
  <si>
    <t>MADFOA_vs_SSA</t>
  </si>
  <si>
    <t>MADFOA_vs_GSA</t>
  </si>
  <si>
    <t>MADFOA_vs_PSO</t>
  </si>
  <si>
    <t>MADFOA_vs_GA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</si>
  <si>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</si>
  <si>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</si>
  <si>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</si>
  <si>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</si>
  <si>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</si>
  <si>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</si>
  <si>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</si>
  <si>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</si>
  <si>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</si>
  <si>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</si>
  <si>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</si>
  <si>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</si>
  <si>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</si>
  <si>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MADFOA_vs_WHO</t>
  </si>
  <si>
    <t>MADFOA_vs_SBO</t>
  </si>
  <si>
    <t>MADFOA_vs_CSA</t>
  </si>
  <si>
    <t>MADFOA_vs_LEA</t>
  </si>
  <si>
    <t>MADFOA_vs_SSA</t>
  </si>
  <si>
    <t>MADFOA_vs_GSA</t>
  </si>
  <si>
    <t>MADFOA_vs_PSO</t>
  </si>
  <si>
    <t>MADFOA_vs_GA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</si>
  <si>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</si>
  <si>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</si>
  <si>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</si>
  <si>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</si>
  <si>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</si>
  <si>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MADFOA vs WHO</t>
  </si>
  <si>
    <t>MADFOA vs SBO</t>
  </si>
  <si>
    <t>MADFOA vs CSA</t>
  </si>
  <si>
    <t>MADFOA vs LEA</t>
  </si>
  <si>
    <t>MADFOA vs SSA</t>
  </si>
  <si>
    <t>MADFOA vs GSA</t>
  </si>
  <si>
    <t>MADFOA vs PSO</t>
  </si>
  <si>
    <t>MADFOA vs GA</t>
  </si>
  <si>
    <t>P-value of the Wilcoxon analysis for the CEC benchmark functions 2022 (20 Dim)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</si>
  <si>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</si>
  <si>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</si>
  <si>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</si>
  <si>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</si>
  <si>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</si>
  <si>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</si>
  <si>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</si>
  <si>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</si>
  <si>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</si>
  <si>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</si>
  <si>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</si>
  <si>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</si>
  <si>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</si>
  <si>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</si>
  <si>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</si>
  <si>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Total number of best answers</t>
  </si>
  <si>
    <t>Rank by total number of best answers</t>
  </si>
  <si>
    <t>Rank based on the average in the set</t>
  </si>
  <si>
    <t>P-value of the T-test analysis for the CEC benchmark functions 2022 (20 Dim)</t>
  </si>
  <si>
    <t>H-value of the T-test analysis for the CEC benchmark functions 2022 (20 Dim)</t>
  </si>
  <si>
    <t>H-value of the Wilcoxon analysis for the CEC benchmark functions 2022 (20 Dim)</t>
  </si>
  <si>
    <t>State of the Wilcoxon analysis for the CEC benchmark functions 2022 (20 Dim)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</si>
  <si>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</si>
  <si>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</si>
  <si>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</si>
  <si>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</si>
  <si>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</si>
  <si>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</si>
  <si>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</si>
  <si>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</si>
  <si>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</si>
  <si>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</si>
  <si>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</si>
  <si>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</si>
  <si>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</si>
  <si>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</si>
  <si>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</si>
  <si>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</si>
  <si>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</si>
  <si>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</si>
  <si>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</si>
  <si>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</si>
  <si>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</si>
  <si>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</si>
  <si>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</si>
  <si>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</si>
  <si>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</si>
  <si>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</si>
  <si>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</si>
  <si>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</si>
  <si>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</si>
  <si>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</si>
  <si>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</si>
  <si>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</si>
  <si>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</si>
  <si>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</si>
  <si>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</si>
  <si>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</si>
  <si>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</si>
  <si>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</si>
  <si>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</si>
  <si>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</si>
  <si>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</si>
  <si>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</si>
  <si>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</si>
  <si>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</si>
  <si>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</si>
  <si>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</si>
  <si>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</si>
  <si>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</si>
  <si>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MADFOA</t>
  </si>
  <si>
    <t>SSA</t>
  </si>
  <si>
    <t>GSA</t>
  </si>
  <si>
    <t>PSO</t>
  </si>
  <si>
    <t>GA</t>
  </si>
  <si>
    <t>CSA</t>
  </si>
  <si>
    <t>LEA</t>
  </si>
  <si>
    <t>WHO</t>
  </si>
  <si>
    <t>SBO</t>
  </si>
  <si>
    <t>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</si>
  <si>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</si>
  <si>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</si>
  <si>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</si>
  <si>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</si>
  <si>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</si>
  <si>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</si>
  <si>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</si>
  <si>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</si>
  <si>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</si>
  <si>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</si>
  <si>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</si>
  <si>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</si>
  <si>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</si>
  <si>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</si>
  <si>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</si>
  <si>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</si>
  <si>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</si>
  <si>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</si>
  <si>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</si>
  <si>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</si>
  <si>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</si>
  <si>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</si>
  <si>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</si>
  <si>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</si>
  <si>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</si>
  <si>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</si>
  <si>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</si>
  <si>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</si>
  <si>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</si>
  <si>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</si>
  <si>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</si>
  <si>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</si>
  <si>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</si>
  <si>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</si>
  <si>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</si>
  <si>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</si>
  <si>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</si>
  <si>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</si>
  <si>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</si>
  <si>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</si>
  <si>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</si>
  <si>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</si>
  <si>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</si>
  <si>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</si>
  <si>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</si>
  <si>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</si>
  <si>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</si>
  <si>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</si>
  <si>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</si>
  <si>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</si>
  <si>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</si>
  <si>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</si>
  <si>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</si>
  <si>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</si>
  <si>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</si>
  <si>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</si>
  <si>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</si>
  <si>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</si>
  <si>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</si>
  <si>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</si>
  <si>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</si>
  <si>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</si>
  <si>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</si>
  <si>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</si>
  <si>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</si>
  <si>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</si>
  <si>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</si>
  <si>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</si>
  <si>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</si>
  <si>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</si>
  <si>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</si>
  <si>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</si>
  <si>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</si>
  <si>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</si>
  <si>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</si>
  <si>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</si>
  <si>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</si>
  <si>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</si>
  <si>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</si>
  <si>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</si>
  <si>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</si>
  <si>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</si>
  <si>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</si>
  <si>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</si>
  <si>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</si>
  <si>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</si>
  <si>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</si>
  <si>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</si>
  <si>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</si>
  <si>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</si>
  <si>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</si>
  <si>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</si>
  <si>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</si>
  <si>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</si>
  <si>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</si>
  <si>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</si>
  <si>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</si>
  <si>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</si>
  <si>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</si>
  <si>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</si>
  <si>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</si>
  <si>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</si>
  <si>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</si>
  <si>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</si>
  <si>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</si>
  <si>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</si>
  <si>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</si>
  <si>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</si>
  <si>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</si>
  <si>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</si>
  <si>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</si>
  <si>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</si>
  <si>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</si>
  <si>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</si>
  <si>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</si>
  <si>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</si>
  <si>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</si>
  <si>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</si>
  <si>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</si>
  <si>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</si>
  <si>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</si>
  <si>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</si>
  <si>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</si>
  <si>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</si>
  <si>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</si>
  <si>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</si>
  <si>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</si>
  <si>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</si>
  <si>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</si>
  <si>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</si>
  <si>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</si>
  <si>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</si>
  <si>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</si>
  <si>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</si>
  <si>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</si>
  <si>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</si>
  <si>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</si>
  <si>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</si>
  <si>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</si>
  <si>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</si>
  <si>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</si>
  <si>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</si>
  <si>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</si>
  <si>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</si>
  <si>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</si>
  <si>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</si>
  <si>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</si>
  <si>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</si>
  <si>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</si>
  <si>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</si>
  <si>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</si>
  <si>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</si>
  <si>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</si>
  <si>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</si>
  <si>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</si>
  <si>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</si>
  <si>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</si>
  <si>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</si>
  <si>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</si>
  <si>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</si>
  <si>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</si>
  <si>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</si>
  <si>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</si>
  <si>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SFOOLMBES</t>
  </si>
  <si>
    <t>SFO</t>
  </si>
  <si>
    <t>HHO</t>
  </si>
  <si>
    <t>GWO</t>
  </si>
  <si>
    <t>PSO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</si>
  <si>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</si>
  <si>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</si>
  <si>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</si>
  <si>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</si>
  <si>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</si>
  <si>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</si>
  <si>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</si>
  <si>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</si>
  <si>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</si>
  <si>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</si>
  <si>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</si>
  <si>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</si>
  <si>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</si>
  <si>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</si>
  <si>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</si>
  <si>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</si>
  <si>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</si>
  <si>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</si>
  <si>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</si>
  <si>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</si>
  <si>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</si>
  <si>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</si>
  <si>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</si>
  <si>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</si>
  <si>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</si>
  <si>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</si>
  <si>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</si>
  <si>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</si>
  <si>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</si>
  <si>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</si>
  <si>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</si>
  <si>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</si>
  <si>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</si>
  <si>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</si>
  <si>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</si>
  <si>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</si>
  <si>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</si>
  <si>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</si>
  <si>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</si>
  <si>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</si>
  <si>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</si>
  <si>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</si>
  <si>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</si>
  <si>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</si>
  <si>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</si>
  <si>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</si>
  <si>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</si>
  <si>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</si>
  <si>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</si>
  <si>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</si>
  <si>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</si>
  <si>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</si>
  <si>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</si>
  <si>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</si>
  <si>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</si>
  <si>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</si>
  <si>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</si>
  <si>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</si>
  <si>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</si>
  <si>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</si>
  <si>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</si>
  <si>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</si>
  <si>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</si>
  <si>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</si>
  <si>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</si>
  <si>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</si>
  <si>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</si>
  <si>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</si>
  <si>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</si>
  <si>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</si>
  <si>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</si>
  <si>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</si>
  <si>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</si>
  <si>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</si>
  <si>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</si>
  <si>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</si>
  <si>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</si>
  <si>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</si>
  <si>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</si>
  <si>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</si>
  <si>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</si>
  <si>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</si>
  <si>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</si>
  <si>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</si>
  <si>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</si>
  <si>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</si>
  <si>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SFOOLMBES vs SFO</t>
  </si>
  <si>
    <t>SFOOLMBES vs HHO</t>
  </si>
  <si>
    <t>SFOOLMBES vs GWO</t>
  </si>
  <si>
    <t>SFOOLMBES vs PSO</t>
  </si>
  <si>
    <t>SFOOLMBES vs 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</si>
  <si>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</si>
  <si>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</si>
  <si>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</si>
  <si>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</si>
  <si>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</si>
  <si>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ORCAS_1</t>
  </si>
  <si>
    <t>ORCAS_2</t>
  </si>
  <si>
    <t>ORCAS_3</t>
  </si>
  <si>
    <t>ORCAS_4</t>
  </si>
  <si>
    <t>ORCAS_4_1</t>
  </si>
  <si>
    <t>ORCAS_1 vs ORCAS_2</t>
  </si>
  <si>
    <t>ORCAS_1 vs ORCAS_3</t>
  </si>
  <si>
    <t>ORCAS_1 vs ORCAS_4</t>
  </si>
  <si>
    <t>ORCAS_1 vs ORCAS_4_1</t>
  </si>
  <si>
    <t>ORCAS_1 vs GWO</t>
  </si>
  <si>
    <t>ORCAS_1 vs PSO</t>
  </si>
  <si>
    <t>ORCAS_1 vs GA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</si>
</sst>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"/>
  </numFmts>
  <fonts count="4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/>
  </borders>
  <cellStyleXfs count="1">
    <xf numFmtId="0" fontId="0" fillId="0" borderId="0"/>
  </cellStyleXfs>
  <cellXfs count="28">
    <xf numFmtId="0" fontId="0" fillId="0" borderId="0" xfId="0"/>
    <xf numFmtId="0" fontId="1" fillId="0" borderId="2" xfId="0" applyFont="true" applyBorder="true" applyAlignment="true">
      <alignment horizontal="left" vertical="top"/>
    </xf>
    <xf numFmtId="0" fontId="0" fillId="0" borderId="2" xfId="0" applyBorder="true" applyAlignment="true">
      <alignment horizontal="left" vertical="top"/>
    </xf>
    <xf numFmtId="0" fontId="0" fillId="0" borderId="3" xfId="0" applyBorder="true" applyAlignment="true">
      <alignment horizontal="left" vertical="top"/>
    </xf>
    <xf numFmtId="11" fontId="0" fillId="0" borderId="3" xfId="0" applyNumberFormat="true" applyBorder="true" applyAlignment="true">
      <alignment horizontal="left" vertical="top"/>
    </xf>
    <xf numFmtId="0" fontId="0" fillId="0" borderId="1" xfId="0" applyBorder="true" applyAlignment="true">
      <alignment horizontal="left" vertical="top"/>
    </xf>
    <xf numFmtId="0" fontId="0" fillId="0" borderId="4" xfId="0" applyBorder="true" applyAlignment="true">
      <alignment horizontal="left" vertical="top"/>
    </xf>
    <xf numFmtId="164" fontId="0" fillId="0" borderId="4" xfId="0" applyNumberFormat="true" applyBorder="true" applyAlignment="true">
      <alignment horizontal="left" vertical="top"/>
    </xf>
    <xf numFmtId="0" fontId="0" fillId="0" borderId="0" xfId="0" applyAlignment="true">
      <alignment horizontal="left" vertical="top"/>
    </xf>
    <xf numFmtId="11" fontId="0" fillId="0" borderId="5" xfId="0" applyNumberFormat="true" applyBorder="true" applyAlignment="true">
      <alignment horizontal="left" vertical="top"/>
    </xf>
    <xf numFmtId="0" fontId="0" fillId="0" borderId="5" xfId="0" applyBorder="true" applyAlignment="true">
      <alignment horizontal="left" vertical="top"/>
    </xf>
    <xf numFmtId="11" fontId="0" fillId="0" borderId="4" xfId="0" applyNumberFormat="true" applyBorder="true" applyAlignment="true">
      <alignment horizontal="left" vertical="top"/>
    </xf>
    <xf numFmtId="0" fontId="1" fillId="0" borderId="4" xfId="0" applyFont="true" applyBorder="true" applyAlignment="true">
      <alignment horizontal="left" vertical="top"/>
    </xf>
    <xf numFmtId="2" fontId="0" fillId="0" borderId="5" xfId="0" applyNumberFormat="true" applyBorder="true" applyAlignment="true">
      <alignment horizontal="left" vertical="top"/>
    </xf>
    <xf numFmtId="0" fontId="1" fillId="0" borderId="4" xfId="0" applyFont="true" applyBorder="true" applyAlignment="true">
      <alignment horizontal="left" vertical="top"/>
    </xf>
    <xf numFmtId="0" fontId="0" fillId="0" borderId="3" xfId="0" applyBorder="true" applyAlignment="true">
      <alignment horizontal="left" vertical="top"/>
    </xf>
    <xf numFmtId="0" fontId="0" fillId="0" borderId="5" xfId="0" applyBorder="true" applyAlignment="true">
      <alignment horizontal="left" vertical="top"/>
    </xf>
    <xf numFmtId="0" fontId="0" fillId="0" borderId="4" xfId="0" applyBorder="true" applyAlignment="true">
      <alignment horizontal="left" vertical="top"/>
    </xf>
    <xf numFmtId="11" fontId="2" fillId="0" borderId="6" xfId="0" applyNumberFormat="true" applyFont="true" applyBorder="true" applyAlignment="true">
      <alignment horizontal="left" vertical="top"/>
    </xf>
    <xf numFmtId="0" fontId="1" fillId="0" borderId="5" xfId="0" applyFont="true" applyBorder="true" applyAlignment="true">
      <alignment horizontal="left" vertical="top" wrapText="true"/>
    </xf>
    <xf numFmtId="0" fontId="1" fillId="0" borderId="5" xfId="0" applyFont="true" applyBorder="true" applyAlignment="true">
      <alignment horizontal="left" vertical="top"/>
    </xf>
    <xf numFmtId="0" fontId="1" fillId="0" borderId="4" xfId="0" applyFont="true" applyBorder="true" applyAlignment="true">
      <alignment horizontal="left" vertical="top" wrapText="true"/>
    </xf>
    <xf numFmtId="0" fontId="1" fillId="0" borderId="3" xfId="0" applyFont="true" applyBorder="true" applyAlignment="true">
      <alignment horizontal="left" vertical="top" wrapText="true"/>
    </xf>
    <xf numFmtId="0" fontId="2" fillId="0" borderId="6" xfId="0" applyFont="true" applyBorder="true" applyAlignment="true">
      <alignment horizontal="left" vertical="top"/>
    </xf>
    <xf numFmtId="1" fontId="0" fillId="0" borderId="3" xfId="0" applyNumberFormat="true" applyBorder="true" applyAlignment="true">
      <alignment horizontal="left" vertical="top"/>
    </xf>
    <xf numFmtId="1" fontId="0" fillId="0" borderId="5" xfId="0" applyNumberFormat="true" applyBorder="true" applyAlignment="true">
      <alignment horizontal="left" vertical="top"/>
    </xf>
    <xf numFmtId="1" fontId="0" fillId="0" borderId="4" xfId="0" applyNumberFormat="true" applyBorder="true" applyAlignment="true">
      <alignment horizontal="left" vertical="top"/>
    </xf>
    <xf numFmtId="22" fontId="0" fillId="0" borderId="7" xfId="0" applyNumberFormat="true"/>
  </cellXfs>
  <cellStyles count="1">
    <cellStyle name="Normal" xfId="0" builtinId="0"/>
  </cellStyles>
  <dxfs count="22"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alignment horizontal="left" vertical="top" textRotation="0" wrapText="false" indent="0" justifyLastLine="false" shrinkToFit="false" readingOrder="0"/>
    </dxf>
    <dxf>
      <alignment horizontal="left" vertical="top" textRotation="0" wrapText="false" indent="0" justifyLastLine="false" shrinkToFit="false" readingOrder="0"/>
    </dxf>
    <dxf>
      <border outline="false"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false" shrinkToFit="false" readingOrder="0"/>
    </dxf>
    <dxf>
      <alignment horizontal="left" vertical="top" textRotation="0" indent="0" justifyLastLine="false" shrinkToFit="false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ables/table1.xml><?xml version="1.0" encoding="utf-8"?>
<table xmlns="http://schemas.openxmlformats.org/spreadsheetml/2006/main" xmlns:r="http://schemas.openxmlformats.org/officeDocument/2006/relationships" xmlns:xdr="http://schemas.openxmlformats.org/drawingml/2006/spreadsheetDrawing" id="1" name="Table1" displayName="Table1" ref="S2:T38" totalsRowShown="false" headerRowDxfId="21" dataDxfId="20" tableBorderDxfId="19">
  <autoFilter ref="S2:T38"/>
  <tableColumns count="2">
    <tableColumn id="1" name="Column1" dataDxfId="18"/>
    <tableColumn id="2" name="Column2" dataDxfId="17"/>
  </tableColumns>
  <tableStyleInfo name="TableStyleMedium2" showFirstColumn="false" showLastColumn="false" showRowStripes="true" showColumnStripes="false"/>
</table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2"/>
  <sheetViews>
    <sheetView tabSelected="true" workbookViewId="0">
      <selection activeCell="C9" sqref="C9"/>
    </sheetView>
  </sheetViews>
  <sheetFormatPr xmlns:x14ac="http://schemas.microsoft.com/office/spreadsheetml/2009/9/ac" defaultRowHeight="14.4" x14ac:dyDescent="0.3"/>
  <cols>
    <col min="1" max="1" width="11.33203125" style="8" bestFit="true" customWidth="true"/>
    <col min="2" max="2" width="3.88671875" style="8" bestFit="true" customWidth="true"/>
    <col min="3" max="3" width="5.6640625" style="8" bestFit="true" customWidth="true"/>
    <col min="4" max="4" width="8.5546875" style="8" bestFit="true" customWidth="true"/>
    <col min="13" max="13" width="8.7109375" style="8" bestFit="true" customWidth="true"/>
    <col min="19" max="20" width="10.44140625" style="8" customWidth="true"/>
    <col min="21" max="22" width="8.88671875" style="8"/>
    <col min="23" max="31" width="10.33203125" bestFit="true" customWidth="true"/>
    <col min="32" max="33" width="11.33203125" bestFit="true" customWidth="true"/>
    <col min="34" max="37" width="11.33203125" style="8" bestFit="true" customWidth="true"/>
    <col min="38" max="16384" width="8.88671875" style="8"/>
    <col min="5" max="5" width="8.5546875" style="8" bestFit="true" customWidth="true"/>
    <col min="6" max="6" width="8.5546875" style="8" bestFit="true" customWidth="true"/>
    <col min="7" max="7" width="8.5546875" style="8" bestFit="true" customWidth="true"/>
    <col min="8" max="8" width="10.5546875" style="8" bestFit="true" customWidth="true"/>
    <col min="9" max="9" width="8.5546875" style="8" bestFit="true" customWidth="true"/>
    <col min="10" max="10" width="8.5546875" style="8" bestFit="true" customWidth="true"/>
    <col min="11" max="11" width="8.5546875" style="8" bestFit="true" customWidth="true"/>
    <col min="12" max="12" width="8.7109375" style="8" bestFit="true" customWidth="true"/>
    <col min="14" max="18" width="11.33203125" style="8" bestFit="true" customWidth="true"/>
  </cols>
  <sheetData>
    <row xmlns:x14ac="http://schemas.microsoft.com/office/spreadsheetml/2009/9/ac" r="1" ht="15" thickBot="true" x14ac:dyDescent="0.35">
      <c r="A1" s="18" t="s">
        <v>22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xmlns:x14ac="http://schemas.microsoft.com/office/spreadsheetml/2009/9/ac" r="2" x14ac:dyDescent="0.3">
      <c r="A2" s="14" t="s">
        <v>17</v>
      </c>
      <c r="B2" s="14"/>
      <c r="C2" s="14"/>
      <c r="D2" s="12" t="s">
        <v>516</v>
      </c>
      <c r="E2" s="12" t="s">
        <v>517</v>
      </c>
      <c r="F2" s="12" t="s">
        <v>518</v>
      </c>
      <c r="G2" s="12" t="s">
        <v>519</v>
      </c>
      <c r="H2" s="12" t="s">
        <v>520</v>
      </c>
      <c r="I2" s="12" t="s">
        <v>418</v>
      </c>
      <c r="J2" s="12" t="s">
        <v>419</v>
      </c>
      <c r="K2" s="12" t="s">
        <v>420</v>
      </c>
      <c r="L2" s="12" t="s">
        <v>250</v>
      </c>
      <c r="M2" s="12" t="s">
        <v>251</v>
      </c>
      <c r="N2" s="12" t="s">
        <v>182</v>
      </c>
      <c r="O2" s="12" t="s">
        <v>183</v>
      </c>
      <c r="P2" s="12" t="s">
        <v>184</v>
      </c>
      <c r="Q2" s="12" t="s">
        <v>185</v>
      </c>
      <c r="R2" s="12" t="s">
        <v>186</v>
      </c>
      <c r="S2" s="5" t="s">
        <v>18</v>
      </c>
      <c r="T2" s="5" t="s">
        <v>19</v>
      </c>
      <c r="W2" s="1" t="s">
        <v>172</v>
      </c>
      <c r="X2" s="1" t="s">
        <v>173</v>
      </c>
      <c r="Y2" s="1" t="s">
        <v>174</v>
      </c>
      <c r="Z2" s="1" t="s">
        <v>175</v>
      </c>
      <c r="AA2" s="1" t="s">
        <v>176</v>
      </c>
      <c r="AB2" s="1" t="s">
        <v>177</v>
      </c>
      <c r="AC2" s="1" t="s">
        <v>178</v>
      </c>
      <c r="AD2" s="1" t="s">
        <v>179</v>
      </c>
      <c r="AE2" s="1" t="s">
        <v>180</v>
      </c>
      <c r="AF2" s="1" t="s">
        <v>181</v>
      </c>
      <c r="AG2" s="1" t="s">
        <v>182</v>
      </c>
      <c r="AH2" s="1" t="s">
        <v>183</v>
      </c>
      <c r="AI2" s="1" t="s">
        <v>184</v>
      </c>
      <c r="AJ2" s="1" t="s">
        <v>185</v>
      </c>
      <c r="AK2" s="1" t="s">
        <v>186</v>
      </c>
    </row>
    <row xmlns:x14ac="http://schemas.microsoft.com/office/spreadsheetml/2009/9/ac" r="3" ht="14.4" customHeight="true" x14ac:dyDescent="0.3">
      <c r="A3" s="22" t="s">
        <v>15</v>
      </c>
      <c r="B3" s="15" t="s">
        <v>494</v>
      </c>
      <c r="C3" s="3" t="s">
        <v>412</v>
      </c>
      <c r="D3" s="4">
        <v>6324761588.4518633</v>
      </c>
      <c r="E3" s="4">
        <v>24983589699.51701</v>
      </c>
      <c r="F3" s="4">
        <v>691300.69522509992</v>
      </c>
      <c r="G3" s="4">
        <v>2580050.6912840754</v>
      </c>
      <c r="H3" s="4">
        <v>183348598.3067582</v>
      </c>
      <c r="I3" s="4">
        <v>14940.455285840761</v>
      </c>
      <c r="J3" s="4">
        <v>8750.2437521328593</v>
      </c>
      <c r="K3" s="4">
        <v>53826.766328298167</v>
      </c>
      <c r="L3" s="4">
        <v>22240.090054884913</v>
      </c>
      <c r="M3" s="4">
        <v>13706.522645758118</v>
      </c>
      <c r="N3" s="4"/>
      <c r="O3" s="4"/>
      <c r="P3" s="4"/>
      <c r="Q3" s="4"/>
      <c r="R3" s="4"/>
      <c r="S3" s="3" t="s">
        <v>0</v>
      </c>
      <c r="T3" s="3" t="s">
        <v>12</v>
      </c>
      <c r="W3" s="8">
        <f>_xlfn.RANK.EQ(D3,$D3:$R3,1)</f>
        <v>1</v>
      </c>
      <c r="X3" s="8">
        <f t="shared" ref="X3:AK3" si="0">_xlfn.RANK.EQ(E3,$D3:$R3,1)</f>
        <v>3</v>
      </c>
      <c r="Y3" s="8">
        <f t="shared" si="0"/>
        <v>5</v>
      </c>
      <c r="Z3" s="8">
        <f t="shared" si="0"/>
        <v>7</v>
      </c>
      <c r="AA3" s="8">
        <f t="shared" si="0"/>
        <v>9</v>
      </c>
      <c r="AB3" s="8">
        <f t="shared" si="0"/>
        <v>2</v>
      </c>
      <c r="AC3" s="8">
        <f t="shared" si="0"/>
        <v>6</v>
      </c>
      <c r="AD3" s="8">
        <f t="shared" si="0"/>
        <v>4</v>
      </c>
      <c r="AE3" s="8">
        <f t="shared" si="0"/>
        <v>8</v>
      </c>
      <c r="AF3" s="8" t="e">
        <f t="shared" si="0"/>
        <v>#N/A</v>
      </c>
      <c r="AG3" s="8" t="e">
        <f t="shared" si="0"/>
        <v>#N/A</v>
      </c>
      <c r="AH3" s="8" t="e">
        <f t="shared" si="0"/>
        <v>#N/A</v>
      </c>
      <c r="AI3" s="8" t="e">
        <f t="shared" si="0"/>
        <v>#N/A</v>
      </c>
      <c r="AJ3" s="8" t="e">
        <f t="shared" si="0"/>
        <v>#N/A</v>
      </c>
      <c r="AK3" s="8" t="e">
        <f t="shared" si="0"/>
        <v>#N/A</v>
      </c>
    </row>
    <row xmlns:x14ac="http://schemas.microsoft.com/office/spreadsheetml/2009/9/ac" r="4" x14ac:dyDescent="0.3">
      <c r="A4" s="19"/>
      <c r="B4" s="16" t="s">
        <v>494</v>
      </c>
      <c r="C4" s="10" t="s">
        <v>413</v>
      </c>
      <c r="D4" s="9">
        <v>10341247641.136385</v>
      </c>
      <c r="E4" s="9">
        <v>21637329984.533161</v>
      </c>
      <c r="F4" s="9">
        <v>545327.34161155345</v>
      </c>
      <c r="G4" s="9">
        <v>4096256.5120789791</v>
      </c>
      <c r="H4" s="9">
        <v>313868994.74857718</v>
      </c>
      <c r="I4" s="9">
        <v>6244.995377445819</v>
      </c>
      <c r="J4" s="9">
        <v>649.46278448170347</v>
      </c>
      <c r="K4" s="9">
        <v>6967.6267790169532</v>
      </c>
      <c r="L4" s="9">
        <v>10409.943204296143</v>
      </c>
      <c r="M4" s="9">
        <v>4833.0782695132048</v>
      </c>
      <c r="N4" s="9"/>
      <c r="O4" s="9"/>
      <c r="P4" s="9"/>
      <c r="Q4" s="9"/>
      <c r="R4" s="9"/>
      <c r="S4" s="5"/>
      <c r="T4" s="5" t="s">
        <v>13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xmlns:x14ac="http://schemas.microsoft.com/office/spreadsheetml/2009/9/ac" r="5" x14ac:dyDescent="0.3">
      <c r="A5" s="21"/>
      <c r="B5" s="17" t="s">
        <v>494</v>
      </c>
      <c r="C5" s="6" t="s">
        <v>414</v>
      </c>
      <c r="D5" s="7">
        <v>0.18229166666666666</v>
      </c>
      <c r="E5" s="7">
        <v>0.16145833333333334</v>
      </c>
      <c r="F5" s="7">
        <v>0.34895833333333331</v>
      </c>
      <c r="G5" s="7">
        <v>0.36979166666666669</v>
      </c>
      <c r="H5" s="7">
        <v>0.34895833333333331</v>
      </c>
      <c r="I5" s="7">
        <v>0.15625</v>
      </c>
      <c r="J5" s="7">
        <v>0.171875</v>
      </c>
      <c r="K5" s="7">
        <v>0.140625</v>
      </c>
      <c r="L5" s="7">
        <v>0.55104166666666665</v>
      </c>
      <c r="M5" s="7">
        <v>0.16927083333333334</v>
      </c>
      <c r="N5" s="7"/>
      <c r="O5" s="7"/>
      <c r="P5" s="7"/>
      <c r="Q5" s="7"/>
      <c r="R5" s="7"/>
      <c r="S5" s="6"/>
      <c r="T5" s="6" t="s">
        <v>14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xmlns:x14ac="http://schemas.microsoft.com/office/spreadsheetml/2009/9/ac" r="6" x14ac:dyDescent="0.3">
      <c r="A6" s="22" t="s">
        <v>20</v>
      </c>
      <c r="B6" s="15" t="s">
        <v>495</v>
      </c>
      <c r="C6" s="3" t="s">
        <v>412</v>
      </c>
      <c r="D6" s="4">
        <v>6681.4666793002325</v>
      </c>
      <c r="E6" s="4">
        <v>6736.7744283503562</v>
      </c>
      <c r="F6" s="4">
        <v>5354.8784562945393</v>
      </c>
      <c r="G6" s="4">
        <v>3603.6420038994197</v>
      </c>
      <c r="H6" s="4">
        <v>4339.0060774098638</v>
      </c>
      <c r="I6" s="4">
        <v>513.15755006121958</v>
      </c>
      <c r="J6" s="4">
        <v>480.17622421883067</v>
      </c>
      <c r="K6" s="4">
        <v>506.87663516176394</v>
      </c>
      <c r="L6" s="4">
        <v>457.21055415823196</v>
      </c>
      <c r="M6" s="4">
        <v>527.85336297280401</v>
      </c>
      <c r="N6" s="4"/>
      <c r="O6" s="4"/>
      <c r="P6" s="4"/>
      <c r="Q6" s="4"/>
      <c r="R6" s="4"/>
      <c r="S6" s="3" t="s">
        <v>1</v>
      </c>
      <c r="T6" s="3" t="s">
        <v>12</v>
      </c>
      <c r="W6" s="8">
        <f t="shared" ref="W6" si="1">_xlfn.RANK.EQ(D6,$D6:$R6,1)</f>
        <v>1</v>
      </c>
      <c r="X6" s="8">
        <f t="shared" ref="X6" si="2">_xlfn.RANK.EQ(E6,$D6:$R6,1)</f>
        <v>5</v>
      </c>
      <c r="Y6" s="8">
        <f t="shared" ref="Y6" si="3">_xlfn.RANK.EQ(F6,$D6:$R6,1)</f>
        <v>3</v>
      </c>
      <c r="Z6" s="8">
        <f t="shared" ref="Z6" si="4">_xlfn.RANK.EQ(G6,$D6:$R6,1)</f>
        <v>2</v>
      </c>
      <c r="AA6" s="8">
        <f t="shared" ref="AA6" si="5">_xlfn.RANK.EQ(H6,$D6:$R6,1)</f>
        <v>9</v>
      </c>
      <c r="AB6" s="8">
        <f t="shared" ref="AB6" si="6">_xlfn.RANK.EQ(I6,$D6:$R6,1)</f>
        <v>4</v>
      </c>
      <c r="AC6" s="8">
        <f t="shared" ref="AC6" si="7">_xlfn.RANK.EQ(J6,$D6:$R6,1)</f>
        <v>8</v>
      </c>
      <c r="AD6" s="8">
        <f t="shared" ref="AD6" si="8">_xlfn.RANK.EQ(K6,$D6:$R6,1)</f>
        <v>6</v>
      </c>
      <c r="AE6" s="8">
        <f t="shared" ref="AE6" si="9">_xlfn.RANK.EQ(L6,$D6:$R6,1)</f>
        <v>7</v>
      </c>
      <c r="AF6" s="8" t="e">
        <f t="shared" ref="AF6" si="10">_xlfn.RANK.EQ(M6,$D6:$R6,1)</f>
        <v>#N/A</v>
      </c>
      <c r="AG6" s="8" t="e">
        <f t="shared" ref="AG6" si="11">_xlfn.RANK.EQ(N6,$D6:$R6,1)</f>
        <v>#N/A</v>
      </c>
      <c r="AH6" s="8" t="e">
        <f t="shared" ref="AH6" si="12">_xlfn.RANK.EQ(O6,$D6:$R6,1)</f>
        <v>#N/A</v>
      </c>
      <c r="AI6" s="8" t="e">
        <f t="shared" ref="AI6" si="13">_xlfn.RANK.EQ(P6,$D6:$R6,1)</f>
        <v>#N/A</v>
      </c>
      <c r="AJ6" s="8" t="e">
        <f t="shared" ref="AJ6" si="14">_xlfn.RANK.EQ(Q6,$D6:$R6,1)</f>
        <v>#N/A</v>
      </c>
      <c r="AK6" s="8" t="e">
        <f t="shared" ref="AK6" si="15">_xlfn.RANK.EQ(R6,$D6:$R6,1)</f>
        <v>#N/A</v>
      </c>
    </row>
    <row xmlns:x14ac="http://schemas.microsoft.com/office/spreadsheetml/2009/9/ac" r="7" x14ac:dyDescent="0.3">
      <c r="A7" s="19"/>
      <c r="B7" s="16" t="s">
        <v>495</v>
      </c>
      <c r="C7" s="10" t="s">
        <v>413</v>
      </c>
      <c r="D7" s="9">
        <v>983.92829628511981</v>
      </c>
      <c r="E7" s="9">
        <v>704.54594900360189</v>
      </c>
      <c r="F7" s="9">
        <v>706.39273733357436</v>
      </c>
      <c r="G7" s="9">
        <v>1004.5993380615371</v>
      </c>
      <c r="H7" s="9">
        <v>483.06682543968958</v>
      </c>
      <c r="I7" s="9">
        <v>50.362077404885021</v>
      </c>
      <c r="J7" s="9">
        <v>11.998976300708208</v>
      </c>
      <c r="K7" s="9">
        <v>25.889160703364677</v>
      </c>
      <c r="L7" s="9">
        <v>11.200109493594026</v>
      </c>
      <c r="M7" s="9">
        <v>60.83083832695079</v>
      </c>
      <c r="N7" s="9"/>
      <c r="O7" s="9"/>
      <c r="P7" s="9"/>
      <c r="Q7" s="9"/>
      <c r="R7" s="9"/>
      <c r="S7" s="5"/>
      <c r="T7" s="5" t="s">
        <v>13</v>
      </c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xmlns:x14ac="http://schemas.microsoft.com/office/spreadsheetml/2009/9/ac" r="8" x14ac:dyDescent="0.3">
      <c r="A8" s="19"/>
      <c r="B8" s="17" t="s">
        <v>495</v>
      </c>
      <c r="C8" s="6" t="s">
        <v>414</v>
      </c>
      <c r="D8" s="7">
        <v>0.16666666666666666</v>
      </c>
      <c r="E8" s="7">
        <v>0.16145833333333334</v>
      </c>
      <c r="F8" s="7">
        <v>0.36979166666666669</v>
      </c>
      <c r="G8" s="7">
        <v>0.34895833333333331</v>
      </c>
      <c r="H8" s="7">
        <v>0.33333333333333331</v>
      </c>
      <c r="I8" s="7">
        <v>0.203125</v>
      </c>
      <c r="J8" s="7">
        <v>0.15625</v>
      </c>
      <c r="K8" s="7">
        <v>0.14583333333333334</v>
      </c>
      <c r="L8" s="7">
        <v>0.5541666666666667</v>
      </c>
      <c r="M8" s="7">
        <v>0.16250000000000001</v>
      </c>
      <c r="N8" s="7"/>
      <c r="O8" s="7"/>
      <c r="P8" s="7"/>
      <c r="Q8" s="7"/>
      <c r="R8" s="7"/>
      <c r="S8" s="6"/>
      <c r="T8" s="6" t="s">
        <v>14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xmlns:x14ac="http://schemas.microsoft.com/office/spreadsheetml/2009/9/ac" r="9" x14ac:dyDescent="0.3">
      <c r="A9" s="19"/>
      <c r="B9" s="15" t="s">
        <v>496</v>
      </c>
      <c r="C9" s="3" t="s">
        <v>412</v>
      </c>
      <c r="D9" s="4">
        <v>712.11469941133566</v>
      </c>
      <c r="E9" s="4">
        <v>712.67516499217902</v>
      </c>
      <c r="F9" s="4">
        <v>709.03872022495545</v>
      </c>
      <c r="G9" s="4">
        <v>701.40340094925307</v>
      </c>
      <c r="H9" s="4">
        <v>697.24867045091594</v>
      </c>
      <c r="I9" s="4">
        <v>611.44469239288321</v>
      </c>
      <c r="J9" s="4">
        <v>600.81493579921846</v>
      </c>
      <c r="K9" s="4">
        <v>603.36419800835404</v>
      </c>
      <c r="L9" s="4">
        <v>643.0760089412189</v>
      </c>
      <c r="M9" s="4">
        <v>609.7992544284582</v>
      </c>
      <c r="N9" s="4"/>
      <c r="O9" s="4"/>
      <c r="P9" s="4"/>
      <c r="Q9" s="4"/>
      <c r="R9" s="4"/>
      <c r="S9" s="3" t="s">
        <v>2</v>
      </c>
      <c r="T9" s="3" t="s">
        <v>12</v>
      </c>
      <c r="W9" s="8">
        <f t="shared" ref="W9" si="16">_xlfn.RANK.EQ(D9,$D9:$R9,1)</f>
        <v>5</v>
      </c>
      <c r="X9" s="8">
        <f t="shared" ref="X9" si="17">_xlfn.RANK.EQ(E9,$D9:$R9,1)</f>
        <v>4</v>
      </c>
      <c r="Y9" s="8">
        <f t="shared" ref="Y9" si="18">_xlfn.RANK.EQ(F9,$D9:$R9,1)</f>
        <v>6</v>
      </c>
      <c r="Z9" s="8">
        <f t="shared" ref="Z9" si="19">_xlfn.RANK.EQ(G9,$D9:$R9,1)</f>
        <v>2</v>
      </c>
      <c r="AA9" s="8">
        <f t="shared" ref="AA9" si="20">_xlfn.RANK.EQ(H9,$D9:$R9,1)</f>
        <v>9</v>
      </c>
      <c r="AB9" s="8">
        <f t="shared" ref="AB9" si="21">_xlfn.RANK.EQ(I9,$D9:$R9,1)</f>
        <v>7</v>
      </c>
      <c r="AC9" s="8">
        <f t="shared" ref="AC9" si="22">_xlfn.RANK.EQ(J9,$D9:$R9,1)</f>
        <v>8</v>
      </c>
      <c r="AD9" s="8">
        <f t="shared" ref="AD9" si="23">_xlfn.RANK.EQ(K9,$D9:$R9,1)</f>
        <v>1</v>
      </c>
      <c r="AE9" s="8">
        <f t="shared" ref="AE9" si="24">_xlfn.RANK.EQ(L9,$D9:$R9,1)</f>
        <v>3</v>
      </c>
      <c r="AF9" s="8" t="e">
        <f t="shared" ref="AF9" si="25">_xlfn.RANK.EQ(M9,$D9:$R9,1)</f>
        <v>#N/A</v>
      </c>
      <c r="AG9" s="8" t="e">
        <f t="shared" ref="AG9" si="26">_xlfn.RANK.EQ(N9,$D9:$R9,1)</f>
        <v>#N/A</v>
      </c>
      <c r="AH9" s="8" t="e">
        <f t="shared" ref="AH9" si="27">_xlfn.RANK.EQ(O9,$D9:$R9,1)</f>
        <v>#N/A</v>
      </c>
      <c r="AI9" s="8" t="e">
        <f t="shared" ref="AI9" si="28">_xlfn.RANK.EQ(P9,$D9:$R9,1)</f>
        <v>#N/A</v>
      </c>
      <c r="AJ9" s="8" t="e">
        <f t="shared" ref="AJ9" si="29">_xlfn.RANK.EQ(Q9,$D9:$R9,1)</f>
        <v>#N/A</v>
      </c>
      <c r="AK9" s="8" t="e">
        <f t="shared" ref="AK9" si="30">_xlfn.RANK.EQ(R9,$D9:$R9,1)</f>
        <v>#N/A</v>
      </c>
    </row>
    <row xmlns:x14ac="http://schemas.microsoft.com/office/spreadsheetml/2009/9/ac" r="10" x14ac:dyDescent="0.3">
      <c r="A10" s="19"/>
      <c r="B10" s="16" t="s">
        <v>496</v>
      </c>
      <c r="C10" s="10" t="s">
        <v>413</v>
      </c>
      <c r="D10" s="9">
        <v>0.72208094084498609</v>
      </c>
      <c r="E10" s="9">
        <v>5.9253672438258906</v>
      </c>
      <c r="F10" s="9">
        <v>4.4494000983539825</v>
      </c>
      <c r="G10" s="9">
        <v>8.5313943803438566</v>
      </c>
      <c r="H10" s="9">
        <v>7.332176778855775</v>
      </c>
      <c r="I10" s="9">
        <v>4.6710838816239333</v>
      </c>
      <c r="J10" s="9">
        <v>0.94035421325378554</v>
      </c>
      <c r="K10" s="9">
        <v>0.69487029390449639</v>
      </c>
      <c r="L10" s="9">
        <v>7.9528627604701514</v>
      </c>
      <c r="M10" s="9">
        <v>5.5842413133515585</v>
      </c>
      <c r="N10" s="9"/>
      <c r="O10" s="9"/>
      <c r="P10" s="9"/>
      <c r="Q10" s="9"/>
      <c r="R10" s="9"/>
      <c r="S10" s="5"/>
      <c r="T10" s="5" t="s">
        <v>13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xmlns:x14ac="http://schemas.microsoft.com/office/spreadsheetml/2009/9/ac" r="11" x14ac:dyDescent="0.3">
      <c r="A11" s="19"/>
      <c r="B11" s="17" t="s">
        <v>496</v>
      </c>
      <c r="C11" s="6" t="s">
        <v>414</v>
      </c>
      <c r="D11" s="7">
        <v>0.20833333333333334</v>
      </c>
      <c r="E11" s="7">
        <v>0.19791666666666666</v>
      </c>
      <c r="F11" s="7">
        <v>0.51041666666666663</v>
      </c>
      <c r="G11" s="7">
        <v>0.5</v>
      </c>
      <c r="H11" s="7">
        <v>0.51041666666666663</v>
      </c>
      <c r="I11" s="7">
        <v>0.203125</v>
      </c>
      <c r="J11" s="7">
        <v>0.21875</v>
      </c>
      <c r="K11" s="7">
        <v>0.19270833333333334</v>
      </c>
      <c r="L11" s="7">
        <v>0.58385416666666667</v>
      </c>
      <c r="M11" s="7">
        <v>0.23177083333333334</v>
      </c>
      <c r="N11" s="7"/>
      <c r="O11" s="7"/>
      <c r="P11" s="7"/>
      <c r="Q11" s="7"/>
      <c r="R11" s="7"/>
      <c r="S11" s="6"/>
      <c r="T11" s="6" t="s">
        <v>14</v>
      </c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xmlns:x14ac="http://schemas.microsoft.com/office/spreadsheetml/2009/9/ac" r="12" ht="14.4" customHeight="true" x14ac:dyDescent="0.3">
      <c r="A12" s="19"/>
      <c r="B12" s="15" t="s">
        <v>497</v>
      </c>
      <c r="C12" s="3" t="s">
        <v>412</v>
      </c>
      <c r="D12" s="4">
        <v>1044.1676624929785</v>
      </c>
      <c r="E12" s="4">
        <v>1039.110638903823</v>
      </c>
      <c r="F12" s="4">
        <v>1013.9148542760671</v>
      </c>
      <c r="G12" s="4">
        <v>1001.556879898218</v>
      </c>
      <c r="H12" s="4">
        <v>1015.517134394271</v>
      </c>
      <c r="I12" s="4">
        <v>878.91331771832063</v>
      </c>
      <c r="J12" s="4">
        <v>889.89523843745349</v>
      </c>
      <c r="K12" s="4">
        <v>903.94591285762124</v>
      </c>
      <c r="L12" s="4">
        <v>868.92304211390319</v>
      </c>
      <c r="M12" s="4">
        <v>870.86671766960842</v>
      </c>
      <c r="N12" s="4"/>
      <c r="O12" s="4"/>
      <c r="P12" s="4"/>
      <c r="Q12" s="4"/>
      <c r="R12" s="4"/>
      <c r="S12" s="3" t="s">
        <v>3</v>
      </c>
      <c r="T12" s="3" t="s">
        <v>12</v>
      </c>
      <c r="W12" s="8">
        <f t="shared" ref="W12" si="31">_xlfn.RANK.EQ(D12,$D12:$R12,1)</f>
        <v>5</v>
      </c>
      <c r="X12" s="8">
        <f t="shared" ref="X12" si="32">_xlfn.RANK.EQ(E12,$D12:$R12,1)</f>
        <v>1</v>
      </c>
      <c r="Y12" s="8">
        <f t="shared" ref="Y12" si="33">_xlfn.RANK.EQ(F12,$D12:$R12,1)</f>
        <v>2</v>
      </c>
      <c r="Z12" s="8">
        <f t="shared" ref="Z12" si="34">_xlfn.RANK.EQ(G12,$D12:$R12,1)</f>
        <v>8</v>
      </c>
      <c r="AA12" s="8">
        <f t="shared" ref="AA12" si="35">_xlfn.RANK.EQ(H12,$D12:$R12,1)</f>
        <v>9</v>
      </c>
      <c r="AB12" s="8">
        <f t="shared" ref="AB12" si="36">_xlfn.RANK.EQ(I12,$D12:$R12,1)</f>
        <v>4</v>
      </c>
      <c r="AC12" s="8">
        <f t="shared" ref="AC12" si="37">_xlfn.RANK.EQ(J12,$D12:$R12,1)</f>
        <v>3</v>
      </c>
      <c r="AD12" s="8">
        <f t="shared" ref="AD12" si="38">_xlfn.RANK.EQ(K12,$D12:$R12,1)</f>
        <v>6</v>
      </c>
      <c r="AE12" s="8">
        <f t="shared" ref="AE12" si="39">_xlfn.RANK.EQ(L12,$D12:$R12,1)</f>
        <v>7</v>
      </c>
      <c r="AF12" s="8" t="e">
        <f t="shared" ref="AF12" si="40">_xlfn.RANK.EQ(M12,$D12:$R12,1)</f>
        <v>#N/A</v>
      </c>
      <c r="AG12" s="8" t="e">
        <f t="shared" ref="AG12" si="41">_xlfn.RANK.EQ(N12,$D12:$R12,1)</f>
        <v>#N/A</v>
      </c>
      <c r="AH12" s="8" t="e">
        <f t="shared" ref="AH12" si="42">_xlfn.RANK.EQ(O12,$D12:$R12,1)</f>
        <v>#N/A</v>
      </c>
      <c r="AI12" s="8" t="e">
        <f t="shared" ref="AI12" si="43">_xlfn.RANK.EQ(P12,$D12:$R12,1)</f>
        <v>#N/A</v>
      </c>
      <c r="AJ12" s="8" t="e">
        <f t="shared" ref="AJ12" si="44">_xlfn.RANK.EQ(Q12,$D12:$R12,1)</f>
        <v>#N/A</v>
      </c>
      <c r="AK12" s="8" t="e">
        <f t="shared" ref="AK12" si="45">_xlfn.RANK.EQ(R12,$D12:$R12,1)</f>
        <v>#N/A</v>
      </c>
    </row>
    <row xmlns:x14ac="http://schemas.microsoft.com/office/spreadsheetml/2009/9/ac" r="13" x14ac:dyDescent="0.3">
      <c r="A13" s="19"/>
      <c r="B13" s="16" t="s">
        <v>497</v>
      </c>
      <c r="C13" s="10" t="s">
        <v>413</v>
      </c>
      <c r="D13" s="9">
        <v>2.7022565441578026</v>
      </c>
      <c r="E13" s="9">
        <v>15.644217544071468</v>
      </c>
      <c r="F13" s="9">
        <v>17.54641948448776</v>
      </c>
      <c r="G13" s="9">
        <v>22.442782736288773</v>
      </c>
      <c r="H13" s="9">
        <v>6.4942159842549021</v>
      </c>
      <c r="I13" s="9">
        <v>30.980182188113975</v>
      </c>
      <c r="J13" s="9">
        <v>52.150268660863752</v>
      </c>
      <c r="K13" s="9">
        <v>25.522926455774147</v>
      </c>
      <c r="L13" s="9">
        <v>15.799696605107837</v>
      </c>
      <c r="M13" s="9">
        <v>37.256850458676361</v>
      </c>
      <c r="N13" s="9"/>
      <c r="O13" s="9"/>
      <c r="P13" s="9"/>
      <c r="Q13" s="9"/>
      <c r="R13" s="9"/>
      <c r="S13" s="5"/>
      <c r="T13" s="5" t="s">
        <v>13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xmlns:x14ac="http://schemas.microsoft.com/office/spreadsheetml/2009/9/ac" r="14" x14ac:dyDescent="0.3">
      <c r="A14" s="19"/>
      <c r="B14" s="17" t="s">
        <v>497</v>
      </c>
      <c r="C14" s="6" t="s">
        <v>414</v>
      </c>
      <c r="D14" s="7">
        <v>0.16666666666666666</v>
      </c>
      <c r="E14" s="7">
        <v>0.16145833333333334</v>
      </c>
      <c r="F14" s="7">
        <v>0.390625</v>
      </c>
      <c r="G14" s="7">
        <v>0.40625</v>
      </c>
      <c r="H14" s="7">
        <v>0.38541666666666669</v>
      </c>
      <c r="I14" s="7">
        <v>0.14583333333333334</v>
      </c>
      <c r="J14" s="7">
        <v>0.16666666666666666</v>
      </c>
      <c r="K14" s="7">
        <v>0.14583333333333334</v>
      </c>
      <c r="L14" s="7">
        <v>0.53489583333333335</v>
      </c>
      <c r="M14" s="7">
        <v>0.18593750000000001</v>
      </c>
      <c r="N14" s="7"/>
      <c r="O14" s="7"/>
      <c r="P14" s="7"/>
      <c r="Q14" s="7"/>
      <c r="R14" s="7"/>
      <c r="S14" s="6"/>
      <c r="T14" s="6" t="s">
        <v>14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xmlns:x14ac="http://schemas.microsoft.com/office/spreadsheetml/2009/9/ac" r="15" x14ac:dyDescent="0.3">
      <c r="A15" s="19"/>
      <c r="B15" s="15" t="s">
        <v>498</v>
      </c>
      <c r="C15" s="3" t="s">
        <v>412</v>
      </c>
      <c r="D15" s="4">
        <v>6207.3362520809242</v>
      </c>
      <c r="E15" s="4">
        <v>5104.6123906516686</v>
      </c>
      <c r="F15" s="4">
        <v>5211.1189744247631</v>
      </c>
      <c r="G15" s="4">
        <v>4772.541591640419</v>
      </c>
      <c r="H15" s="4">
        <v>3832.1735735679467</v>
      </c>
      <c r="I15" s="4">
        <v>1275.0886117278926</v>
      </c>
      <c r="J15" s="4">
        <v>1060.0824921123392</v>
      </c>
      <c r="K15" s="4">
        <v>3373.9213258595278</v>
      </c>
      <c r="L15" s="4">
        <v>2250.0643743201958</v>
      </c>
      <c r="M15" s="4">
        <v>1394.2187826230365</v>
      </c>
      <c r="N15" s="4"/>
      <c r="O15" s="4"/>
      <c r="P15" s="4"/>
      <c r="Q15" s="4"/>
      <c r="R15" s="4"/>
      <c r="S15" s="3" t="s">
        <v>4</v>
      </c>
      <c r="T15" s="3" t="s">
        <v>12</v>
      </c>
      <c r="W15" s="8">
        <f t="shared" ref="W15" si="46">_xlfn.RANK.EQ(D15,$D15:$R15,1)</f>
        <v>3</v>
      </c>
      <c r="X15" s="8">
        <f t="shared" ref="X15" si="47">_xlfn.RANK.EQ(E15,$D15:$R15,1)</f>
        <v>4</v>
      </c>
      <c r="Y15" s="8">
        <f t="shared" ref="Y15" si="48">_xlfn.RANK.EQ(F15,$D15:$R15,1)</f>
        <v>6</v>
      </c>
      <c r="Z15" s="8">
        <f t="shared" ref="Z15" si="49">_xlfn.RANK.EQ(G15,$D15:$R15,1)</f>
        <v>1</v>
      </c>
      <c r="AA15" s="8">
        <f t="shared" ref="AA15" si="50">_xlfn.RANK.EQ(H15,$D15:$R15,1)</f>
        <v>9</v>
      </c>
      <c r="AB15" s="8">
        <f t="shared" ref="AB15" si="51">_xlfn.RANK.EQ(I15,$D15:$R15,1)</f>
        <v>7</v>
      </c>
      <c r="AC15" s="8">
        <f t="shared" ref="AC15" si="52">_xlfn.RANK.EQ(J15,$D15:$R15,1)</f>
        <v>5</v>
      </c>
      <c r="AD15" s="8">
        <f t="shared" ref="AD15" si="53">_xlfn.RANK.EQ(K15,$D15:$R15,1)</f>
        <v>2</v>
      </c>
      <c r="AE15" s="8">
        <f t="shared" ref="AE15" si="54">_xlfn.RANK.EQ(L15,$D15:$R15,1)</f>
        <v>8</v>
      </c>
      <c r="AF15" s="8" t="e">
        <f t="shared" ref="AF15" si="55">_xlfn.RANK.EQ(M15,$D15:$R15,1)</f>
        <v>#N/A</v>
      </c>
      <c r="AG15" s="8" t="e">
        <f t="shared" ref="AG15" si="56">_xlfn.RANK.EQ(N15,$D15:$R15,1)</f>
        <v>#N/A</v>
      </c>
      <c r="AH15" s="8" t="e">
        <f t="shared" ref="AH15" si="57">_xlfn.RANK.EQ(O15,$D15:$R15,1)</f>
        <v>#N/A</v>
      </c>
      <c r="AI15" s="8" t="e">
        <f t="shared" ref="AI15" si="58">_xlfn.RANK.EQ(P15,$D15:$R15,1)</f>
        <v>#N/A</v>
      </c>
      <c r="AJ15" s="8" t="e">
        <f t="shared" ref="AJ15" si="59">_xlfn.RANK.EQ(Q15,$D15:$R15,1)</f>
        <v>#N/A</v>
      </c>
      <c r="AK15" s="8" t="e">
        <f t="shared" ref="AK15" si="60">_xlfn.RANK.EQ(R15,$D15:$R15,1)</f>
        <v>#N/A</v>
      </c>
    </row>
    <row xmlns:x14ac="http://schemas.microsoft.com/office/spreadsheetml/2009/9/ac" r="16" x14ac:dyDescent="0.3">
      <c r="A16" s="19"/>
      <c r="B16" s="16" t="s">
        <v>498</v>
      </c>
      <c r="C16" s="10" t="s">
        <v>413</v>
      </c>
      <c r="D16" s="9">
        <v>186.09264789037812</v>
      </c>
      <c r="E16" s="9">
        <v>698.77518581851825</v>
      </c>
      <c r="F16" s="9">
        <v>76.226739139845151</v>
      </c>
      <c r="G16" s="9">
        <v>80.719915134282374</v>
      </c>
      <c r="H16" s="9">
        <v>252.91839243556825</v>
      </c>
      <c r="I16" s="9">
        <v>89.489827039145936</v>
      </c>
      <c r="J16" s="9">
        <v>73.623045007405111</v>
      </c>
      <c r="K16" s="9">
        <v>478.53628901939942</v>
      </c>
      <c r="L16" s="9">
        <v>458.73523232857963</v>
      </c>
      <c r="M16" s="9">
        <v>399.80002759539906</v>
      </c>
      <c r="N16" s="9"/>
      <c r="O16" s="9"/>
      <c r="P16" s="9"/>
      <c r="Q16" s="9"/>
      <c r="R16" s="9"/>
      <c r="S16" s="5"/>
      <c r="T16" s="5" t="s">
        <v>13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xmlns:x14ac="http://schemas.microsoft.com/office/spreadsheetml/2009/9/ac" r="17" x14ac:dyDescent="0.3">
      <c r="A17" s="21"/>
      <c r="B17" s="17" t="s">
        <v>498</v>
      </c>
      <c r="C17" s="6" t="s">
        <v>414</v>
      </c>
      <c r="D17" s="7">
        <v>0.16666666666666666</v>
      </c>
      <c r="E17" s="7">
        <v>0.171875</v>
      </c>
      <c r="F17" s="7">
        <v>0.375</v>
      </c>
      <c r="G17" s="7">
        <v>0.40104166666666669</v>
      </c>
      <c r="H17" s="7">
        <v>0.41145833333333331</v>
      </c>
      <c r="I17" s="7">
        <v>0.16666666666666666</v>
      </c>
      <c r="J17" s="7">
        <v>0.16666666666666666</v>
      </c>
      <c r="K17" s="7">
        <v>0.15104166666666666</v>
      </c>
      <c r="L17" s="7">
        <v>0.5541666666666667</v>
      </c>
      <c r="M17" s="7">
        <v>0.1640625</v>
      </c>
      <c r="N17" s="7"/>
      <c r="O17" s="7"/>
      <c r="P17" s="7"/>
      <c r="Q17" s="7"/>
      <c r="R17" s="7"/>
      <c r="S17" s="6"/>
      <c r="T17" s="6" t="s">
        <v>14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xmlns:x14ac="http://schemas.microsoft.com/office/spreadsheetml/2009/9/ac" r="18" x14ac:dyDescent="0.3">
      <c r="A18" s="22" t="s">
        <v>21</v>
      </c>
      <c r="B18" s="15" t="s">
        <v>499</v>
      </c>
      <c r="C18" s="3" t="s">
        <v>412</v>
      </c>
      <c r="D18" s="4">
        <v>8412664210.1392708</v>
      </c>
      <c r="E18" s="4">
        <v>8755181593.9829693</v>
      </c>
      <c r="F18" s="4">
        <v>4900461082.2437553</v>
      </c>
      <c r="G18" s="4">
        <v>4773630549.2257147</v>
      </c>
      <c r="H18" s="4">
        <v>2670135953.8098435</v>
      </c>
      <c r="I18" s="4">
        <v>4496098.9008295676</v>
      </c>
      <c r="J18" s="4">
        <v>7747.6387243439094</v>
      </c>
      <c r="K18" s="4">
        <v>4465217.0400633169</v>
      </c>
      <c r="L18" s="4">
        <v>5598.8196464564035</v>
      </c>
      <c r="M18" s="4">
        <v>3809960.0014694952</v>
      </c>
      <c r="N18" s="4"/>
      <c r="O18" s="4"/>
      <c r="P18" s="4"/>
      <c r="Q18" s="4"/>
      <c r="R18" s="4"/>
      <c r="S18" s="3" t="s">
        <v>5</v>
      </c>
      <c r="T18" s="3" t="s">
        <v>12</v>
      </c>
      <c r="W18" s="8">
        <f t="shared" ref="W18" si="61">_xlfn.RANK.EQ(D18,$D18:$R18,1)</f>
        <v>1</v>
      </c>
      <c r="X18" s="8">
        <f t="shared" ref="X18" si="62">_xlfn.RANK.EQ(E18,$D18:$R18,1)</f>
        <v>4</v>
      </c>
      <c r="Y18" s="8">
        <f t="shared" ref="Y18" si="63">_xlfn.RANK.EQ(F18,$D18:$R18,1)</f>
        <v>3</v>
      </c>
      <c r="Z18" s="8">
        <f t="shared" ref="Z18" si="64">_xlfn.RANK.EQ(G18,$D18:$R18,1)</f>
        <v>7</v>
      </c>
      <c r="AA18" s="8">
        <f t="shared" ref="AA18" si="65">_xlfn.RANK.EQ(H18,$D18:$R18,1)</f>
        <v>9</v>
      </c>
      <c r="AB18" s="8">
        <f t="shared" ref="AB18" si="66">_xlfn.RANK.EQ(I18,$D18:$R18,1)</f>
        <v>6</v>
      </c>
      <c r="AC18" s="8">
        <f t="shared" ref="AC18" si="67">_xlfn.RANK.EQ(J18,$D18:$R18,1)</f>
        <v>2</v>
      </c>
      <c r="AD18" s="8">
        <f t="shared" ref="AD18" si="68">_xlfn.RANK.EQ(K18,$D18:$R18,1)</f>
        <v>5</v>
      </c>
      <c r="AE18" s="8">
        <f t="shared" ref="AE18" si="69">_xlfn.RANK.EQ(L18,$D18:$R18,1)</f>
        <v>8</v>
      </c>
      <c r="AF18" s="8" t="e">
        <f t="shared" ref="AF18" si="70">_xlfn.RANK.EQ(M18,$D18:$R18,1)</f>
        <v>#N/A</v>
      </c>
      <c r="AG18" s="8" t="e">
        <f t="shared" ref="AG18" si="71">_xlfn.RANK.EQ(N18,$D18:$R18,1)</f>
        <v>#N/A</v>
      </c>
      <c r="AH18" s="8" t="e">
        <f t="shared" ref="AH18" si="72">_xlfn.RANK.EQ(O18,$D18:$R18,1)</f>
        <v>#N/A</v>
      </c>
      <c r="AI18" s="8" t="e">
        <f t="shared" ref="AI18" si="73">_xlfn.RANK.EQ(P18,$D18:$R18,1)</f>
        <v>#N/A</v>
      </c>
      <c r="AJ18" s="8" t="e">
        <f t="shared" ref="AJ18" si="74">_xlfn.RANK.EQ(Q18,$D18:$R18,1)</f>
        <v>#N/A</v>
      </c>
      <c r="AK18" s="8" t="e">
        <f t="shared" ref="AK18" si="75">_xlfn.RANK.EQ(R18,$D18:$R18,1)</f>
        <v>#N/A</v>
      </c>
    </row>
    <row xmlns:x14ac="http://schemas.microsoft.com/office/spreadsheetml/2009/9/ac" r="19" x14ac:dyDescent="0.3">
      <c r="A19" s="19"/>
      <c r="B19" s="16" t="s">
        <v>499</v>
      </c>
      <c r="C19" s="10" t="s">
        <v>413</v>
      </c>
      <c r="D19" s="9">
        <v>374266303.02159894</v>
      </c>
      <c r="E19" s="9">
        <v>155132787.44972989</v>
      </c>
      <c r="F19" s="9">
        <v>1137530472.2654462</v>
      </c>
      <c r="G19" s="9">
        <v>1867020312.9529064</v>
      </c>
      <c r="H19" s="9">
        <v>2025693780.0806582</v>
      </c>
      <c r="I19" s="9">
        <v>7741738.4480511006</v>
      </c>
      <c r="J19" s="9">
        <v>7057.0640187647859</v>
      </c>
      <c r="K19" s="9">
        <v>1243576.3913703186</v>
      </c>
      <c r="L19" s="9">
        <v>3399.3758193245258</v>
      </c>
      <c r="M19" s="9">
        <v>8310632.5272975378</v>
      </c>
      <c r="N19" s="9"/>
      <c r="O19" s="9"/>
      <c r="P19" s="9"/>
      <c r="Q19" s="9"/>
      <c r="R19" s="9"/>
      <c r="S19" s="5"/>
      <c r="T19" s="5" t="s">
        <v>13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xmlns:x14ac="http://schemas.microsoft.com/office/spreadsheetml/2009/9/ac" r="20" x14ac:dyDescent="0.3">
      <c r="A20" s="19"/>
      <c r="B20" s="17" t="s">
        <v>499</v>
      </c>
      <c r="C20" s="6" t="s">
        <v>414</v>
      </c>
      <c r="D20" s="7">
        <v>0.14583333333333334</v>
      </c>
      <c r="E20" s="7">
        <v>0.171875</v>
      </c>
      <c r="F20" s="7">
        <v>0.34895833333333331</v>
      </c>
      <c r="G20" s="7">
        <v>0.34375</v>
      </c>
      <c r="H20" s="7">
        <v>0.38541666666666669</v>
      </c>
      <c r="I20" s="7">
        <v>0.15104166666666666</v>
      </c>
      <c r="J20" s="7">
        <v>0.171875</v>
      </c>
      <c r="K20" s="7">
        <v>0.14583333333333334</v>
      </c>
      <c r="L20" s="7">
        <v>0.5307291666666667</v>
      </c>
      <c r="M20" s="7">
        <v>0.16666666666666666</v>
      </c>
      <c r="N20" s="7"/>
      <c r="O20" s="7"/>
      <c r="P20" s="7"/>
      <c r="Q20" s="7"/>
      <c r="R20" s="7"/>
      <c r="S20" s="6"/>
      <c r="T20" s="6" t="s">
        <v>14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xmlns:x14ac="http://schemas.microsoft.com/office/spreadsheetml/2009/9/ac" r="21" x14ac:dyDescent="0.3">
      <c r="A21" s="19"/>
      <c r="B21" s="15" t="s">
        <v>500</v>
      </c>
      <c r="C21" s="3" t="s">
        <v>412</v>
      </c>
      <c r="D21" s="4">
        <v>2589.4430962675183</v>
      </c>
      <c r="E21" s="4">
        <v>2502.7290351597385</v>
      </c>
      <c r="F21" s="4">
        <v>2524.5860852535384</v>
      </c>
      <c r="G21" s="4">
        <v>2355.2442309677685</v>
      </c>
      <c r="H21" s="4">
        <v>2334.0536739008226</v>
      </c>
      <c r="I21" s="4">
        <v>2102.3032342026067</v>
      </c>
      <c r="J21" s="4">
        <v>2069.2529628778611</v>
      </c>
      <c r="K21" s="4">
        <v>2174.2172890216539</v>
      </c>
      <c r="L21" s="4">
        <v>2179.8579593552377</v>
      </c>
      <c r="M21" s="4">
        <v>2102.6807358701944</v>
      </c>
      <c r="N21" s="4"/>
      <c r="O21" s="4"/>
      <c r="P21" s="4"/>
      <c r="Q21" s="4"/>
      <c r="R21" s="4"/>
      <c r="S21" s="3" t="s">
        <v>6</v>
      </c>
      <c r="T21" s="3" t="s">
        <v>12</v>
      </c>
      <c r="W21" s="8">
        <f t="shared" ref="W21" si="76">_xlfn.RANK.EQ(D21,$D21:$R21,1)</f>
        <v>4</v>
      </c>
      <c r="X21" s="8">
        <f t="shared" ref="X21" si="77">_xlfn.RANK.EQ(E21,$D21:$R21,1)</f>
        <v>3</v>
      </c>
      <c r="Y21" s="8">
        <f t="shared" ref="Y21" si="78">_xlfn.RANK.EQ(F21,$D21:$R21,1)</f>
        <v>7</v>
      </c>
      <c r="Z21" s="8">
        <f t="shared" ref="Z21" si="79">_xlfn.RANK.EQ(G21,$D21:$R21,1)</f>
        <v>2</v>
      </c>
      <c r="AA21" s="8">
        <f t="shared" ref="AA21" si="80">_xlfn.RANK.EQ(H21,$D21:$R21,1)</f>
        <v>8</v>
      </c>
      <c r="AB21" s="8">
        <f t="shared" ref="AB21" si="81">_xlfn.RANK.EQ(I21,$D21:$R21,1)</f>
        <v>6</v>
      </c>
      <c r="AC21" s="8">
        <f t="shared" ref="AC21" si="82">_xlfn.RANK.EQ(J21,$D21:$R21,1)</f>
        <v>9</v>
      </c>
      <c r="AD21" s="8">
        <f t="shared" ref="AD21" si="83">_xlfn.RANK.EQ(K21,$D21:$R21,1)</f>
        <v>1</v>
      </c>
      <c r="AE21" s="8">
        <f t="shared" ref="AE21" si="84">_xlfn.RANK.EQ(L21,$D21:$R21,1)</f>
        <v>5</v>
      </c>
      <c r="AF21" s="8" t="e">
        <f t="shared" ref="AF21" si="85">_xlfn.RANK.EQ(M21,$D21:$R21,1)</f>
        <v>#N/A</v>
      </c>
      <c r="AG21" s="8" t="e">
        <f t="shared" ref="AG21" si="86">_xlfn.RANK.EQ(N21,$D21:$R21,1)</f>
        <v>#N/A</v>
      </c>
      <c r="AH21" s="8" t="e">
        <f t="shared" ref="AH21" si="87">_xlfn.RANK.EQ(O21,$D21:$R21,1)</f>
        <v>#N/A</v>
      </c>
      <c r="AI21" s="8" t="e">
        <f t="shared" ref="AI21" si="88">_xlfn.RANK.EQ(P21,$D21:$R21,1)</f>
        <v>#N/A</v>
      </c>
      <c r="AJ21" s="8" t="e">
        <f t="shared" ref="AJ21" si="89">_xlfn.RANK.EQ(Q21,$D21:$R21,1)</f>
        <v>#N/A</v>
      </c>
      <c r="AK21" s="8" t="e">
        <f t="shared" ref="AK21" si="90">_xlfn.RANK.EQ(R21,$D21:$R21,1)</f>
        <v>#N/A</v>
      </c>
    </row>
    <row xmlns:x14ac="http://schemas.microsoft.com/office/spreadsheetml/2009/9/ac" r="22" x14ac:dyDescent="0.3">
      <c r="A22" s="19"/>
      <c r="B22" s="16" t="s">
        <v>500</v>
      </c>
      <c r="C22" s="10" t="s">
        <v>413</v>
      </c>
      <c r="D22" s="9">
        <v>66.827814479778539</v>
      </c>
      <c r="E22" s="9">
        <v>35.88046911147363</v>
      </c>
      <c r="F22" s="9">
        <v>26.612540913081585</v>
      </c>
      <c r="G22" s="9">
        <v>37.064370547755793</v>
      </c>
      <c r="H22" s="9">
        <v>93.511302393303254</v>
      </c>
      <c r="I22" s="9">
        <v>61.59539533912821</v>
      </c>
      <c r="J22" s="9">
        <v>69.003547346567217</v>
      </c>
      <c r="K22" s="9">
        <v>46.798945892214078</v>
      </c>
      <c r="L22" s="9">
        <v>90.221893666576875</v>
      </c>
      <c r="M22" s="9">
        <v>43.413967311898844</v>
      </c>
      <c r="N22" s="9"/>
      <c r="O22" s="9"/>
      <c r="P22" s="9"/>
      <c r="Q22" s="9"/>
      <c r="R22" s="9"/>
      <c r="S22" s="5"/>
      <c r="T22" s="5" t="s">
        <v>13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xmlns:x14ac="http://schemas.microsoft.com/office/spreadsheetml/2009/9/ac" r="23" x14ac:dyDescent="0.3">
      <c r="A23" s="19"/>
      <c r="B23" s="17" t="s">
        <v>500</v>
      </c>
      <c r="C23" s="6" t="s">
        <v>414</v>
      </c>
      <c r="D23" s="7">
        <v>0.24479166666666666</v>
      </c>
      <c r="E23" s="7">
        <v>0.234375</v>
      </c>
      <c r="F23" s="7">
        <v>0.64583333333333337</v>
      </c>
      <c r="G23" s="7">
        <v>0.61979166666666663</v>
      </c>
      <c r="H23" s="7">
        <v>0.67708333333333337</v>
      </c>
      <c r="I23" s="7">
        <v>0.26041666666666669</v>
      </c>
      <c r="J23" s="7">
        <v>0.265625</v>
      </c>
      <c r="K23" s="7">
        <v>0.22916666666666666</v>
      </c>
      <c r="L23" s="7">
        <v>0.61354166666666665</v>
      </c>
      <c r="M23" s="7">
        <v>0.26145833333333335</v>
      </c>
      <c r="N23" s="7"/>
      <c r="O23" s="7"/>
      <c r="P23" s="7"/>
      <c r="Q23" s="7"/>
      <c r="R23" s="7"/>
      <c r="S23" s="6"/>
      <c r="T23" s="6" t="s">
        <v>14</v>
      </c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xmlns:x14ac="http://schemas.microsoft.com/office/spreadsheetml/2009/9/ac" r="24" x14ac:dyDescent="0.3">
      <c r="A24" s="19"/>
      <c r="B24" s="15" t="s">
        <v>501</v>
      </c>
      <c r="C24" s="3" t="s">
        <v>412</v>
      </c>
      <c r="D24" s="4">
        <v>159185.27461583988</v>
      </c>
      <c r="E24" s="4">
        <v>5637.3688442981002</v>
      </c>
      <c r="F24" s="4">
        <v>9729.8314713404816</v>
      </c>
      <c r="G24" s="4">
        <v>3742.354780736805</v>
      </c>
      <c r="H24" s="4">
        <v>7234.176984109582</v>
      </c>
      <c r="I24" s="4">
        <v>2229.3597450783273</v>
      </c>
      <c r="J24" s="4">
        <v>2236.5755113259142</v>
      </c>
      <c r="K24" s="4">
        <v>2283.4535772324639</v>
      </c>
      <c r="L24" s="4">
        <v>2431.7105101930711</v>
      </c>
      <c r="M24" s="4">
        <v>2271.232663252059</v>
      </c>
      <c r="N24" s="4"/>
      <c r="O24" s="4"/>
      <c r="P24" s="4"/>
      <c r="Q24" s="4"/>
      <c r="R24" s="4"/>
      <c r="S24" s="3" t="s">
        <v>7</v>
      </c>
      <c r="T24" s="3" t="s">
        <v>12</v>
      </c>
      <c r="W24" s="8">
        <f t="shared" ref="W24" si="91">_xlfn.RANK.EQ(D24,$D24:$R24,1)</f>
        <v>4</v>
      </c>
      <c r="X24" s="8">
        <f t="shared" ref="X24" si="92">_xlfn.RANK.EQ(E24,$D24:$R24,1)</f>
        <v>3</v>
      </c>
      <c r="Y24" s="8">
        <f t="shared" ref="Y24" si="93">_xlfn.RANK.EQ(F24,$D24:$R24,1)</f>
        <v>8</v>
      </c>
      <c r="Z24" s="8">
        <f t="shared" ref="Z24" si="94">_xlfn.RANK.EQ(G24,$D24:$R24,1)</f>
        <v>1</v>
      </c>
      <c r="AA24" s="8">
        <f t="shared" ref="AA24" si="95">_xlfn.RANK.EQ(H24,$D24:$R24,1)</f>
        <v>7</v>
      </c>
      <c r="AB24" s="8">
        <f t="shared" ref="AB24" si="96">_xlfn.RANK.EQ(I24,$D24:$R24,1)</f>
        <v>6</v>
      </c>
      <c r="AC24" s="8">
        <f t="shared" ref="AC24" si="97">_xlfn.RANK.EQ(J24,$D24:$R24,1)</f>
        <v>9</v>
      </c>
      <c r="AD24" s="8">
        <f t="shared" ref="AD24" si="98">_xlfn.RANK.EQ(K24,$D24:$R24,1)</f>
        <v>2</v>
      </c>
      <c r="AE24" s="8">
        <f t="shared" ref="AE24" si="99">_xlfn.RANK.EQ(L24,$D24:$R24,1)</f>
        <v>5</v>
      </c>
      <c r="AF24" s="8" t="e">
        <f t="shared" ref="AF24" si="100">_xlfn.RANK.EQ(M24,$D24:$R24,1)</f>
        <v>#N/A</v>
      </c>
      <c r="AG24" s="8" t="e">
        <f t="shared" ref="AG24" si="101">_xlfn.RANK.EQ(N24,$D24:$R24,1)</f>
        <v>#N/A</v>
      </c>
      <c r="AH24" s="8" t="e">
        <f t="shared" ref="AH24" si="102">_xlfn.RANK.EQ(O24,$D24:$R24,1)</f>
        <v>#N/A</v>
      </c>
      <c r="AI24" s="8" t="e">
        <f t="shared" ref="AI24" si="103">_xlfn.RANK.EQ(P24,$D24:$R24,1)</f>
        <v>#N/A</v>
      </c>
      <c r="AJ24" s="8" t="e">
        <f t="shared" ref="AJ24" si="104">_xlfn.RANK.EQ(Q24,$D24:$R24,1)</f>
        <v>#N/A</v>
      </c>
      <c r="AK24" s="8" t="e">
        <f t="shared" ref="AK24" si="105">_xlfn.RANK.EQ(R24,$D24:$R24,1)</f>
        <v>#N/A</v>
      </c>
    </row>
    <row xmlns:x14ac="http://schemas.microsoft.com/office/spreadsheetml/2009/9/ac" r="25" x14ac:dyDescent="0.3">
      <c r="A25" s="19"/>
      <c r="B25" s="16" t="s">
        <v>501</v>
      </c>
      <c r="C25" s="10" t="s">
        <v>413</v>
      </c>
      <c r="D25" s="9">
        <v>10813.675479163277</v>
      </c>
      <c r="E25" s="9">
        <v>517.46231410707969</v>
      </c>
      <c r="F25" s="9">
        <v>4999.4617481379692</v>
      </c>
      <c r="G25" s="9">
        <v>947.77132382367984</v>
      </c>
      <c r="H25" s="9">
        <v>5167.0055940646744</v>
      </c>
      <c r="I25" s="9">
        <v>1.8579181864037859</v>
      </c>
      <c r="J25" s="9">
        <v>11.090012178591254</v>
      </c>
      <c r="K25" s="9">
        <v>56.071917025435745</v>
      </c>
      <c r="L25" s="9">
        <v>203.82175319240804</v>
      </c>
      <c r="M25" s="9">
        <v>57.093224553400546</v>
      </c>
      <c r="N25" s="9"/>
      <c r="O25" s="9"/>
      <c r="P25" s="9"/>
      <c r="Q25" s="9"/>
      <c r="R25" s="9"/>
      <c r="S25" s="5"/>
      <c r="T25" s="5" t="s">
        <v>13</v>
      </c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xmlns:x14ac="http://schemas.microsoft.com/office/spreadsheetml/2009/9/ac" r="26" x14ac:dyDescent="0.3">
      <c r="A26" s="21"/>
      <c r="B26" s="17" t="s">
        <v>501</v>
      </c>
      <c r="C26" s="6" t="s">
        <v>414</v>
      </c>
      <c r="D26" s="7">
        <v>0.23958333333333334</v>
      </c>
      <c r="E26" s="7">
        <v>0.23958333333333334</v>
      </c>
      <c r="F26" s="7">
        <v>0.703125</v>
      </c>
      <c r="G26" s="7">
        <v>0.6875</v>
      </c>
      <c r="H26" s="7">
        <v>0.671875</v>
      </c>
      <c r="I26" s="7">
        <v>0.27604166666666669</v>
      </c>
      <c r="J26" s="7">
        <v>0.28125</v>
      </c>
      <c r="K26" s="7">
        <v>0.25</v>
      </c>
      <c r="L26" s="7">
        <v>0.671875</v>
      </c>
      <c r="M26" s="7">
        <v>0.27187499999999998</v>
      </c>
      <c r="N26" s="7"/>
      <c r="O26" s="7"/>
      <c r="P26" s="7"/>
      <c r="Q26" s="7"/>
      <c r="R26" s="7"/>
      <c r="S26" s="6"/>
      <c r="T26" s="6" t="s">
        <v>14</v>
      </c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xmlns:x14ac="http://schemas.microsoft.com/office/spreadsheetml/2009/9/ac" r="27" x14ac:dyDescent="0.3">
      <c r="A27" s="22" t="s">
        <v>16</v>
      </c>
      <c r="B27" s="15" t="s">
        <v>502</v>
      </c>
      <c r="C27" s="3" t="s">
        <v>412</v>
      </c>
      <c r="D27" s="4">
        <v>6070.6423860203904</v>
      </c>
      <c r="E27" s="4">
        <v>6144.66831146604</v>
      </c>
      <c r="F27" s="4">
        <v>4270.8204212399096</v>
      </c>
      <c r="G27" s="4">
        <v>3661.6751788277747</v>
      </c>
      <c r="H27" s="4">
        <v>4795.1627709525046</v>
      </c>
      <c r="I27" s="4">
        <v>2520.4305625900383</v>
      </c>
      <c r="J27" s="4">
        <v>2487.9932796284288</v>
      </c>
      <c r="K27" s="4">
        <v>2494.1099616375727</v>
      </c>
      <c r="L27" s="4">
        <v>2489.2430396317727</v>
      </c>
      <c r="M27" s="4">
        <v>2524.2893649187217</v>
      </c>
      <c r="N27" s="4"/>
      <c r="O27" s="4"/>
      <c r="P27" s="4"/>
      <c r="Q27" s="4"/>
      <c r="R27" s="4"/>
      <c r="S27" s="3" t="s">
        <v>8</v>
      </c>
      <c r="T27" s="3" t="s">
        <v>12</v>
      </c>
      <c r="W27" s="8">
        <f t="shared" ref="W27" si="106">_xlfn.RANK.EQ(D27,$D27:$R27,1)</f>
        <v>1</v>
      </c>
      <c r="X27" s="8">
        <f t="shared" ref="X27" si="107">_xlfn.RANK.EQ(E27,$D27:$R27,1)</f>
        <v>3</v>
      </c>
      <c r="Y27" s="8">
        <f t="shared" ref="Y27" si="108">_xlfn.RANK.EQ(F27,$D27:$R27,1)</f>
        <v>5</v>
      </c>
      <c r="Z27" s="8">
        <f t="shared" ref="Z27" si="109">_xlfn.RANK.EQ(G27,$D27:$R27,1)</f>
        <v>2</v>
      </c>
      <c r="AA27" s="8">
        <f t="shared" ref="AA27" si="110">_xlfn.RANK.EQ(H27,$D27:$R27,1)</f>
        <v>8</v>
      </c>
      <c r="AB27" s="8">
        <f t="shared" ref="AB27" si="111">_xlfn.RANK.EQ(I27,$D27:$R27,1)</f>
        <v>7</v>
      </c>
      <c r="AC27" s="8">
        <f t="shared" ref="AC27" si="112">_xlfn.RANK.EQ(J27,$D27:$R27,1)</f>
        <v>9</v>
      </c>
      <c r="AD27" s="8">
        <f t="shared" ref="AD27" si="113">_xlfn.RANK.EQ(K27,$D27:$R27,1)</f>
        <v>4</v>
      </c>
      <c r="AE27" s="8">
        <f t="shared" ref="AE27" si="114">_xlfn.RANK.EQ(L27,$D27:$R27,1)</f>
        <v>6</v>
      </c>
      <c r="AF27" s="8" t="e">
        <f t="shared" ref="AF27" si="115">_xlfn.RANK.EQ(M27,$D27:$R27,1)</f>
        <v>#N/A</v>
      </c>
      <c r="AG27" s="8" t="e">
        <f t="shared" ref="AG27" si="116">_xlfn.RANK.EQ(N27,$D27:$R27,1)</f>
        <v>#N/A</v>
      </c>
      <c r="AH27" s="8" t="e">
        <f t="shared" ref="AH27" si="117">_xlfn.RANK.EQ(O27,$D27:$R27,1)</f>
        <v>#N/A</v>
      </c>
      <c r="AI27" s="8" t="e">
        <f t="shared" ref="AI27" si="118">_xlfn.RANK.EQ(P27,$D27:$R27,1)</f>
        <v>#N/A</v>
      </c>
      <c r="AJ27" s="8" t="e">
        <f t="shared" ref="AJ27" si="119">_xlfn.RANK.EQ(Q27,$D27:$R27,1)</f>
        <v>#N/A</v>
      </c>
      <c r="AK27" s="8" t="e">
        <f t="shared" ref="AK27" si="120">_xlfn.RANK.EQ(R27,$D27:$R27,1)</f>
        <v>#N/A</v>
      </c>
    </row>
    <row xmlns:x14ac="http://schemas.microsoft.com/office/spreadsheetml/2009/9/ac" r="28" x14ac:dyDescent="0.3">
      <c r="A28" s="19"/>
      <c r="B28" s="16" t="s">
        <v>502</v>
      </c>
      <c r="C28" s="10" t="s">
        <v>413</v>
      </c>
      <c r="D28" s="9">
        <v>443.81006852795645</v>
      </c>
      <c r="E28" s="9">
        <v>397.96816386981368</v>
      </c>
      <c r="F28" s="9">
        <v>517.46471023498259</v>
      </c>
      <c r="G28" s="9">
        <v>549.25412404966892</v>
      </c>
      <c r="H28" s="9">
        <v>573.84657805089228</v>
      </c>
      <c r="I28" s="9">
        <v>15.708168230704468</v>
      </c>
      <c r="J28" s="9">
        <v>2.6836552851165254</v>
      </c>
      <c r="K28" s="9">
        <v>9.0259855770554669</v>
      </c>
      <c r="L28" s="9">
        <v>4.6021075159511335</v>
      </c>
      <c r="M28" s="9">
        <v>34.642107032663198</v>
      </c>
      <c r="N28" s="9"/>
      <c r="O28" s="9"/>
      <c r="P28" s="9"/>
      <c r="Q28" s="9"/>
      <c r="R28" s="9"/>
      <c r="S28" s="5"/>
      <c r="T28" s="5" t="s">
        <v>13</v>
      </c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xmlns:x14ac="http://schemas.microsoft.com/office/spreadsheetml/2009/9/ac" r="29" x14ac:dyDescent="0.3">
      <c r="A29" s="19"/>
      <c r="B29" s="17" t="s">
        <v>502</v>
      </c>
      <c r="C29" s="6" t="s">
        <v>414</v>
      </c>
      <c r="D29" s="7">
        <v>0.20833333333333334</v>
      </c>
      <c r="E29" s="7">
        <v>0.20833333333333334</v>
      </c>
      <c r="F29" s="7">
        <v>0.59375</v>
      </c>
      <c r="G29" s="7">
        <v>0.57291666666666663</v>
      </c>
      <c r="H29" s="7">
        <v>0.58854166666666663</v>
      </c>
      <c r="I29" s="7">
        <v>0.234375</v>
      </c>
      <c r="J29" s="7">
        <v>0.25520833333333331</v>
      </c>
      <c r="K29" s="7">
        <v>0.22395833333333334</v>
      </c>
      <c r="L29" s="7">
        <v>0.58802083333333333</v>
      </c>
      <c r="M29" s="7">
        <v>0.24270833333333333</v>
      </c>
      <c r="N29" s="7"/>
      <c r="O29" s="7"/>
      <c r="P29" s="7"/>
      <c r="Q29" s="7"/>
      <c r="R29" s="7"/>
      <c r="S29" s="6"/>
      <c r="T29" s="6" t="s">
        <v>14</v>
      </c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xmlns:x14ac="http://schemas.microsoft.com/office/spreadsheetml/2009/9/ac" r="30" x14ac:dyDescent="0.3">
      <c r="A30" s="19"/>
      <c r="B30" s="15" t="s">
        <v>503</v>
      </c>
      <c r="C30" s="3" t="s">
        <v>412</v>
      </c>
      <c r="D30" s="4">
        <v>8075.3223576265736</v>
      </c>
      <c r="E30" s="4">
        <v>8512.0136376420251</v>
      </c>
      <c r="F30" s="4">
        <v>8292.8421495716048</v>
      </c>
      <c r="G30" s="4">
        <v>7517.6373477132029</v>
      </c>
      <c r="H30" s="4">
        <v>6840.8874350304204</v>
      </c>
      <c r="I30" s="4">
        <v>4196.1553119570399</v>
      </c>
      <c r="J30" s="4">
        <v>3244.0228389332983</v>
      </c>
      <c r="K30" s="4">
        <v>2438.0694107199711</v>
      </c>
      <c r="L30" s="4">
        <v>3981.2643320178845</v>
      </c>
      <c r="M30" s="4">
        <v>3583.1029697585468</v>
      </c>
      <c r="N30" s="4"/>
      <c r="O30" s="4"/>
      <c r="P30" s="4"/>
      <c r="Q30" s="4"/>
      <c r="R30" s="4"/>
      <c r="S30" s="3" t="s">
        <v>9</v>
      </c>
      <c r="T30" s="3" t="s">
        <v>12</v>
      </c>
      <c r="W30" s="8">
        <f t="shared" ref="W30" si="121">_xlfn.RANK.EQ(D30,$D30:$R30,1)</f>
        <v>5</v>
      </c>
      <c r="X30" s="8">
        <f t="shared" ref="X30" si="122">_xlfn.RANK.EQ(E30,$D30:$R30,1)</f>
        <v>4</v>
      </c>
      <c r="Y30" s="8">
        <f t="shared" ref="Y30" si="123">_xlfn.RANK.EQ(F30,$D30:$R30,1)</f>
        <v>6</v>
      </c>
      <c r="Z30" s="8">
        <f t="shared" ref="Z30" si="124">_xlfn.RANK.EQ(G30,$D30:$R30,1)</f>
        <v>2</v>
      </c>
      <c r="AA30" s="8">
        <f t="shared" ref="AA30" si="125">_xlfn.RANK.EQ(H30,$D30:$R30,1)</f>
        <v>9</v>
      </c>
      <c r="AB30" s="8">
        <f t="shared" ref="AB30" si="126">_xlfn.RANK.EQ(I30,$D30:$R30,1)</f>
        <v>7</v>
      </c>
      <c r="AC30" s="8">
        <f t="shared" ref="AC30" si="127">_xlfn.RANK.EQ(J30,$D30:$R30,1)</f>
        <v>8</v>
      </c>
      <c r="AD30" s="8">
        <f t="shared" ref="AD30" si="128">_xlfn.RANK.EQ(K30,$D30:$R30,1)</f>
        <v>3</v>
      </c>
      <c r="AE30" s="8">
        <f t="shared" ref="AE30" si="129">_xlfn.RANK.EQ(L30,$D30:$R30,1)</f>
        <v>1</v>
      </c>
      <c r="AF30" s="8" t="e">
        <f t="shared" ref="AF30" si="130">_xlfn.RANK.EQ(M30,$D30:$R30,1)</f>
        <v>#N/A</v>
      </c>
      <c r="AG30" s="8" t="e">
        <f t="shared" ref="AG30" si="131">_xlfn.RANK.EQ(N30,$D30:$R30,1)</f>
        <v>#N/A</v>
      </c>
      <c r="AH30" s="8" t="e">
        <f t="shared" ref="AH30" si="132">_xlfn.RANK.EQ(O30,$D30:$R30,1)</f>
        <v>#N/A</v>
      </c>
      <c r="AI30" s="8" t="e">
        <f t="shared" ref="AI30" si="133">_xlfn.RANK.EQ(P30,$D30:$R30,1)</f>
        <v>#N/A</v>
      </c>
      <c r="AJ30" s="8" t="e">
        <f t="shared" ref="AJ30" si="134">_xlfn.RANK.EQ(Q30,$D30:$R30,1)</f>
        <v>#N/A</v>
      </c>
      <c r="AK30" s="8" t="e">
        <f t="shared" ref="AK30" si="135">_xlfn.RANK.EQ(R30,$D30:$R30,1)</f>
        <v>#N/A</v>
      </c>
    </row>
    <row xmlns:x14ac="http://schemas.microsoft.com/office/spreadsheetml/2009/9/ac" r="31" x14ac:dyDescent="0.3">
      <c r="A31" s="19"/>
      <c r="B31" s="16" t="s">
        <v>503</v>
      </c>
      <c r="C31" s="10" t="s">
        <v>413</v>
      </c>
      <c r="D31" s="9">
        <v>462.13789555211565</v>
      </c>
      <c r="E31" s="9">
        <v>195.74864078870954</v>
      </c>
      <c r="F31" s="9">
        <v>405.87310817248181</v>
      </c>
      <c r="G31" s="9">
        <v>678.72501149768618</v>
      </c>
      <c r="H31" s="9">
        <v>1796.0345573041707</v>
      </c>
      <c r="I31" s="9">
        <v>2245.8259218472626</v>
      </c>
      <c r="J31" s="9">
        <v>549.71579068688936</v>
      </c>
      <c r="K31" s="9">
        <v>6.5105628268240388</v>
      </c>
      <c r="L31" s="9">
        <v>674.99367651212481</v>
      </c>
      <c r="M31" s="9">
        <v>959.85907007135984</v>
      </c>
      <c r="N31" s="9"/>
      <c r="O31" s="9"/>
      <c r="P31" s="9"/>
      <c r="Q31" s="9"/>
      <c r="R31" s="9"/>
      <c r="S31" s="5"/>
      <c r="T31" s="5" t="s">
        <v>13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xmlns:x14ac="http://schemas.microsoft.com/office/spreadsheetml/2009/9/ac" r="32" x14ac:dyDescent="0.3">
      <c r="A32" s="19"/>
      <c r="B32" s="17" t="s">
        <v>503</v>
      </c>
      <c r="C32" s="6" t="s">
        <v>414</v>
      </c>
      <c r="D32" s="7">
        <v>0.19791666666666666</v>
      </c>
      <c r="E32" s="7">
        <v>0.20833333333333334</v>
      </c>
      <c r="F32" s="7">
        <v>0.49479166666666669</v>
      </c>
      <c r="G32" s="7">
        <v>0.51041666666666663</v>
      </c>
      <c r="H32" s="7">
        <v>0.49479166666666669</v>
      </c>
      <c r="I32" s="7">
        <v>0.1875</v>
      </c>
      <c r="J32" s="7">
        <v>0.21354166666666666</v>
      </c>
      <c r="K32" s="7">
        <v>0.19791666666666666</v>
      </c>
      <c r="L32" s="7">
        <v>0.6567708333333333</v>
      </c>
      <c r="M32" s="7">
        <v>0.23072916666666668</v>
      </c>
      <c r="N32" s="7"/>
      <c r="O32" s="7"/>
      <c r="P32" s="7"/>
      <c r="Q32" s="7"/>
      <c r="R32" s="7"/>
      <c r="S32" s="6"/>
      <c r="T32" s="6" t="s">
        <v>14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xmlns:x14ac="http://schemas.microsoft.com/office/spreadsheetml/2009/9/ac" r="33" x14ac:dyDescent="0.3">
      <c r="A33" s="19"/>
      <c r="B33" s="15" t="s">
        <v>504</v>
      </c>
      <c r="C33" s="3" t="s">
        <v>412</v>
      </c>
      <c r="D33" s="4">
        <v>10592.764787278791</v>
      </c>
      <c r="E33" s="4">
        <v>10437.234420174096</v>
      </c>
      <c r="F33" s="4">
        <v>9836.2090317103393</v>
      </c>
      <c r="G33" s="4">
        <v>9758.1112293160568</v>
      </c>
      <c r="H33" s="4">
        <v>9400.0411767798796</v>
      </c>
      <c r="I33" s="4">
        <v>3640.5149915795846</v>
      </c>
      <c r="J33" s="4">
        <v>3009.1182336034485</v>
      </c>
      <c r="K33" s="4">
        <v>3162.7215563896275</v>
      </c>
      <c r="L33" s="4">
        <v>2925.322534147374</v>
      </c>
      <c r="M33" s="4">
        <v>3582.4617789169329</v>
      </c>
      <c r="N33" s="4"/>
      <c r="O33" s="4"/>
      <c r="P33" s="4"/>
      <c r="Q33" s="4"/>
      <c r="R33" s="4"/>
      <c r="S33" s="3" t="s">
        <v>10</v>
      </c>
      <c r="T33" s="3" t="s">
        <v>12</v>
      </c>
      <c r="W33" s="8">
        <f t="shared" ref="W33" si="136">_xlfn.RANK.EQ(D33,$D33:$R33,1)</f>
        <v>1</v>
      </c>
      <c r="X33" s="8">
        <f t="shared" ref="X33" si="137">_xlfn.RANK.EQ(E33,$D33:$R33,1)</f>
        <v>3</v>
      </c>
      <c r="Y33" s="8">
        <f t="shared" ref="Y33" si="138">_xlfn.RANK.EQ(F33,$D33:$R33,1)</f>
        <v>2</v>
      </c>
      <c r="Z33" s="8">
        <f t="shared" ref="Z33" si="139">_xlfn.RANK.EQ(G33,$D33:$R33,1)</f>
        <v>6</v>
      </c>
      <c r="AA33" s="8">
        <f t="shared" ref="AA33" si="140">_xlfn.RANK.EQ(H33,$D33:$R33,1)</f>
        <v>8</v>
      </c>
      <c r="AB33" s="8">
        <f t="shared" ref="AB33" si="141">_xlfn.RANK.EQ(I33,$D33:$R33,1)</f>
        <v>5</v>
      </c>
      <c r="AC33" s="8">
        <f t="shared" ref="AC33" si="142">_xlfn.RANK.EQ(J33,$D33:$R33,1)</f>
        <v>9</v>
      </c>
      <c r="AD33" s="8">
        <f t="shared" ref="AD33" si="143">_xlfn.RANK.EQ(K33,$D33:$R33,1)</f>
        <v>4</v>
      </c>
      <c r="AE33" s="8">
        <f t="shared" ref="AE33" si="144">_xlfn.RANK.EQ(L33,$D33:$R33,1)</f>
        <v>7</v>
      </c>
      <c r="AF33" s="8" t="e">
        <f t="shared" ref="AF33" si="145">_xlfn.RANK.EQ(M33,$D33:$R33,1)</f>
        <v>#N/A</v>
      </c>
      <c r="AG33" s="8" t="e">
        <f t="shared" ref="AG33" si="146">_xlfn.RANK.EQ(N33,$D33:$R33,1)</f>
        <v>#N/A</v>
      </c>
      <c r="AH33" s="8" t="e">
        <f t="shared" ref="AH33" si="147">_xlfn.RANK.EQ(O33,$D33:$R33,1)</f>
        <v>#N/A</v>
      </c>
      <c r="AI33" s="8" t="e">
        <f t="shared" ref="AI33" si="148">_xlfn.RANK.EQ(P33,$D33:$R33,1)</f>
        <v>#N/A</v>
      </c>
      <c r="AJ33" s="8" t="e">
        <f t="shared" ref="AJ33" si="149">_xlfn.RANK.EQ(Q33,$D33:$R33,1)</f>
        <v>#N/A</v>
      </c>
      <c r="AK33" s="8" t="e">
        <f t="shared" ref="AK33" si="150">_xlfn.RANK.EQ(R33,$D33:$R33,1)</f>
        <v>#N/A</v>
      </c>
    </row>
    <row xmlns:x14ac="http://schemas.microsoft.com/office/spreadsheetml/2009/9/ac" r="34" x14ac:dyDescent="0.3">
      <c r="A34" s="19"/>
      <c r="B34" s="16" t="s">
        <v>504</v>
      </c>
      <c r="C34" s="10" t="s">
        <v>413</v>
      </c>
      <c r="D34" s="9">
        <v>41.200749261018075</v>
      </c>
      <c r="E34" s="9">
        <v>166.74666689792357</v>
      </c>
      <c r="F34" s="9">
        <v>897.98431829193044</v>
      </c>
      <c r="G34" s="9">
        <v>68.652287796623057</v>
      </c>
      <c r="H34" s="9">
        <v>396.73208468354437</v>
      </c>
      <c r="I34" s="9">
        <v>409.42307924047282</v>
      </c>
      <c r="J34" s="9">
        <v>185.43622265269443</v>
      </c>
      <c r="K34" s="9">
        <v>30.909164753321274</v>
      </c>
      <c r="L34" s="9">
        <v>75.635532194589629</v>
      </c>
      <c r="M34" s="9">
        <v>378.51239638899614</v>
      </c>
      <c r="N34" s="9"/>
      <c r="O34" s="9"/>
      <c r="P34" s="9"/>
      <c r="Q34" s="9"/>
      <c r="R34" s="9"/>
      <c r="S34" s="5"/>
      <c r="T34" s="5" t="s">
        <v>13</v>
      </c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xmlns:x14ac="http://schemas.microsoft.com/office/spreadsheetml/2009/9/ac" r="35" x14ac:dyDescent="0.3">
      <c r="A35" s="19"/>
      <c r="B35" s="17" t="s">
        <v>504</v>
      </c>
      <c r="C35" s="6" t="s">
        <v>414</v>
      </c>
      <c r="D35" s="7">
        <v>0.25</v>
      </c>
      <c r="E35" s="7">
        <v>0.24479166666666666</v>
      </c>
      <c r="F35" s="7">
        <v>0.71354166666666663</v>
      </c>
      <c r="G35" s="7">
        <v>0.66666666666666663</v>
      </c>
      <c r="H35" s="7">
        <v>0.671875</v>
      </c>
      <c r="I35" s="7">
        <v>0.27604166666666669</v>
      </c>
      <c r="J35" s="7">
        <v>0.27604166666666669</v>
      </c>
      <c r="K35" s="7">
        <v>0.23958333333333334</v>
      </c>
      <c r="L35" s="7">
        <v>0.69270833333333337</v>
      </c>
      <c r="M35" s="7">
        <v>0.29635416666666664</v>
      </c>
      <c r="N35" s="7"/>
      <c r="O35" s="7"/>
      <c r="P35" s="7"/>
      <c r="Q35" s="7"/>
      <c r="R35" s="7"/>
      <c r="S35" s="6"/>
      <c r="T35" s="6" t="s">
        <v>14</v>
      </c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xmlns:x14ac="http://schemas.microsoft.com/office/spreadsheetml/2009/9/ac" r="36" x14ac:dyDescent="0.3">
      <c r="A36" s="19"/>
      <c r="B36" s="15" t="s">
        <v>505</v>
      </c>
      <c r="C36" s="3" t="s">
        <v>412</v>
      </c>
      <c r="D36" s="4">
        <v>4555.5395573344731</v>
      </c>
      <c r="E36" s="4">
        <v>5568.6546424028375</v>
      </c>
      <c r="F36" s="4">
        <v>4379.9324960832992</v>
      </c>
      <c r="G36" s="4">
        <v>4216.0873809919603</v>
      </c>
      <c r="H36" s="4">
        <v>4379.3933631728396</v>
      </c>
      <c r="I36" s="4">
        <v>2973.3870432292588</v>
      </c>
      <c r="J36" s="4">
        <v>3015.8930522617743</v>
      </c>
      <c r="K36" s="4">
        <v>2974.3333358261757</v>
      </c>
      <c r="L36" s="4">
        <v>3663.0884421215369</v>
      </c>
      <c r="M36" s="4">
        <v>2984.1701290795163</v>
      </c>
      <c r="N36" s="4"/>
      <c r="O36" s="4"/>
      <c r="P36" s="4"/>
      <c r="Q36" s="4"/>
      <c r="R36" s="4"/>
      <c r="S36" s="3" t="s">
        <v>11</v>
      </c>
      <c r="T36" s="3" t="s">
        <v>12</v>
      </c>
      <c r="W36" s="8">
        <f t="shared" ref="W36" si="151">_xlfn.RANK.EQ(D36,$D36:$R36,1)</f>
        <v>5</v>
      </c>
      <c r="X36" s="8">
        <f t="shared" ref="X36" si="152">_xlfn.RANK.EQ(E36,$D36:$R36,1)</f>
        <v>3</v>
      </c>
      <c r="Y36" s="8">
        <f t="shared" ref="Y36" si="153">_xlfn.RANK.EQ(F36,$D36:$R36,1)</f>
        <v>8</v>
      </c>
      <c r="Z36" s="8">
        <f t="shared" ref="Z36" si="154">_xlfn.RANK.EQ(G36,$D36:$R36,1)</f>
        <v>1</v>
      </c>
      <c r="AA36" s="8">
        <f t="shared" ref="AA36" si="155">_xlfn.RANK.EQ(H36,$D36:$R36,1)</f>
        <v>7</v>
      </c>
      <c r="AB36" s="8">
        <f t="shared" ref="AB36" si="156">_xlfn.RANK.EQ(I36,$D36:$R36,1)</f>
        <v>2</v>
      </c>
      <c r="AC36" s="8">
        <f t="shared" ref="AC36" si="157">_xlfn.RANK.EQ(J36,$D36:$R36,1)</f>
        <v>9</v>
      </c>
      <c r="AD36" s="8">
        <f t="shared" ref="AD36" si="158">_xlfn.RANK.EQ(K36,$D36:$R36,1)</f>
        <v>6</v>
      </c>
      <c r="AE36" s="8">
        <f t="shared" ref="AE36" si="159">_xlfn.RANK.EQ(L36,$D36:$R36,1)</f>
        <v>4</v>
      </c>
      <c r="AF36" s="8" t="e">
        <f t="shared" ref="AF36" si="160">_xlfn.RANK.EQ(M36,$D36:$R36,1)</f>
        <v>#N/A</v>
      </c>
      <c r="AG36" s="8" t="e">
        <f t="shared" ref="AG36" si="161">_xlfn.RANK.EQ(N36,$D36:$R36,1)</f>
        <v>#N/A</v>
      </c>
      <c r="AH36" s="8" t="e">
        <f t="shared" ref="AH36" si="162">_xlfn.RANK.EQ(O36,$D36:$R36,1)</f>
        <v>#N/A</v>
      </c>
      <c r="AI36" s="8" t="e">
        <f t="shared" ref="AI36" si="163">_xlfn.RANK.EQ(P36,$D36:$R36,1)</f>
        <v>#N/A</v>
      </c>
      <c r="AJ36" s="8" t="e">
        <f t="shared" ref="AJ36" si="164">_xlfn.RANK.EQ(Q36,$D36:$R36,1)</f>
        <v>#N/A</v>
      </c>
      <c r="AK36" s="8" t="e">
        <f t="shared" ref="AK36" si="165">_xlfn.RANK.EQ(R36,$D36:$R36,1)</f>
        <v>#N/A</v>
      </c>
    </row>
    <row xmlns:x14ac="http://schemas.microsoft.com/office/spreadsheetml/2009/9/ac" r="37" x14ac:dyDescent="0.3">
      <c r="A37" s="19"/>
      <c r="B37" s="16" t="s">
        <v>505</v>
      </c>
      <c r="C37" s="10" t="s">
        <v>413</v>
      </c>
      <c r="D37" s="9">
        <v>728.38013510389499</v>
      </c>
      <c r="E37" s="9">
        <v>485.40897190927097</v>
      </c>
      <c r="F37" s="9">
        <v>529.3163583962131</v>
      </c>
      <c r="G37" s="9">
        <v>453.90389398974997</v>
      </c>
      <c r="H37" s="9">
        <v>369.74371806394441</v>
      </c>
      <c r="I37" s="9">
        <v>16.522515710366314</v>
      </c>
      <c r="J37" s="9">
        <v>33.536409472333546</v>
      </c>
      <c r="K37" s="9">
        <v>7.4630579883385719</v>
      </c>
      <c r="L37" s="9">
        <v>187.58142714037629</v>
      </c>
      <c r="M37" s="9">
        <v>23.332180006314346</v>
      </c>
      <c r="N37" s="9"/>
      <c r="O37" s="9"/>
      <c r="P37" s="9"/>
      <c r="Q37" s="9"/>
      <c r="R37" s="9"/>
      <c r="S37" s="5"/>
      <c r="T37" s="5" t="s">
        <v>13</v>
      </c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xmlns:x14ac="http://schemas.microsoft.com/office/spreadsheetml/2009/9/ac" r="38" x14ac:dyDescent="0.3">
      <c r="A38" s="21"/>
      <c r="B38" s="17" t="s">
        <v>505</v>
      </c>
      <c r="C38" s="6" t="s">
        <v>414</v>
      </c>
      <c r="D38" s="7">
        <v>0.25520833333333331</v>
      </c>
      <c r="E38" s="7">
        <v>0.25520833333333331</v>
      </c>
      <c r="F38" s="7">
        <v>0.71354166666666663</v>
      </c>
      <c r="G38" s="7">
        <v>0.71354166666666663</v>
      </c>
      <c r="H38" s="7">
        <v>0.74479166666666663</v>
      </c>
      <c r="I38" s="7">
        <v>0.296875</v>
      </c>
      <c r="J38" s="7">
        <v>0.30208333333333331</v>
      </c>
      <c r="K38" s="7">
        <v>0.27604166666666669</v>
      </c>
      <c r="L38" s="7">
        <v>0.67552083333333335</v>
      </c>
      <c r="M38" s="7">
        <v>0.32135416666666666</v>
      </c>
      <c r="N38" s="7"/>
      <c r="O38" s="7"/>
      <c r="P38" s="7"/>
      <c r="Q38" s="7"/>
      <c r="R38" s="7"/>
      <c r="S38" s="6"/>
      <c r="T38" s="6" t="s">
        <v>14</v>
      </c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xmlns:x14ac="http://schemas.microsoft.com/office/spreadsheetml/2009/9/ac" r="39" ht="32.4" customHeight="true" x14ac:dyDescent="0.3">
      <c r="A39" s="22" t="s">
        <v>187</v>
      </c>
      <c r="B39" s="15"/>
      <c r="C39" s="15"/>
      <c r="D39" s="3">
        <f>COUNTIF(W3:W38,1)</f>
        <v>5</v>
      </c>
      <c r="E39" s="3">
        <f t="shared" ref="E39:R39" si="166">COUNTIF(X3:X38,1)</f>
        <v>1</v>
      </c>
      <c r="F39" s="3">
        <f t="shared" si="166"/>
        <v>0</v>
      </c>
      <c r="G39" s="3">
        <f t="shared" si="166"/>
        <v>3</v>
      </c>
      <c r="H39" s="3">
        <f t="shared" si="166"/>
        <v>0</v>
      </c>
      <c r="I39" s="3">
        <f t="shared" si="166"/>
        <v>0</v>
      </c>
      <c r="J39" s="3">
        <f t="shared" si="166"/>
        <v>0</v>
      </c>
      <c r="K39" s="3">
        <f t="shared" si="166"/>
        <v>2</v>
      </c>
      <c r="L39" s="3">
        <f t="shared" si="166"/>
        <v>1</v>
      </c>
      <c r="M39" s="3">
        <f t="shared" si="166"/>
        <v>0</v>
      </c>
      <c r="N39" s="3">
        <f t="shared" si="166"/>
        <v>0</v>
      </c>
      <c r="O39" s="3">
        <f t="shared" si="166"/>
        <v>0</v>
      </c>
      <c r="P39" s="3">
        <f t="shared" si="166"/>
        <v>0</v>
      </c>
      <c r="Q39" s="3">
        <f t="shared" si="166"/>
        <v>0</v>
      </c>
      <c r="R39" s="3">
        <f t="shared" si="166"/>
        <v>0</v>
      </c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xmlns:x14ac="http://schemas.microsoft.com/office/spreadsheetml/2009/9/ac" r="40" ht="32.4" customHeight="true" x14ac:dyDescent="0.3">
      <c r="A40" s="19" t="s">
        <v>188</v>
      </c>
      <c r="B40" s="16"/>
      <c r="C40" s="16"/>
      <c r="D40" s="10">
        <f>_xlfn.RANK.EQ(D39,$D39:$R39,0)</f>
        <v>1</v>
      </c>
      <c r="E40" s="10">
        <f t="shared" ref="E40:R40" si="167">_xlfn.RANK.EQ(E39,$D39:$R39,0)</f>
        <v>4</v>
      </c>
      <c r="F40" s="10">
        <f t="shared" si="167"/>
        <v>6</v>
      </c>
      <c r="G40" s="10">
        <f t="shared" si="167"/>
        <v>2</v>
      </c>
      <c r="H40" s="10">
        <f t="shared" si="167"/>
        <v>6</v>
      </c>
      <c r="I40" s="10">
        <f t="shared" si="167"/>
        <v>6</v>
      </c>
      <c r="J40" s="10">
        <f t="shared" si="167"/>
        <v>6</v>
      </c>
      <c r="K40" s="10">
        <f t="shared" si="167"/>
        <v>3</v>
      </c>
      <c r="L40" s="10">
        <f t="shared" si="167"/>
        <v>4</v>
      </c>
      <c r="M40" s="10">
        <f t="shared" si="167"/>
        <v>6</v>
      </c>
      <c r="N40" s="10">
        <f t="shared" si="167"/>
        <v>6</v>
      </c>
      <c r="O40" s="10">
        <f t="shared" si="167"/>
        <v>6</v>
      </c>
      <c r="P40" s="10">
        <f t="shared" si="167"/>
        <v>6</v>
      </c>
      <c r="Q40" s="10">
        <f t="shared" si="167"/>
        <v>6</v>
      </c>
      <c r="R40" s="10">
        <f t="shared" si="167"/>
        <v>6</v>
      </c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xmlns:x14ac="http://schemas.microsoft.com/office/spreadsheetml/2009/9/ac" r="41" ht="32.4" customHeight="true" x14ac:dyDescent="0.3">
      <c r="A41" s="20" t="s">
        <v>23</v>
      </c>
      <c r="B41" s="16"/>
      <c r="C41" s="16"/>
      <c r="D41" s="13">
        <f>AVERAGE(W3:W38)</f>
        <v>3</v>
      </c>
      <c r="E41" s="13">
        <f t="shared" ref="E41:R41" si="168">AVERAGE(X3:X38)</f>
        <v>3.3333333333333335</v>
      </c>
      <c r="F41" s="13">
        <f t="shared" si="168"/>
        <v>5.083333333333333</v>
      </c>
      <c r="G41" s="13">
        <f t="shared" si="168"/>
        <v>3.4166666666666665</v>
      </c>
      <c r="H41" s="13">
        <f t="shared" si="168"/>
        <v>8.4166666666666661</v>
      </c>
      <c r="I41" s="13">
        <f t="shared" si="168"/>
        <v>5.25</v>
      </c>
      <c r="J41" s="13">
        <f t="shared" si="168"/>
        <v>7.083333333333333</v>
      </c>
      <c r="K41" s="13">
        <f t="shared" si="168"/>
        <v>3.6666666666666665</v>
      </c>
      <c r="L41" s="13">
        <f t="shared" si="168"/>
        <v>5.75</v>
      </c>
      <c r="M41" s="13" t="e">
        <f t="shared" si="168"/>
        <v>#N/A</v>
      </c>
      <c r="N41" s="13" t="e">
        <f t="shared" si="168"/>
        <v>#N/A</v>
      </c>
      <c r="O41" s="13" t="e">
        <f t="shared" si="168"/>
        <v>#N/A</v>
      </c>
      <c r="P41" s="13" t="e">
        <f t="shared" si="168"/>
        <v>#N/A</v>
      </c>
      <c r="Q41" s="13" t="e">
        <f t="shared" si="168"/>
        <v>#N/A</v>
      </c>
      <c r="R41" s="13" t="e">
        <f t="shared" si="168"/>
        <v>#N/A</v>
      </c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xmlns:x14ac="http://schemas.microsoft.com/office/spreadsheetml/2009/9/ac" r="42" ht="32.4" customHeight="true" x14ac:dyDescent="0.3">
      <c r="A42" s="21" t="s">
        <v>189</v>
      </c>
      <c r="B42" s="17"/>
      <c r="C42" s="17"/>
      <c r="D42" s="6" t="e">
        <f>_xlfn.RANK.EQ(D41,$D41:$R41,1)</f>
        <v>#N/A</v>
      </c>
      <c r="E42" s="6" t="e">
        <f t="shared" ref="E42:R42" si="169">_xlfn.RANK.EQ(E41,$D41:$R41,1)</f>
        <v>#N/A</v>
      </c>
      <c r="F42" s="6" t="e">
        <f t="shared" si="169"/>
        <v>#N/A</v>
      </c>
      <c r="G42" s="6" t="e">
        <f t="shared" si="169"/>
        <v>#N/A</v>
      </c>
      <c r="H42" s="6" t="e">
        <f t="shared" si="169"/>
        <v>#N/A</v>
      </c>
      <c r="I42" s="6" t="e">
        <f t="shared" si="169"/>
        <v>#N/A</v>
      </c>
      <c r="J42" s="6" t="e">
        <f t="shared" si="169"/>
        <v>#N/A</v>
      </c>
      <c r="K42" s="6" t="e">
        <f t="shared" si="169"/>
        <v>#N/A</v>
      </c>
      <c r="L42" s="6" t="e">
        <f t="shared" si="169"/>
        <v>#N/A</v>
      </c>
      <c r="M42" s="6" t="e">
        <f t="shared" si="169"/>
        <v>#N/A</v>
      </c>
      <c r="N42" s="6" t="e">
        <f t="shared" si="169"/>
        <v>#N/A</v>
      </c>
      <c r="O42" s="6" t="e">
        <f t="shared" si="169"/>
        <v>#N/A</v>
      </c>
      <c r="P42" s="6" t="e">
        <f t="shared" si="169"/>
        <v>#N/A</v>
      </c>
      <c r="Q42" s="6" t="e">
        <f t="shared" si="169"/>
        <v>#N/A</v>
      </c>
      <c r="R42" s="6" t="e">
        <f t="shared" si="169"/>
        <v>#N/A</v>
      </c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</sheetData>
  <mergeCells count="9">
    <mergeCell ref="A1:R1"/>
    <mergeCell ref="A40:C40"/>
    <mergeCell ref="A41:C41"/>
    <mergeCell ref="A42:C42"/>
    <mergeCell ref="A39:C39"/>
    <mergeCell ref="A3:A5"/>
    <mergeCell ref="A6:A17"/>
    <mergeCell ref="A18:A26"/>
    <mergeCell ref="A27:A38"/>
  </mergeCells>
  <phoneticPr fontId="3" type="noConversion"/>
  <conditionalFormatting sqref="D3:R3">
    <cfRule type="top10" dxfId="16" priority="13" bottom="true" rank="1"/>
  </conditionalFormatting>
  <conditionalFormatting sqref="D6:R6">
    <cfRule type="top10" dxfId="15" priority="14" bottom="true" rank="1"/>
  </conditionalFormatting>
  <conditionalFormatting sqref="D9:R9">
    <cfRule type="top10" dxfId="14" priority="15" bottom="true" rank="1"/>
  </conditionalFormatting>
  <conditionalFormatting sqref="D12:R12">
    <cfRule type="top10" dxfId="13" priority="16" bottom="true" rank="1"/>
  </conditionalFormatting>
  <conditionalFormatting sqref="D15:R15">
    <cfRule type="top10" dxfId="12" priority="17" bottom="true" rank="1"/>
  </conditionalFormatting>
  <conditionalFormatting sqref="D18:R18">
    <cfRule type="top10" dxfId="11" priority="18" bottom="true" rank="1"/>
  </conditionalFormatting>
  <conditionalFormatting sqref="D21:R21">
    <cfRule type="top10" dxfId="10" priority="19" bottom="true" rank="1"/>
  </conditionalFormatting>
  <conditionalFormatting sqref="D24:R24">
    <cfRule type="top10" dxfId="9" priority="20" bottom="true" rank="1"/>
  </conditionalFormatting>
  <conditionalFormatting sqref="D27:R27">
    <cfRule type="top10" dxfId="8" priority="21" bottom="true" rank="1"/>
  </conditionalFormatting>
  <conditionalFormatting sqref="D30:R30">
    <cfRule type="top10" dxfId="7" priority="22" bottom="true" rank="1"/>
  </conditionalFormatting>
  <conditionalFormatting sqref="D33:R33">
    <cfRule type="top10" dxfId="6" priority="23" bottom="true" rank="1"/>
  </conditionalFormatting>
  <conditionalFormatting sqref="D36:R36">
    <cfRule type="top10" dxfId="5" priority="24" bottom="true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E21" sqref="E21"/>
    </sheetView>
  </sheetViews>
  <sheetFormatPr xmlns:x14ac="http://schemas.microsoft.com/office/spreadsheetml/2009/9/ac" defaultRowHeight="14.4" x14ac:dyDescent="0.3"/>
  <cols>
    <col min="1" max="1" width="8" bestFit="true" customWidth="true"/>
    <col min="2" max="2" width="18.6640625" customWidth="true"/>
    <col min="3" max="3" width="18.6640625" bestFit="true" customWidth="true"/>
    <col min="4" max="4" width="18.6640625" bestFit="true" customWidth="true"/>
    <col min="5" max="5" width="20.6640625" bestFit="true" customWidth="true"/>
    <col min="6" max="6" width="15.44140625" bestFit="true" customWidth="true"/>
    <col min="7" max="7" width="14.33203125" customWidth="true"/>
    <col min="8" max="8" width="13.44140625" bestFit="true" customWidth="true"/>
    <col min="9" max="9" width="14.37890625" bestFit="true" customWidth="true"/>
    <col min="10" max="10" width="15.37890625" bestFit="true" customWidth="true"/>
    <col min="11" max="11" width="12" bestFit="true" customWidth="true"/>
  </cols>
  <sheetData>
    <row xmlns:x14ac="http://schemas.microsoft.com/office/spreadsheetml/2009/9/ac" r="1" ht="15" thickBot="true" x14ac:dyDescent="0.35">
      <c r="A1" s="23" t="s">
        <v>190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xmlns:x14ac="http://schemas.microsoft.com/office/spreadsheetml/2009/9/ac" r="2" x14ac:dyDescent="0.3">
      <c r="A2" s="2" t="s">
        <v>493</v>
      </c>
      <c r="B2" s="1" t="s">
        <v>521</v>
      </c>
      <c r="C2" s="1" t="s">
        <v>522</v>
      </c>
      <c r="D2" s="1" t="s">
        <v>523</v>
      </c>
      <c r="E2" s="1" t="s">
        <v>524</v>
      </c>
      <c r="F2" s="1" t="s">
        <v>525</v>
      </c>
      <c r="G2" s="1" t="s">
        <v>526</v>
      </c>
      <c r="H2" s="1" t="s">
        <v>527</v>
      </c>
      <c r="I2" s="1" t="s">
        <v>272</v>
      </c>
      <c r="J2" s="1" t="s">
        <v>273</v>
      </c>
      <c r="K2" s="1">
        <v>6.8538363661840557E-8</v>
      </c>
      <c r="L2" s="1"/>
      <c r="M2" s="1"/>
      <c r="N2" s="1"/>
      <c r="O2" s="1"/>
      <c r="P2" s="1"/>
    </row>
    <row xmlns:x14ac="http://schemas.microsoft.com/office/spreadsheetml/2009/9/ac" r="3" x14ac:dyDescent="0.3">
      <c r="A3" s="3" t="s">
        <v>494</v>
      </c>
      <c r="B3" s="4">
        <v>0.41855458704571991</v>
      </c>
      <c r="C3" s="4">
        <v>0.40053940430068757</v>
      </c>
      <c r="D3" s="4">
        <v>0.40071236411723743</v>
      </c>
      <c r="E3" s="4">
        <v>0.39994565355368494</v>
      </c>
      <c r="F3" s="4">
        <v>0.40048248543608378</v>
      </c>
      <c r="G3" s="4">
        <v>0.40048194462948972</v>
      </c>
      <c r="H3" s="4">
        <v>0.40048488915565428</v>
      </c>
      <c r="I3" s="4">
        <v>2.4775609296197988e-12</v>
      </c>
      <c r="J3" s="4">
        <v>2.6516828241903865e-15</v>
      </c>
      <c r="K3" s="4">
        <v>1.2439206055970093E-3</v>
      </c>
      <c r="L3" s="4"/>
      <c r="M3" s="4"/>
      <c r="N3" s="4"/>
      <c r="O3" s="4"/>
      <c r="P3" s="4"/>
    </row>
    <row xmlns:x14ac="http://schemas.microsoft.com/office/spreadsheetml/2009/9/ac" r="4" x14ac:dyDescent="0.3">
      <c r="A4" s="10" t="s">
        <v>495</v>
      </c>
      <c r="B4" s="9">
        <v>0.95792761100509416</v>
      </c>
      <c r="C4" s="9">
        <v>0.19641238381508205</v>
      </c>
      <c r="D4" s="9">
        <v>0.10810486068717436</v>
      </c>
      <c r="E4" s="9">
        <v>0.067111632704992777</v>
      </c>
      <c r="F4" s="9">
        <v>0.0079183552798582826</v>
      </c>
      <c r="G4" s="9">
        <v>0.0082126586569686074</v>
      </c>
      <c r="H4" s="9">
        <v>0.0080582253538114979</v>
      </c>
      <c r="I4" s="9">
        <v>3.5701430823168247e-05</v>
      </c>
      <c r="J4" s="9">
        <v>2.0659911867760144e-08</v>
      </c>
      <c r="K4" s="9">
        <v>2.6457375297333019E-17</v>
      </c>
      <c r="L4" s="9"/>
      <c r="M4" s="9"/>
      <c r="N4" s="9"/>
      <c r="O4" s="9"/>
      <c r="P4" s="9"/>
    </row>
    <row xmlns:x14ac="http://schemas.microsoft.com/office/spreadsheetml/2009/9/ac" r="5" x14ac:dyDescent="0.3">
      <c r="A5" s="10" t="s">
        <v>496</v>
      </c>
      <c r="B5" s="9">
        <v>0.88439978770115313</v>
      </c>
      <c r="C5" s="9">
        <v>0.40542839744467862</v>
      </c>
      <c r="D5" s="9">
        <v>0.15213050359831748</v>
      </c>
      <c r="E5" s="9">
        <v>0.070261190507266591</v>
      </c>
      <c r="F5" s="9">
        <v>0.00051995743428488565</v>
      </c>
      <c r="G5" s="9">
        <v>6.5420616275065099e-05</v>
      </c>
      <c r="H5" s="9">
        <v>1.0886802422012515e-05</v>
      </c>
      <c r="I5" s="9">
        <v>7.4851553841049724e-16</v>
      </c>
      <c r="J5" s="9">
        <v>0.11364007352950833</v>
      </c>
      <c r="K5" s="9">
        <v>0.90131707121350435</v>
      </c>
      <c r="L5" s="9"/>
      <c r="M5" s="9"/>
      <c r="N5" s="9"/>
      <c r="O5" s="9"/>
      <c r="P5" s="9"/>
    </row>
    <row xmlns:x14ac="http://schemas.microsoft.com/office/spreadsheetml/2009/9/ac" r="6" x14ac:dyDescent="0.3">
      <c r="A6" s="10" t="s">
        <v>497</v>
      </c>
      <c r="B6" s="9">
        <v>0.68014584354503271</v>
      </c>
      <c r="C6" s="9">
        <v>0.12047265769069235</v>
      </c>
      <c r="D6" s="9">
        <v>0.089000185451854327</v>
      </c>
      <c r="E6" s="9">
        <v>0.011886022900177463</v>
      </c>
      <c r="F6" s="9">
        <v>0.013095990380459136</v>
      </c>
      <c r="G6" s="9">
        <v>0.039431504205173482</v>
      </c>
      <c r="H6" s="9">
        <v>0.013184634700588204</v>
      </c>
      <c r="I6" s="9">
        <v>0.038484930689671917</v>
      </c>
      <c r="J6" s="9">
        <v>0.32875080899216813</v>
      </c>
      <c r="K6" s="9">
        <v>7.7339307234490715E-14</v>
      </c>
      <c r="L6" s="9"/>
      <c r="M6" s="9"/>
      <c r="N6" s="9"/>
      <c r="O6" s="9"/>
      <c r="P6" s="9"/>
    </row>
    <row xmlns:x14ac="http://schemas.microsoft.com/office/spreadsheetml/2009/9/ac" r="7" x14ac:dyDescent="0.3">
      <c r="A7" s="10" t="s">
        <v>498</v>
      </c>
      <c r="B7" s="9">
        <v>0.16034293893137463</v>
      </c>
      <c r="C7" s="9">
        <v>0.0041059529265715265</v>
      </c>
      <c r="D7" s="9">
        <v>0.0046796027253403439</v>
      </c>
      <c r="E7" s="9">
        <v>0.01086327615511201</v>
      </c>
      <c r="F7" s="9">
        <v>0.00017015129514220053</v>
      </c>
      <c r="G7" s="9">
        <v>0.00074863508575029173</v>
      </c>
      <c r="H7" s="9">
        <v>0.010601039537239038</v>
      </c>
      <c r="I7" s="9">
        <v>3.0244975909767755e-07</v>
      </c>
      <c r="J7" s="9">
        <v>0.44575505392611348</v>
      </c>
      <c r="K7" s="9">
        <v>3.4454617811295711E-6</v>
      </c>
      <c r="L7" s="9"/>
      <c r="M7" s="9"/>
      <c r="N7" s="9"/>
      <c r="O7" s="9"/>
      <c r="P7" s="9"/>
    </row>
    <row xmlns:x14ac="http://schemas.microsoft.com/office/spreadsheetml/2009/9/ac" r="8" x14ac:dyDescent="0.3">
      <c r="A8" s="10" t="s">
        <v>499</v>
      </c>
      <c r="B8" s="9">
        <v>0.13057451434578279</v>
      </c>
      <c r="C8" s="9">
        <v>0.021054292012853009</v>
      </c>
      <c r="D8" s="9">
        <v>0.053317336269252197</v>
      </c>
      <c r="E8" s="9">
        <v>0.034431174103597847</v>
      </c>
      <c r="F8" s="9">
        <v>0.00063961824405465377</v>
      </c>
      <c r="G8" s="9">
        <v>0.00065911424927865537</v>
      </c>
      <c r="H8" s="9">
        <v>0.00065610297030935759</v>
      </c>
      <c r="I8" s="9">
        <v>2.0897232088248864e-06</v>
      </c>
      <c r="J8" s="9">
        <v>0.017917648686817358</v>
      </c>
      <c r="K8" s="9">
        <v>4.7240575998168494E-10</v>
      </c>
      <c r="L8" s="9"/>
      <c r="M8" s="9"/>
      <c r="N8" s="9"/>
      <c r="O8" s="9"/>
      <c r="P8" s="9"/>
    </row>
    <row xmlns:x14ac="http://schemas.microsoft.com/office/spreadsheetml/2009/9/ac" r="9" x14ac:dyDescent="0.3">
      <c r="A9" s="10" t="s">
        <v>500</v>
      </c>
      <c r="B9" s="9">
        <v>0.11941133653617016</v>
      </c>
      <c r="C9" s="9">
        <v>0.27458091633068687</v>
      </c>
      <c r="D9" s="9">
        <v>0.037262311343666671</v>
      </c>
      <c r="E9" s="9">
        <v>0.066871332860807847</v>
      </c>
      <c r="F9" s="9">
        <v>0.022318002156909017</v>
      </c>
      <c r="G9" s="9">
        <v>0.020524707617045109</v>
      </c>
      <c r="H9" s="9">
        <v>0.023458472957966475</v>
      </c>
      <c r="I9" s="9">
        <v>0.0001111559914214223</v>
      </c>
      <c r="J9" s="9">
        <v>0.85209194389870979</v>
      </c>
      <c r="K9" s="9">
        <v>4.762997450557619E-7</v>
      </c>
      <c r="L9" s="9"/>
      <c r="M9" s="9"/>
      <c r="N9" s="9"/>
      <c r="O9" s="9"/>
      <c r="P9" s="9"/>
    </row>
    <row xmlns:x14ac="http://schemas.microsoft.com/office/spreadsheetml/2009/9/ac" r="10" x14ac:dyDescent="0.3">
      <c r="A10" s="10" t="s">
        <v>501</v>
      </c>
      <c r="B10" s="9">
        <v>0.0016522267682600267</v>
      </c>
      <c r="C10" s="9">
        <v>0.0037042217105263007</v>
      </c>
      <c r="D10" s="9">
        <v>0.0017655054433673338</v>
      </c>
      <c r="E10" s="9">
        <v>0.0027252243068157738</v>
      </c>
      <c r="F10" s="9">
        <v>0.0015785379227212706</v>
      </c>
      <c r="G10" s="9">
        <v>0.0015809871349126813</v>
      </c>
      <c r="H10" s="9">
        <v>0.0015633693483044823</v>
      </c>
      <c r="I10" s="9">
        <v>3.8977888070474502e-05</v>
      </c>
      <c r="J10" s="9">
        <v>0.091831677194535083</v>
      </c>
      <c r="K10" s="9">
        <v>2.632520614170213E-5</v>
      </c>
      <c r="L10" s="9"/>
      <c r="M10" s="9"/>
      <c r="N10" s="9"/>
      <c r="O10" s="9"/>
      <c r="P10" s="9"/>
    </row>
    <row xmlns:x14ac="http://schemas.microsoft.com/office/spreadsheetml/2009/9/ac" r="11" x14ac:dyDescent="0.3">
      <c r="A11" s="10" t="s">
        <v>502</v>
      </c>
      <c r="B11" s="9">
        <v>0.57964621730347299</v>
      </c>
      <c r="C11" s="9">
        <v>0.081303005738129541</v>
      </c>
      <c r="D11" s="9">
        <v>0.051803561284051808</v>
      </c>
      <c r="E11" s="9">
        <v>0.073559547633990599</v>
      </c>
      <c r="F11" s="9">
        <v>0.0053440132455730713</v>
      </c>
      <c r="G11" s="9">
        <v>0.0051349997158249734</v>
      </c>
      <c r="H11" s="9">
        <v>0.0052292022783591964</v>
      </c>
      <c r="I11" s="9">
        <v>5.6220228643195272e-11</v>
      </c>
      <c r="J11" s="9">
        <v>1.4757527616969431e-07</v>
      </c>
      <c r="K11" s="9">
        <v>4.3509626638566228E-9</v>
      </c>
      <c r="L11" s="9"/>
      <c r="M11" s="9"/>
      <c r="N11" s="9"/>
      <c r="O11" s="9"/>
      <c r="P11" s="9"/>
    </row>
    <row xmlns:x14ac="http://schemas.microsoft.com/office/spreadsheetml/2009/9/ac" r="12" x14ac:dyDescent="0.3">
      <c r="A12" s="10" t="s">
        <v>503</v>
      </c>
      <c r="B12" s="9">
        <v>0.2915801007123715</v>
      </c>
      <c r="C12" s="9">
        <v>0.61814749738622909</v>
      </c>
      <c r="D12" s="9">
        <v>0.049994723409752424</v>
      </c>
      <c r="E12" s="9">
        <v>0.42101716092020192</v>
      </c>
      <c r="F12" s="9">
        <v>0.084341560859689274</v>
      </c>
      <c r="G12" s="9">
        <v>0.0027614159787084044</v>
      </c>
      <c r="H12" s="9">
        <v>0.0021867774989154801</v>
      </c>
      <c r="I12" s="9">
        <v>2.5819885701928291e-05</v>
      </c>
      <c r="J12" s="9">
        <v>0.025704263748458998</v>
      </c>
      <c r="K12" s="9">
        <v>0.51938133921202034</v>
      </c>
      <c r="L12" s="9"/>
      <c r="M12" s="9"/>
      <c r="N12" s="9"/>
      <c r="O12" s="9"/>
      <c r="P12" s="9"/>
    </row>
    <row xmlns:x14ac="http://schemas.microsoft.com/office/spreadsheetml/2009/9/ac" r="13" x14ac:dyDescent="0.3">
      <c r="A13" s="10" t="s">
        <v>504</v>
      </c>
      <c r="B13" s="9">
        <v>0.16993895094710798</v>
      </c>
      <c r="C13" s="9">
        <v>0.26756697407550567</v>
      </c>
      <c r="D13" s="9">
        <v>0.00037144490149631067</v>
      </c>
      <c r="E13" s="9">
        <v>0.028403346976847779</v>
      </c>
      <c r="F13" s="9">
        <v>0.00112928389740036</v>
      </c>
      <c r="G13" s="9">
        <v>0.00029497698950148299</v>
      </c>
      <c r="H13" s="9">
        <v>1.256579299009694e-06</v>
      </c>
      <c r="I13" s="9">
        <v>0.93487753438262355</v>
      </c>
      <c r="J13" s="9">
        <v>1.08316238641216e-09</v>
      </c>
      <c r="K13" s="9">
        <v>9.6407313389803254E-11</v>
      </c>
      <c r="L13" s="9"/>
      <c r="M13" s="9"/>
      <c r="N13" s="9"/>
      <c r="O13" s="9"/>
      <c r="P13" s="9"/>
    </row>
    <row xmlns:x14ac="http://schemas.microsoft.com/office/spreadsheetml/2009/9/ac" r="14" x14ac:dyDescent="0.3">
      <c r="A14" s="6" t="s">
        <v>505</v>
      </c>
      <c r="B14" s="11">
        <v>0.2845736174715463</v>
      </c>
      <c r="C14" s="11">
        <v>0.74486597017310197</v>
      </c>
      <c r="D14" s="11">
        <v>0.5150466659963171</v>
      </c>
      <c r="E14" s="11">
        <v>0.69093754065829072</v>
      </c>
      <c r="F14" s="11">
        <v>0.066158939164460931</v>
      </c>
      <c r="G14" s="11">
        <v>0.069825757320585088</v>
      </c>
      <c r="H14" s="11">
        <v>0.06318142781487171</v>
      </c>
      <c r="I14" s="11">
        <v>3.7247320026030738e-19</v>
      </c>
      <c r="J14" s="11">
        <v>0.31652643467488806</v>
      </c>
      <c r="K14" s="11"/>
      <c r="L14" s="11"/>
      <c r="M14" s="11"/>
      <c r="N14" s="11"/>
      <c r="O14" s="11"/>
      <c r="P14" s="11"/>
    </row>
  </sheetData>
  <mergeCells count="1">
    <mergeCell ref="A1:P1"/>
  </mergeCells>
  <conditionalFormatting sqref="B3:P14">
    <cfRule type="cellIs" dxfId="4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>
      <selection activeCell="B3" sqref="B3:P14"/>
    </sheetView>
  </sheetViews>
  <sheetFormatPr xmlns:x14ac="http://schemas.microsoft.com/office/spreadsheetml/2009/9/ac" defaultRowHeight="14.4" x14ac:dyDescent="0.3"/>
  <cols>
    <col min="1" max="1" width="8" bestFit="true" customWidth="true"/>
    <col min="2" max="2" width="18.6640625" customWidth="true"/>
    <col min="3" max="3" width="18.6640625" customWidth="true"/>
    <col min="4" max="4" width="18.6640625" customWidth="true"/>
    <col min="5" max="5" width="20.6640625" customWidth="true"/>
    <col min="6" max="6" width="15.44140625" customWidth="true"/>
    <col min="7" max="7" width="14.33203125" customWidth="true"/>
    <col min="9" max="9" width="14.37890625" customWidth="true"/>
    <col min="10" max="10" width="15.37890625" bestFit="true" customWidth="true"/>
    <col min="8" max="8" width="13.44140625" customWidth="true"/>
    <col min="11" max="11" width="2" bestFit="true" customWidth="true"/>
  </cols>
  <sheetData>
    <row xmlns:x14ac="http://schemas.microsoft.com/office/spreadsheetml/2009/9/ac" r="1" ht="15" thickBot="true" x14ac:dyDescent="0.35">
      <c r="A1" s="23" t="s">
        <v>191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xmlns:x14ac="http://schemas.microsoft.com/office/spreadsheetml/2009/9/ac" r="2" x14ac:dyDescent="0.3">
      <c r="A2" s="2" t="s">
        <v>493</v>
      </c>
      <c r="B2" s="1" t="s">
        <v>521</v>
      </c>
      <c r="C2" s="1" t="s">
        <v>522</v>
      </c>
      <c r="D2" s="1" t="s">
        <v>523</v>
      </c>
      <c r="E2" s="1" t="s">
        <v>524</v>
      </c>
      <c r="F2" s="1" t="s">
        <v>525</v>
      </c>
      <c r="G2" s="1" t="s">
        <v>526</v>
      </c>
      <c r="H2" s="1" t="s">
        <v>527</v>
      </c>
      <c r="I2" s="1" t="s">
        <v>294</v>
      </c>
      <c r="J2" s="1" t="s">
        <v>295</v>
      </c>
      <c r="K2" s="1">
        <v>1</v>
      </c>
      <c r="L2" s="1"/>
      <c r="M2" s="1"/>
      <c r="N2" s="1"/>
      <c r="O2" s="1"/>
      <c r="P2" s="1"/>
    </row>
    <row xmlns:x14ac="http://schemas.microsoft.com/office/spreadsheetml/2009/9/ac" r="3" x14ac:dyDescent="0.3">
      <c r="A3" s="3" t="s">
        <v>494</v>
      </c>
      <c r="B3" s="24">
        <v>0</v>
      </c>
      <c r="C3" s="24">
        <v>0</v>
      </c>
      <c r="D3" s="24">
        <v>0</v>
      </c>
      <c r="E3" s="24">
        <v>0</v>
      </c>
      <c r="F3" s="24">
        <v>0</v>
      </c>
      <c r="G3" s="24">
        <v>0</v>
      </c>
      <c r="H3" s="24">
        <v>0</v>
      </c>
      <c r="I3" s="24">
        <v>1</v>
      </c>
      <c r="J3" s="24">
        <v>1</v>
      </c>
      <c r="K3" s="24">
        <v>1</v>
      </c>
      <c r="L3" s="24"/>
      <c r="M3" s="24"/>
      <c r="N3" s="24"/>
      <c r="O3" s="24"/>
      <c r="P3" s="24"/>
    </row>
    <row xmlns:x14ac="http://schemas.microsoft.com/office/spreadsheetml/2009/9/ac" r="4" x14ac:dyDescent="0.3">
      <c r="A4" s="10" t="s">
        <v>495</v>
      </c>
      <c r="B4" s="25">
        <v>0</v>
      </c>
      <c r="C4" s="25">
        <v>0</v>
      </c>
      <c r="D4" s="25">
        <v>0</v>
      </c>
      <c r="E4" s="25">
        <v>0</v>
      </c>
      <c r="F4" s="25">
        <v>1</v>
      </c>
      <c r="G4" s="25">
        <v>1</v>
      </c>
      <c r="H4" s="25">
        <v>1</v>
      </c>
      <c r="I4" s="25">
        <v>1</v>
      </c>
      <c r="J4" s="25">
        <v>1</v>
      </c>
      <c r="K4" s="25">
        <v>1</v>
      </c>
      <c r="L4" s="25"/>
      <c r="M4" s="25"/>
      <c r="N4" s="25"/>
      <c r="O4" s="25"/>
      <c r="P4" s="25"/>
    </row>
    <row xmlns:x14ac="http://schemas.microsoft.com/office/spreadsheetml/2009/9/ac" r="5" x14ac:dyDescent="0.3">
      <c r="A5" s="10" t="s">
        <v>496</v>
      </c>
      <c r="B5" s="25">
        <v>0</v>
      </c>
      <c r="C5" s="25">
        <v>0</v>
      </c>
      <c r="D5" s="25">
        <v>0</v>
      </c>
      <c r="E5" s="25">
        <v>0</v>
      </c>
      <c r="F5" s="25">
        <v>1</v>
      </c>
      <c r="G5" s="25">
        <v>1</v>
      </c>
      <c r="H5" s="25">
        <v>1</v>
      </c>
      <c r="I5" s="25">
        <v>1</v>
      </c>
      <c r="J5" s="25">
        <v>0</v>
      </c>
      <c r="K5" s="25">
        <v>0</v>
      </c>
      <c r="L5" s="25"/>
      <c r="M5" s="25"/>
      <c r="N5" s="25"/>
      <c r="O5" s="25"/>
      <c r="P5" s="25"/>
    </row>
    <row xmlns:x14ac="http://schemas.microsoft.com/office/spreadsheetml/2009/9/ac" r="6" x14ac:dyDescent="0.3">
      <c r="A6" s="10" t="s">
        <v>497</v>
      </c>
      <c r="B6" s="25">
        <v>0</v>
      </c>
      <c r="C6" s="25">
        <v>0</v>
      </c>
      <c r="D6" s="25">
        <v>0</v>
      </c>
      <c r="E6" s="25">
        <v>1</v>
      </c>
      <c r="F6" s="25">
        <v>1</v>
      </c>
      <c r="G6" s="25">
        <v>1</v>
      </c>
      <c r="H6" s="25">
        <v>1</v>
      </c>
      <c r="I6" s="25">
        <v>1</v>
      </c>
      <c r="J6" s="25">
        <v>0</v>
      </c>
      <c r="K6" s="25">
        <v>1</v>
      </c>
      <c r="L6" s="25"/>
      <c r="M6" s="25"/>
      <c r="N6" s="25"/>
      <c r="O6" s="25"/>
      <c r="P6" s="25"/>
    </row>
    <row xmlns:x14ac="http://schemas.microsoft.com/office/spreadsheetml/2009/9/ac" r="7" x14ac:dyDescent="0.3">
      <c r="A7" s="10" t="s">
        <v>498</v>
      </c>
      <c r="B7" s="25">
        <v>0</v>
      </c>
      <c r="C7" s="25">
        <v>1</v>
      </c>
      <c r="D7" s="25">
        <v>1</v>
      </c>
      <c r="E7" s="25">
        <v>1</v>
      </c>
      <c r="F7" s="25">
        <v>1</v>
      </c>
      <c r="G7" s="25">
        <v>1</v>
      </c>
      <c r="H7" s="25">
        <v>1</v>
      </c>
      <c r="I7" s="25">
        <v>1</v>
      </c>
      <c r="J7" s="25">
        <v>0</v>
      </c>
      <c r="K7" s="25">
        <v>1</v>
      </c>
      <c r="L7" s="25"/>
      <c r="M7" s="25"/>
      <c r="N7" s="25"/>
      <c r="O7" s="25"/>
      <c r="P7" s="25"/>
    </row>
    <row xmlns:x14ac="http://schemas.microsoft.com/office/spreadsheetml/2009/9/ac" r="8" x14ac:dyDescent="0.3">
      <c r="A8" s="10" t="s">
        <v>499</v>
      </c>
      <c r="B8" s="25">
        <v>0</v>
      </c>
      <c r="C8" s="25">
        <v>1</v>
      </c>
      <c r="D8" s="25">
        <v>0</v>
      </c>
      <c r="E8" s="25">
        <v>1</v>
      </c>
      <c r="F8" s="25">
        <v>1</v>
      </c>
      <c r="G8" s="25">
        <v>1</v>
      </c>
      <c r="H8" s="25">
        <v>1</v>
      </c>
      <c r="I8" s="25">
        <v>1</v>
      </c>
      <c r="J8" s="25">
        <v>1</v>
      </c>
      <c r="K8" s="25">
        <v>1</v>
      </c>
      <c r="L8" s="25"/>
      <c r="M8" s="25"/>
      <c r="N8" s="25"/>
      <c r="O8" s="25"/>
      <c r="P8" s="25"/>
    </row>
    <row xmlns:x14ac="http://schemas.microsoft.com/office/spreadsheetml/2009/9/ac" r="9" x14ac:dyDescent="0.3">
      <c r="A9" s="10" t="s">
        <v>500</v>
      </c>
      <c r="B9" s="25">
        <v>0</v>
      </c>
      <c r="C9" s="25">
        <v>0</v>
      </c>
      <c r="D9" s="25">
        <v>1</v>
      </c>
      <c r="E9" s="25">
        <v>0</v>
      </c>
      <c r="F9" s="25">
        <v>1</v>
      </c>
      <c r="G9" s="25">
        <v>1</v>
      </c>
      <c r="H9" s="25">
        <v>1</v>
      </c>
      <c r="I9" s="25">
        <v>1</v>
      </c>
      <c r="J9" s="25">
        <v>0</v>
      </c>
      <c r="K9" s="25">
        <v>1</v>
      </c>
      <c r="L9" s="25"/>
      <c r="M9" s="25"/>
      <c r="N9" s="25"/>
      <c r="O9" s="25"/>
      <c r="P9" s="25"/>
    </row>
    <row xmlns:x14ac="http://schemas.microsoft.com/office/spreadsheetml/2009/9/ac" r="10" x14ac:dyDescent="0.3">
      <c r="A10" s="10" t="s">
        <v>501</v>
      </c>
      <c r="B10" s="25">
        <v>1</v>
      </c>
      <c r="C10" s="25">
        <v>1</v>
      </c>
      <c r="D10" s="25">
        <v>1</v>
      </c>
      <c r="E10" s="25">
        <v>1</v>
      </c>
      <c r="F10" s="25">
        <v>1</v>
      </c>
      <c r="G10" s="25">
        <v>1</v>
      </c>
      <c r="H10" s="25">
        <v>1</v>
      </c>
      <c r="I10" s="25">
        <v>1</v>
      </c>
      <c r="J10" s="25">
        <v>0</v>
      </c>
      <c r="K10" s="25">
        <v>1</v>
      </c>
      <c r="L10" s="25"/>
      <c r="M10" s="25"/>
      <c r="N10" s="25"/>
      <c r="O10" s="25"/>
      <c r="P10" s="25"/>
    </row>
    <row xmlns:x14ac="http://schemas.microsoft.com/office/spreadsheetml/2009/9/ac" r="11" x14ac:dyDescent="0.3">
      <c r="A11" s="10" t="s">
        <v>502</v>
      </c>
      <c r="B11" s="25">
        <v>0</v>
      </c>
      <c r="C11" s="25">
        <v>0</v>
      </c>
      <c r="D11" s="25">
        <v>0</v>
      </c>
      <c r="E11" s="25">
        <v>0</v>
      </c>
      <c r="F11" s="25">
        <v>1</v>
      </c>
      <c r="G11" s="25">
        <v>1</v>
      </c>
      <c r="H11" s="25">
        <v>1</v>
      </c>
      <c r="I11" s="25">
        <v>1</v>
      </c>
      <c r="J11" s="25">
        <v>1</v>
      </c>
      <c r="K11" s="25">
        <v>1</v>
      </c>
      <c r="L11" s="25"/>
      <c r="M11" s="25"/>
      <c r="N11" s="25"/>
      <c r="O11" s="25"/>
      <c r="P11" s="25"/>
    </row>
    <row xmlns:x14ac="http://schemas.microsoft.com/office/spreadsheetml/2009/9/ac" r="12" x14ac:dyDescent="0.3">
      <c r="A12" s="10" t="s">
        <v>503</v>
      </c>
      <c r="B12" s="25">
        <v>0</v>
      </c>
      <c r="C12" s="25">
        <v>0</v>
      </c>
      <c r="D12" s="25">
        <v>1</v>
      </c>
      <c r="E12" s="25">
        <v>0</v>
      </c>
      <c r="F12" s="25">
        <v>0</v>
      </c>
      <c r="G12" s="25">
        <v>1</v>
      </c>
      <c r="H12" s="25">
        <v>1</v>
      </c>
      <c r="I12" s="25">
        <v>1</v>
      </c>
      <c r="J12" s="25">
        <v>1</v>
      </c>
      <c r="K12" s="25">
        <v>0</v>
      </c>
      <c r="L12" s="25"/>
      <c r="M12" s="25"/>
      <c r="N12" s="25"/>
      <c r="O12" s="25"/>
      <c r="P12" s="25"/>
    </row>
    <row xmlns:x14ac="http://schemas.microsoft.com/office/spreadsheetml/2009/9/ac" r="13" x14ac:dyDescent="0.3">
      <c r="A13" s="10" t="s">
        <v>504</v>
      </c>
      <c r="B13" s="25">
        <v>0</v>
      </c>
      <c r="C13" s="25">
        <v>0</v>
      </c>
      <c r="D13" s="25">
        <v>1</v>
      </c>
      <c r="E13" s="25">
        <v>1</v>
      </c>
      <c r="F13" s="25">
        <v>1</v>
      </c>
      <c r="G13" s="25">
        <v>1</v>
      </c>
      <c r="H13" s="25">
        <v>1</v>
      </c>
      <c r="I13" s="25">
        <v>0</v>
      </c>
      <c r="J13" s="25">
        <v>1</v>
      </c>
      <c r="K13" s="25">
        <v>1</v>
      </c>
      <c r="L13" s="25"/>
      <c r="M13" s="25"/>
      <c r="N13" s="25"/>
      <c r="O13" s="25"/>
      <c r="P13" s="25"/>
    </row>
    <row xmlns:x14ac="http://schemas.microsoft.com/office/spreadsheetml/2009/9/ac" r="14" x14ac:dyDescent="0.3">
      <c r="A14" s="6" t="s">
        <v>505</v>
      </c>
      <c r="B14" s="26">
        <v>0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1</v>
      </c>
      <c r="J14" s="26">
        <v>0</v>
      </c>
      <c r="K14" s="26"/>
      <c r="L14" s="26"/>
      <c r="M14" s="26"/>
      <c r="N14" s="26"/>
      <c r="O14" s="26"/>
      <c r="P14" s="26"/>
    </row>
  </sheetData>
  <mergeCells count="1">
    <mergeCell ref="A1:P1"/>
  </mergeCells>
  <conditionalFormatting sqref="B3:P14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"/>
  <sheetViews>
    <sheetView workbookViewId="0">
      <selection activeCell="C23" sqref="C23"/>
    </sheetView>
  </sheetViews>
  <sheetFormatPr xmlns:x14ac="http://schemas.microsoft.com/office/spreadsheetml/2009/9/ac" defaultRowHeight="14.4" x14ac:dyDescent="0.3"/>
  <cols>
    <col min="1" max="1" width="8" bestFit="true" customWidth="true"/>
    <col min="2" max="2" width="18.6640625" bestFit="true" customWidth="true"/>
    <col min="3" max="3" width="18.6640625" bestFit="true" customWidth="true"/>
    <col min="4" max="4" width="18.6640625" bestFit="true" customWidth="true"/>
    <col min="5" max="5" width="20.6640625" bestFit="true" customWidth="true"/>
    <col min="6" max="6" width="15.44140625" bestFit="true" customWidth="true"/>
    <col min="7" max="7" width="14.33203125" bestFit="true" customWidth="true"/>
    <col min="9" max="9" width="14.37890625" bestFit="true" customWidth="true"/>
    <col min="8" max="8" width="13.44140625" bestFit="true" customWidth="true"/>
    <col min="10" max="10" width="15.37890625" customWidth="true"/>
  </cols>
  <sheetData>
    <row xmlns:x14ac="http://schemas.microsoft.com/office/spreadsheetml/2009/9/ac" r="1" ht="15" thickBot="true" x14ac:dyDescent="0.35">
      <c r="A1" s="23" t="s">
        <v>171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xmlns:x14ac="http://schemas.microsoft.com/office/spreadsheetml/2009/9/ac" r="2" x14ac:dyDescent="0.3">
      <c r="A2" s="2" t="s">
        <v>493</v>
      </c>
      <c r="B2" s="1" t="s">
        <v>521</v>
      </c>
      <c r="C2" s="1" t="s">
        <v>522</v>
      </c>
      <c r="D2" s="1" t="s">
        <v>523</v>
      </c>
      <c r="E2" s="1" t="s">
        <v>524</v>
      </c>
      <c r="F2" s="1" t="s">
        <v>525</v>
      </c>
      <c r="G2" s="1" t="s">
        <v>526</v>
      </c>
      <c r="H2" s="1" t="s">
        <v>527</v>
      </c>
      <c r="I2" s="1" t="s">
        <v>316</v>
      </c>
      <c r="J2" s="1" t="s">
        <v>317</v>
      </c>
      <c r="K2" s="1"/>
      <c r="L2" s="1"/>
      <c r="M2" s="1"/>
      <c r="N2" s="1"/>
      <c r="O2" s="1"/>
      <c r="P2" s="1"/>
    </row>
    <row xmlns:x14ac="http://schemas.microsoft.com/office/spreadsheetml/2009/9/ac" r="3" x14ac:dyDescent="0.3">
      <c r="A3" s="3" t="s">
        <v>494</v>
      </c>
      <c r="B3" s="4">
        <v>0.5</v>
      </c>
      <c r="C3" s="4">
        <v>0.25</v>
      </c>
      <c r="D3" s="4">
        <v>0.25</v>
      </c>
      <c r="E3" s="4">
        <v>0.25</v>
      </c>
      <c r="F3" s="4">
        <v>0.25</v>
      </c>
      <c r="G3" s="4">
        <v>0.25</v>
      </c>
      <c r="H3" s="4">
        <v>0.25</v>
      </c>
      <c r="I3" s="4">
        <v>1.7343976283205826e-06</v>
      </c>
      <c r="J3" s="4">
        <v>1.7343976283205826e-06</v>
      </c>
      <c r="K3" s="4"/>
      <c r="L3" s="4"/>
      <c r="M3" s="4"/>
      <c r="N3" s="4"/>
      <c r="O3" s="4"/>
      <c r="P3" s="4"/>
    </row>
    <row xmlns:x14ac="http://schemas.microsoft.com/office/spreadsheetml/2009/9/ac" r="4" x14ac:dyDescent="0.3">
      <c r="A4" s="10" t="s">
        <v>495</v>
      </c>
      <c r="B4" s="9">
        <v>1</v>
      </c>
      <c r="C4" s="9">
        <v>0.25</v>
      </c>
      <c r="D4" s="9">
        <v>0.25</v>
      </c>
      <c r="E4" s="9">
        <v>0.25</v>
      </c>
      <c r="F4" s="9">
        <v>0.25</v>
      </c>
      <c r="G4" s="9">
        <v>0.25</v>
      </c>
      <c r="H4" s="9">
        <v>0.25</v>
      </c>
      <c r="I4" s="9">
        <v>1.7343976283205826e-06</v>
      </c>
      <c r="J4" s="9">
        <v>1.7343976283205826e-06</v>
      </c>
      <c r="K4" s="9"/>
      <c r="L4" s="9"/>
      <c r="M4" s="9"/>
      <c r="N4" s="9"/>
      <c r="O4" s="9"/>
      <c r="P4" s="9"/>
    </row>
    <row xmlns:x14ac="http://schemas.microsoft.com/office/spreadsheetml/2009/9/ac" r="5" x14ac:dyDescent="0.3">
      <c r="A5" s="10" t="s">
        <v>496</v>
      </c>
      <c r="B5" s="9">
        <v>1</v>
      </c>
      <c r="C5" s="9">
        <v>0.5</v>
      </c>
      <c r="D5" s="9">
        <v>0.25</v>
      </c>
      <c r="E5" s="9">
        <v>0.25</v>
      </c>
      <c r="F5" s="9">
        <v>0.25</v>
      </c>
      <c r="G5" s="9">
        <v>0.25</v>
      </c>
      <c r="H5" s="9">
        <v>0.25</v>
      </c>
      <c r="I5" s="9">
        <v>1.7343976283205826e-06</v>
      </c>
      <c r="J5" s="9">
        <v>0.29894375201959067</v>
      </c>
      <c r="K5" s="9"/>
      <c r="L5" s="9"/>
      <c r="M5" s="9"/>
      <c r="N5" s="9"/>
      <c r="O5" s="9"/>
      <c r="P5" s="9"/>
    </row>
    <row xmlns:x14ac="http://schemas.microsoft.com/office/spreadsheetml/2009/9/ac" r="6" x14ac:dyDescent="0.3">
      <c r="A6" s="10" t="s">
        <v>497</v>
      </c>
      <c r="B6" s="9">
        <v>0.75</v>
      </c>
      <c r="C6" s="9">
        <v>0.25</v>
      </c>
      <c r="D6" s="9">
        <v>0.25</v>
      </c>
      <c r="E6" s="9">
        <v>0.25</v>
      </c>
      <c r="F6" s="9">
        <v>0.25</v>
      </c>
      <c r="G6" s="9">
        <v>0.25</v>
      </c>
      <c r="H6" s="9">
        <v>0.25</v>
      </c>
      <c r="I6" s="9">
        <v>0.049498046027749786</v>
      </c>
      <c r="J6" s="9">
        <v>0.27115519770883234</v>
      </c>
      <c r="K6" s="9"/>
      <c r="L6" s="9"/>
      <c r="M6" s="9"/>
      <c r="N6" s="9"/>
      <c r="O6" s="9"/>
      <c r="P6" s="9"/>
    </row>
    <row xmlns:x14ac="http://schemas.microsoft.com/office/spreadsheetml/2009/9/ac" r="7" x14ac:dyDescent="0.3">
      <c r="A7" s="10" t="s">
        <v>498</v>
      </c>
      <c r="B7" s="9">
        <v>0.25</v>
      </c>
      <c r="C7" s="9">
        <v>0.25</v>
      </c>
      <c r="D7" s="9">
        <v>0.25</v>
      </c>
      <c r="E7" s="9">
        <v>0.25</v>
      </c>
      <c r="F7" s="9">
        <v>0.25</v>
      </c>
      <c r="G7" s="9">
        <v>0.25</v>
      </c>
      <c r="H7" s="9">
        <v>0.25</v>
      </c>
      <c r="I7" s="9">
        <v>5.216493447033382e-06</v>
      </c>
      <c r="J7" s="9">
        <v>0.45280650466919581</v>
      </c>
      <c r="K7" s="9"/>
      <c r="L7" s="9"/>
      <c r="M7" s="9"/>
      <c r="N7" s="9"/>
      <c r="O7" s="9"/>
      <c r="P7" s="9"/>
    </row>
    <row xmlns:x14ac="http://schemas.microsoft.com/office/spreadsheetml/2009/9/ac" r="8" x14ac:dyDescent="0.3">
      <c r="A8" s="10" t="s">
        <v>499</v>
      </c>
      <c r="B8" s="9">
        <v>0.25</v>
      </c>
      <c r="C8" s="9">
        <v>0.25</v>
      </c>
      <c r="D8" s="9">
        <v>0.25</v>
      </c>
      <c r="E8" s="9">
        <v>0.25</v>
      </c>
      <c r="F8" s="9">
        <v>0.25</v>
      </c>
      <c r="G8" s="9">
        <v>0.25</v>
      </c>
      <c r="H8" s="9">
        <v>0.25</v>
      </c>
      <c r="I8" s="9">
        <v>1.7343976283205826e-06</v>
      </c>
      <c r="J8" s="9">
        <v>1.7343976283205826e-06</v>
      </c>
      <c r="K8" s="9"/>
      <c r="L8" s="9"/>
      <c r="M8" s="9"/>
      <c r="N8" s="9"/>
      <c r="O8" s="9"/>
      <c r="P8" s="9"/>
    </row>
    <row xmlns:x14ac="http://schemas.microsoft.com/office/spreadsheetml/2009/9/ac" r="9" x14ac:dyDescent="0.3">
      <c r="A9" s="10" t="s">
        <v>500</v>
      </c>
      <c r="B9" s="9">
        <v>0.25</v>
      </c>
      <c r="C9" s="9">
        <v>0.5</v>
      </c>
      <c r="D9" s="9">
        <v>0.25</v>
      </c>
      <c r="E9" s="9">
        <v>0.25</v>
      </c>
      <c r="F9" s="9">
        <v>0.25</v>
      </c>
      <c r="G9" s="9">
        <v>0.25</v>
      </c>
      <c r="H9" s="9">
        <v>0.25</v>
      </c>
      <c r="I9" s="9">
        <v>0.00071570338462489361</v>
      </c>
      <c r="J9" s="9">
        <v>0.95899017213689108</v>
      </c>
      <c r="K9" s="9"/>
      <c r="L9" s="9"/>
      <c r="M9" s="9"/>
      <c r="N9" s="9"/>
      <c r="O9" s="9"/>
      <c r="P9" s="9"/>
    </row>
    <row xmlns:x14ac="http://schemas.microsoft.com/office/spreadsheetml/2009/9/ac" r="10" x14ac:dyDescent="0.3">
      <c r="A10" s="10" t="s">
        <v>501</v>
      </c>
      <c r="B10" s="9">
        <v>0.25</v>
      </c>
      <c r="C10" s="9">
        <v>0.25</v>
      </c>
      <c r="D10" s="9">
        <v>0.25</v>
      </c>
      <c r="E10" s="9">
        <v>0.25</v>
      </c>
      <c r="F10" s="9">
        <v>0.25</v>
      </c>
      <c r="G10" s="9">
        <v>0.25</v>
      </c>
      <c r="H10" s="9">
        <v>0.25</v>
      </c>
      <c r="I10" s="9">
        <v>0.00020515292261877847</v>
      </c>
      <c r="J10" s="9">
        <v>0.038723026479358991</v>
      </c>
      <c r="K10" s="9"/>
      <c r="L10" s="9"/>
      <c r="M10" s="9"/>
      <c r="N10" s="9"/>
      <c r="O10" s="9"/>
      <c r="P10" s="9"/>
    </row>
    <row xmlns:x14ac="http://schemas.microsoft.com/office/spreadsheetml/2009/9/ac" r="11" x14ac:dyDescent="0.3">
      <c r="A11" s="10" t="s">
        <v>502</v>
      </c>
      <c r="B11" s="9">
        <v>0.5</v>
      </c>
      <c r="C11" s="9">
        <v>0.25</v>
      </c>
      <c r="D11" s="9">
        <v>0.25</v>
      </c>
      <c r="E11" s="9">
        <v>0.25</v>
      </c>
      <c r="F11" s="9">
        <v>0.25</v>
      </c>
      <c r="G11" s="9">
        <v>0.25</v>
      </c>
      <c r="H11" s="9">
        <v>0.25</v>
      </c>
      <c r="I11" s="9">
        <v>1.7343976283205826e-06</v>
      </c>
      <c r="J11" s="9">
        <v>1.7343976283205826e-06</v>
      </c>
      <c r="K11" s="9"/>
      <c r="L11" s="9"/>
      <c r="M11" s="9"/>
      <c r="N11" s="9"/>
      <c r="O11" s="9"/>
      <c r="P11" s="9"/>
    </row>
    <row xmlns:x14ac="http://schemas.microsoft.com/office/spreadsheetml/2009/9/ac" r="12" x14ac:dyDescent="0.3">
      <c r="A12" s="10" t="s">
        <v>503</v>
      </c>
      <c r="B12" s="9">
        <v>0.5</v>
      </c>
      <c r="C12" s="9">
        <v>0.75</v>
      </c>
      <c r="D12" s="9">
        <v>0.25</v>
      </c>
      <c r="E12" s="9">
        <v>0.5</v>
      </c>
      <c r="F12" s="9">
        <v>0.25</v>
      </c>
      <c r="G12" s="9">
        <v>0.25</v>
      </c>
      <c r="H12" s="9">
        <v>0.25</v>
      </c>
      <c r="I12" s="9">
        <v>0.000241179610558752</v>
      </c>
      <c r="J12" s="9">
        <v>0.035008956819850154</v>
      </c>
      <c r="K12" s="9"/>
      <c r="L12" s="9"/>
      <c r="M12" s="9"/>
      <c r="N12" s="9"/>
      <c r="O12" s="9"/>
      <c r="P12" s="9"/>
    </row>
    <row xmlns:x14ac="http://schemas.microsoft.com/office/spreadsheetml/2009/9/ac" r="13" x14ac:dyDescent="0.3">
      <c r="A13" s="10" t="s">
        <v>504</v>
      </c>
      <c r="B13" s="9">
        <v>0.25</v>
      </c>
      <c r="C13" s="9">
        <v>0.25</v>
      </c>
      <c r="D13" s="9">
        <v>0.25</v>
      </c>
      <c r="E13" s="9">
        <v>0.25</v>
      </c>
      <c r="F13" s="9">
        <v>0.25</v>
      </c>
      <c r="G13" s="9">
        <v>0.25</v>
      </c>
      <c r="H13" s="9">
        <v>0.25</v>
      </c>
      <c r="I13" s="9">
        <v>0.32857107356103721</v>
      </c>
      <c r="J13" s="9">
        <v>1.9209211049031476e-06</v>
      </c>
      <c r="K13" s="9"/>
      <c r="L13" s="9"/>
      <c r="M13" s="9"/>
      <c r="N13" s="9"/>
      <c r="O13" s="9"/>
      <c r="P13" s="9"/>
    </row>
    <row xmlns:x14ac="http://schemas.microsoft.com/office/spreadsheetml/2009/9/ac" r="14" x14ac:dyDescent="0.3">
      <c r="A14" s="6" t="s">
        <v>505</v>
      </c>
      <c r="B14" s="11">
        <v>0.5</v>
      </c>
      <c r="C14" s="11">
        <v>1</v>
      </c>
      <c r="D14" s="11">
        <v>0.75</v>
      </c>
      <c r="E14" s="11">
        <v>0.75</v>
      </c>
      <c r="F14" s="11">
        <v>0.25</v>
      </c>
      <c r="G14" s="11">
        <v>0.25</v>
      </c>
      <c r="H14" s="11">
        <v>0.25</v>
      </c>
      <c r="I14" s="11">
        <v>1.7343976283205826e-06</v>
      </c>
      <c r="J14" s="11">
        <v>0.37093530784512468</v>
      </c>
      <c r="K14" s="11"/>
      <c r="L14" s="11"/>
      <c r="M14" s="11"/>
      <c r="N14" s="11"/>
      <c r="O14" s="11"/>
      <c r="P14" s="11"/>
    </row>
  </sheetData>
  <mergeCells count="1">
    <mergeCell ref="A1:P1"/>
  </mergeCells>
  <conditionalFormatting sqref="B3:P14">
    <cfRule type="cellIs" dxfId="2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4"/>
  <sheetViews>
    <sheetView workbookViewId="0">
      <selection activeCell="P2" sqref="A1:P1048576"/>
    </sheetView>
  </sheetViews>
  <sheetFormatPr xmlns:x14ac="http://schemas.microsoft.com/office/spreadsheetml/2009/9/ac" defaultRowHeight="14.4" x14ac:dyDescent="0.3"/>
  <cols>
    <col min="1" max="1" width="8" bestFit="true" customWidth="true"/>
    <col min="2" max="2" width="18.6640625" customWidth="true"/>
    <col min="3" max="3" width="18.6640625" customWidth="true"/>
    <col min="4" max="4" width="18.6640625" customWidth="true"/>
    <col min="5" max="5" width="20.6640625" customWidth="true"/>
    <col min="6" max="6" width="15.44140625" customWidth="true"/>
    <col min="7" max="7" width="14.33203125" customWidth="true"/>
    <col min="9" max="9" width="14.37890625" customWidth="true"/>
    <col min="10" max="10" width="15.37890625" bestFit="true" customWidth="true"/>
    <col min="8" max="8" width="13.44140625" customWidth="true"/>
    <col min="11" max="11" width="2" bestFit="true" customWidth="true"/>
  </cols>
  <sheetData>
    <row xmlns:x14ac="http://schemas.microsoft.com/office/spreadsheetml/2009/9/ac" r="1" ht="15" thickBot="true" x14ac:dyDescent="0.35">
      <c r="A1" s="23" t="s">
        <v>192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xmlns:x14ac="http://schemas.microsoft.com/office/spreadsheetml/2009/9/ac" r="2" x14ac:dyDescent="0.3">
      <c r="A2" s="2" t="s">
        <v>493</v>
      </c>
      <c r="B2" s="1" t="s">
        <v>521</v>
      </c>
      <c r="C2" s="1" t="s">
        <v>522</v>
      </c>
      <c r="D2" s="1" t="s">
        <v>523</v>
      </c>
      <c r="E2" s="1" t="s">
        <v>524</v>
      </c>
      <c r="F2" s="1" t="s">
        <v>525</v>
      </c>
      <c r="G2" s="1" t="s">
        <v>526</v>
      </c>
      <c r="H2" s="1" t="s">
        <v>527</v>
      </c>
      <c r="I2" s="1" t="s">
        <v>338</v>
      </c>
      <c r="J2" s="1" t="s">
        <v>339</v>
      </c>
      <c r="K2" s="1">
        <v>1</v>
      </c>
      <c r="L2" s="1"/>
      <c r="M2" s="1"/>
      <c r="N2" s="1"/>
      <c r="O2" s="1"/>
      <c r="P2" s="1"/>
    </row>
    <row xmlns:x14ac="http://schemas.microsoft.com/office/spreadsheetml/2009/9/ac" r="3" x14ac:dyDescent="0.3">
      <c r="A3" s="3" t="s">
        <v>494</v>
      </c>
      <c r="B3" s="24">
        <v>0</v>
      </c>
      <c r="C3" s="24">
        <v>0</v>
      </c>
      <c r="D3" s="24">
        <v>0</v>
      </c>
      <c r="E3" s="24">
        <v>0</v>
      </c>
      <c r="F3" s="24">
        <v>0</v>
      </c>
      <c r="G3" s="24">
        <v>0</v>
      </c>
      <c r="H3" s="24">
        <v>0</v>
      </c>
      <c r="I3" s="24">
        <v>1</v>
      </c>
      <c r="J3" s="24">
        <v>1</v>
      </c>
      <c r="K3" s="24">
        <v>1</v>
      </c>
      <c r="L3" s="24"/>
      <c r="M3" s="24"/>
      <c r="N3" s="24"/>
      <c r="O3" s="24"/>
      <c r="P3" s="24"/>
    </row>
    <row xmlns:x14ac="http://schemas.microsoft.com/office/spreadsheetml/2009/9/ac" r="4" x14ac:dyDescent="0.3">
      <c r="A4" s="10" t="s">
        <v>495</v>
      </c>
      <c r="B4" s="25">
        <v>0</v>
      </c>
      <c r="C4" s="25">
        <v>0</v>
      </c>
      <c r="D4" s="25">
        <v>0</v>
      </c>
      <c r="E4" s="25">
        <v>0</v>
      </c>
      <c r="F4" s="25">
        <v>0</v>
      </c>
      <c r="G4" s="25">
        <v>0</v>
      </c>
      <c r="H4" s="25">
        <v>0</v>
      </c>
      <c r="I4" s="25">
        <v>1</v>
      </c>
      <c r="J4" s="25">
        <v>1</v>
      </c>
      <c r="K4" s="25">
        <v>1</v>
      </c>
      <c r="L4" s="25"/>
      <c r="M4" s="25"/>
      <c r="N4" s="25"/>
      <c r="O4" s="25"/>
      <c r="P4" s="25"/>
    </row>
    <row xmlns:x14ac="http://schemas.microsoft.com/office/spreadsheetml/2009/9/ac" r="5" x14ac:dyDescent="0.3">
      <c r="A5" s="10" t="s">
        <v>496</v>
      </c>
      <c r="B5" s="25">
        <v>0</v>
      </c>
      <c r="C5" s="25">
        <v>0</v>
      </c>
      <c r="D5" s="25">
        <v>0</v>
      </c>
      <c r="E5" s="25">
        <v>0</v>
      </c>
      <c r="F5" s="25">
        <v>0</v>
      </c>
      <c r="G5" s="25">
        <v>0</v>
      </c>
      <c r="H5" s="25">
        <v>0</v>
      </c>
      <c r="I5" s="25">
        <v>1</v>
      </c>
      <c r="J5" s="25">
        <v>0</v>
      </c>
      <c r="K5" s="25">
        <v>0</v>
      </c>
      <c r="L5" s="25"/>
      <c r="M5" s="25"/>
      <c r="N5" s="25"/>
      <c r="O5" s="25"/>
      <c r="P5" s="25"/>
    </row>
    <row xmlns:x14ac="http://schemas.microsoft.com/office/spreadsheetml/2009/9/ac" r="6" x14ac:dyDescent="0.3">
      <c r="A6" s="10" t="s">
        <v>497</v>
      </c>
      <c r="B6" s="25">
        <v>0</v>
      </c>
      <c r="C6" s="25">
        <v>0</v>
      </c>
      <c r="D6" s="25">
        <v>0</v>
      </c>
      <c r="E6" s="25">
        <v>0</v>
      </c>
      <c r="F6" s="25">
        <v>0</v>
      </c>
      <c r="G6" s="25">
        <v>0</v>
      </c>
      <c r="H6" s="25">
        <v>0</v>
      </c>
      <c r="I6" s="25">
        <v>1</v>
      </c>
      <c r="J6" s="25">
        <v>0</v>
      </c>
      <c r="K6" s="25">
        <v>1</v>
      </c>
      <c r="L6" s="25"/>
      <c r="M6" s="25"/>
      <c r="N6" s="25"/>
      <c r="O6" s="25"/>
      <c r="P6" s="25"/>
    </row>
    <row xmlns:x14ac="http://schemas.microsoft.com/office/spreadsheetml/2009/9/ac" r="7" x14ac:dyDescent="0.3">
      <c r="A7" s="10" t="s">
        <v>498</v>
      </c>
      <c r="B7" s="25">
        <v>0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25">
        <v>1</v>
      </c>
      <c r="J7" s="25">
        <v>0</v>
      </c>
      <c r="K7" s="25">
        <v>1</v>
      </c>
      <c r="L7" s="25"/>
      <c r="M7" s="25"/>
      <c r="N7" s="25"/>
      <c r="O7" s="25"/>
      <c r="P7" s="25"/>
    </row>
    <row xmlns:x14ac="http://schemas.microsoft.com/office/spreadsheetml/2009/9/ac" r="8" x14ac:dyDescent="0.3">
      <c r="A8" s="10" t="s">
        <v>499</v>
      </c>
      <c r="B8" s="25">
        <v>0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1</v>
      </c>
      <c r="J8" s="25">
        <v>1</v>
      </c>
      <c r="K8" s="25">
        <v>1</v>
      </c>
      <c r="L8" s="25"/>
      <c r="M8" s="25"/>
      <c r="N8" s="25"/>
      <c r="O8" s="25"/>
      <c r="P8" s="25"/>
    </row>
    <row xmlns:x14ac="http://schemas.microsoft.com/office/spreadsheetml/2009/9/ac" r="9" x14ac:dyDescent="0.3">
      <c r="A9" s="10" t="s">
        <v>500</v>
      </c>
      <c r="B9" s="25">
        <v>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1</v>
      </c>
      <c r="J9" s="25">
        <v>0</v>
      </c>
      <c r="K9" s="25">
        <v>1</v>
      </c>
      <c r="L9" s="25"/>
      <c r="M9" s="25"/>
      <c r="N9" s="25"/>
      <c r="O9" s="25"/>
      <c r="P9" s="25"/>
    </row>
    <row xmlns:x14ac="http://schemas.microsoft.com/office/spreadsheetml/2009/9/ac" r="10" x14ac:dyDescent="0.3">
      <c r="A10" s="10" t="s">
        <v>501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1</v>
      </c>
      <c r="J10" s="25">
        <v>1</v>
      </c>
      <c r="K10" s="25">
        <v>1</v>
      </c>
      <c r="L10" s="25"/>
      <c r="M10" s="25"/>
      <c r="N10" s="25"/>
      <c r="O10" s="25"/>
      <c r="P10" s="25"/>
    </row>
    <row xmlns:x14ac="http://schemas.microsoft.com/office/spreadsheetml/2009/9/ac" r="11" x14ac:dyDescent="0.3">
      <c r="A11" s="10" t="s">
        <v>502</v>
      </c>
      <c r="B11" s="25">
        <v>0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1</v>
      </c>
      <c r="J11" s="25">
        <v>1</v>
      </c>
      <c r="K11" s="25">
        <v>1</v>
      </c>
      <c r="L11" s="25"/>
      <c r="M11" s="25"/>
      <c r="N11" s="25"/>
      <c r="O11" s="25"/>
      <c r="P11" s="25"/>
    </row>
    <row xmlns:x14ac="http://schemas.microsoft.com/office/spreadsheetml/2009/9/ac" r="12" x14ac:dyDescent="0.3">
      <c r="A12" s="10" t="s">
        <v>503</v>
      </c>
      <c r="B12" s="25">
        <v>0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1</v>
      </c>
      <c r="J12" s="25">
        <v>1</v>
      </c>
      <c r="K12" s="25">
        <v>0</v>
      </c>
      <c r="L12" s="25"/>
      <c r="M12" s="25"/>
      <c r="N12" s="25"/>
      <c r="O12" s="25"/>
      <c r="P12" s="25"/>
    </row>
    <row xmlns:x14ac="http://schemas.microsoft.com/office/spreadsheetml/2009/9/ac" r="13" x14ac:dyDescent="0.3">
      <c r="A13" s="10" t="s">
        <v>504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1</v>
      </c>
      <c r="K13" s="25">
        <v>1</v>
      </c>
      <c r="L13" s="25"/>
      <c r="M13" s="25"/>
      <c r="N13" s="25"/>
      <c r="O13" s="25"/>
      <c r="P13" s="25"/>
    </row>
    <row xmlns:x14ac="http://schemas.microsoft.com/office/spreadsheetml/2009/9/ac" r="14" x14ac:dyDescent="0.3">
      <c r="A14" s="6" t="s">
        <v>505</v>
      </c>
      <c r="B14" s="26">
        <v>0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1</v>
      </c>
      <c r="J14" s="26">
        <v>0</v>
      </c>
      <c r="K14" s="26"/>
      <c r="L14" s="26"/>
      <c r="M14" s="26"/>
      <c r="N14" s="26"/>
      <c r="O14" s="26"/>
      <c r="P14" s="26"/>
    </row>
  </sheetData>
  <mergeCells count="1">
    <mergeCell ref="A1:P1"/>
  </mergeCells>
  <conditionalFormatting sqref="B3:P1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4"/>
  <sheetViews>
    <sheetView workbookViewId="0">
      <selection activeCell="E19" sqref="E19"/>
    </sheetView>
  </sheetViews>
  <sheetFormatPr xmlns:x14ac="http://schemas.microsoft.com/office/spreadsheetml/2009/9/ac" defaultRowHeight="14.4" x14ac:dyDescent="0.3"/>
  <cols>
    <col min="1" max="1" width="8" style="8" bestFit="true" customWidth="true"/>
    <col min="2" max="2" width="18.6640625" style="8" customWidth="true"/>
    <col min="3" max="3" width="18.6640625" style="8" customWidth="true"/>
    <col min="4" max="4" width="18.6640625" style="8" customWidth="true"/>
    <col min="5" max="5" width="20.6640625" style="8" customWidth="true"/>
    <col min="6" max="6" width="15.44140625" style="8" customWidth="true"/>
    <col min="7" max="7" width="14.33203125" style="8" customWidth="true"/>
    <col min="9" max="9" width="14.37890625" style="8" customWidth="true"/>
    <col min="10" max="10" width="15.37890625" style="8" bestFit="true" customWidth="true"/>
    <col min="12" max="16384" width="8.88671875" style="8"/>
    <col min="8" max="8" width="13.44140625" style="8" customWidth="true"/>
    <col min="11" max="11" width="4" style="8" bestFit="true" customWidth="true"/>
  </cols>
  <sheetData>
    <row xmlns:x14ac="http://schemas.microsoft.com/office/spreadsheetml/2009/9/ac" r="1" ht="15" thickBot="true" x14ac:dyDescent="0.35">
      <c r="A1" s="23" t="s">
        <v>193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xmlns:x14ac="http://schemas.microsoft.com/office/spreadsheetml/2009/9/ac" r="2" x14ac:dyDescent="0.3">
      <c r="A2" s="2" t="s">
        <v>493</v>
      </c>
      <c r="B2" s="2" t="s">
        <v>521</v>
      </c>
      <c r="C2" s="2" t="s">
        <v>522</v>
      </c>
      <c r="D2" s="2" t="s">
        <v>523</v>
      </c>
      <c r="E2" s="2" t="s">
        <v>524</v>
      </c>
      <c r="F2" s="2" t="s">
        <v>525</v>
      </c>
      <c r="G2" s="2" t="s">
        <v>526</v>
      </c>
      <c r="H2" s="2" t="s">
        <v>527</v>
      </c>
      <c r="I2" s="2" t="s">
        <v>360</v>
      </c>
      <c r="J2" s="2" t="s">
        <v>361</v>
      </c>
      <c r="K2" s="2">
        <v>9</v>
      </c>
      <c r="L2" s="2"/>
      <c r="M2" s="2"/>
      <c r="N2" s="2"/>
      <c r="O2" s="2"/>
      <c r="P2" s="2"/>
    </row>
    <row xmlns:x14ac="http://schemas.microsoft.com/office/spreadsheetml/2009/9/ac" r="3" x14ac:dyDescent="0.3">
      <c r="A3" s="3" t="s">
        <v>494</v>
      </c>
      <c r="B3" s="3">
        <v>1</v>
      </c>
      <c r="C3" s="3">
        <v>6</v>
      </c>
      <c r="D3" s="3">
        <v>6</v>
      </c>
      <c r="E3" s="3">
        <v>6</v>
      </c>
      <c r="F3" s="3">
        <v>6</v>
      </c>
      <c r="G3" s="3">
        <v>6</v>
      </c>
      <c r="H3" s="3">
        <v>6</v>
      </c>
      <c r="I3" s="3">
        <v>0</v>
      </c>
      <c r="J3" s="3">
        <v>0</v>
      </c>
      <c r="K3" s="3">
        <v>21</v>
      </c>
      <c r="L3" s="3"/>
      <c r="M3" s="3"/>
      <c r="N3" s="3"/>
      <c r="O3" s="3"/>
      <c r="P3" s="3"/>
    </row>
    <row xmlns:x14ac="http://schemas.microsoft.com/office/spreadsheetml/2009/9/ac" r="4" x14ac:dyDescent="0.3">
      <c r="A4" s="10" t="s">
        <v>495</v>
      </c>
      <c r="B4" s="10">
        <v>3</v>
      </c>
      <c r="C4" s="10">
        <v>6</v>
      </c>
      <c r="D4" s="10">
        <v>6</v>
      </c>
      <c r="E4" s="10">
        <v>6</v>
      </c>
      <c r="F4" s="10">
        <v>6</v>
      </c>
      <c r="G4" s="10">
        <v>6</v>
      </c>
      <c r="H4" s="10">
        <v>6</v>
      </c>
      <c r="I4" s="10">
        <v>0</v>
      </c>
      <c r="J4" s="10">
        <v>0</v>
      </c>
      <c r="K4" s="10">
        <v>0</v>
      </c>
      <c r="L4" s="10"/>
      <c r="M4" s="10"/>
      <c r="N4" s="10"/>
      <c r="O4" s="10"/>
      <c r="P4" s="10"/>
    </row>
    <row xmlns:x14ac="http://schemas.microsoft.com/office/spreadsheetml/2009/9/ac" r="5" x14ac:dyDescent="0.3">
      <c r="A5" s="10" t="s">
        <v>496</v>
      </c>
      <c r="B5" s="10">
        <v>3</v>
      </c>
      <c r="C5" s="10">
        <v>5</v>
      </c>
      <c r="D5" s="10">
        <v>6</v>
      </c>
      <c r="E5" s="10">
        <v>6</v>
      </c>
      <c r="F5" s="10">
        <v>6</v>
      </c>
      <c r="G5" s="10">
        <v>6</v>
      </c>
      <c r="H5" s="10">
        <v>6</v>
      </c>
      <c r="I5" s="10">
        <v>0</v>
      </c>
      <c r="J5" s="10">
        <v>283</v>
      </c>
      <c r="K5" s="10">
        <v>250</v>
      </c>
      <c r="L5" s="10"/>
      <c r="M5" s="10"/>
      <c r="N5" s="10"/>
      <c r="O5" s="10"/>
      <c r="P5" s="10"/>
    </row>
    <row xmlns:x14ac="http://schemas.microsoft.com/office/spreadsheetml/2009/9/ac" r="6" x14ac:dyDescent="0.3">
      <c r="A6" s="10" t="s">
        <v>497</v>
      </c>
      <c r="B6" s="10">
        <v>4</v>
      </c>
      <c r="C6" s="10">
        <v>6</v>
      </c>
      <c r="D6" s="10">
        <v>6</v>
      </c>
      <c r="E6" s="10">
        <v>6</v>
      </c>
      <c r="F6" s="10">
        <v>6</v>
      </c>
      <c r="G6" s="10">
        <v>6</v>
      </c>
      <c r="H6" s="10">
        <v>6</v>
      </c>
      <c r="I6" s="10">
        <v>328</v>
      </c>
      <c r="J6" s="10">
        <v>286</v>
      </c>
      <c r="K6" s="10">
        <v>0</v>
      </c>
      <c r="L6" s="10"/>
      <c r="M6" s="10"/>
      <c r="N6" s="10"/>
      <c r="O6" s="10"/>
      <c r="P6" s="10"/>
    </row>
    <row xmlns:x14ac="http://schemas.microsoft.com/office/spreadsheetml/2009/9/ac" r="7" x14ac:dyDescent="0.3">
      <c r="A7" s="10" t="s">
        <v>498</v>
      </c>
      <c r="B7" s="10">
        <v>6</v>
      </c>
      <c r="C7" s="10">
        <v>6</v>
      </c>
      <c r="D7" s="10">
        <v>6</v>
      </c>
      <c r="E7" s="10">
        <v>6</v>
      </c>
      <c r="F7" s="10">
        <v>6</v>
      </c>
      <c r="G7" s="10">
        <v>6</v>
      </c>
      <c r="H7" s="10">
        <v>6</v>
      </c>
      <c r="I7" s="10">
        <v>11</v>
      </c>
      <c r="J7" s="10">
        <v>269</v>
      </c>
      <c r="K7" s="10">
        <v>0</v>
      </c>
      <c r="L7" s="10"/>
      <c r="M7" s="10"/>
      <c r="N7" s="10"/>
      <c r="O7" s="10"/>
      <c r="P7" s="10"/>
    </row>
    <row xmlns:x14ac="http://schemas.microsoft.com/office/spreadsheetml/2009/9/ac" r="8" x14ac:dyDescent="0.3">
      <c r="A8" s="10" t="s">
        <v>499</v>
      </c>
      <c r="B8" s="10">
        <v>0</v>
      </c>
      <c r="C8" s="10">
        <v>6</v>
      </c>
      <c r="D8" s="10">
        <v>6</v>
      </c>
      <c r="E8" s="10">
        <v>6</v>
      </c>
      <c r="F8" s="10">
        <v>6</v>
      </c>
      <c r="G8" s="10">
        <v>6</v>
      </c>
      <c r="H8" s="10">
        <v>6</v>
      </c>
      <c r="I8" s="10">
        <v>0</v>
      </c>
      <c r="J8" s="10">
        <v>0</v>
      </c>
      <c r="K8" s="10">
        <v>0</v>
      </c>
      <c r="L8" s="10"/>
      <c r="M8" s="10"/>
      <c r="N8" s="10"/>
      <c r="O8" s="10"/>
      <c r="P8" s="10"/>
    </row>
    <row xmlns:x14ac="http://schemas.microsoft.com/office/spreadsheetml/2009/9/ac" r="9" x14ac:dyDescent="0.3">
      <c r="A9" s="10" t="s">
        <v>500</v>
      </c>
      <c r="B9" s="10">
        <v>6</v>
      </c>
      <c r="C9" s="10">
        <v>5</v>
      </c>
      <c r="D9" s="10">
        <v>6</v>
      </c>
      <c r="E9" s="10">
        <v>6</v>
      </c>
      <c r="F9" s="10">
        <v>6</v>
      </c>
      <c r="G9" s="10">
        <v>6</v>
      </c>
      <c r="H9" s="10">
        <v>6</v>
      </c>
      <c r="I9" s="10">
        <v>68</v>
      </c>
      <c r="J9" s="10">
        <v>235</v>
      </c>
      <c r="K9" s="10">
        <v>6</v>
      </c>
      <c r="L9" s="10"/>
      <c r="M9" s="10"/>
      <c r="N9" s="10"/>
      <c r="O9" s="10"/>
      <c r="P9" s="10"/>
    </row>
    <row xmlns:x14ac="http://schemas.microsoft.com/office/spreadsheetml/2009/9/ac" r="10" x14ac:dyDescent="0.3">
      <c r="A10" s="10" t="s">
        <v>501</v>
      </c>
      <c r="B10" s="10">
        <v>6</v>
      </c>
      <c r="C10" s="10">
        <v>6</v>
      </c>
      <c r="D10" s="10">
        <v>6</v>
      </c>
      <c r="E10" s="10">
        <v>6</v>
      </c>
      <c r="F10" s="10">
        <v>6</v>
      </c>
      <c r="G10" s="10">
        <v>6</v>
      </c>
      <c r="H10" s="10">
        <v>6</v>
      </c>
      <c r="I10" s="10">
        <v>52</v>
      </c>
      <c r="J10" s="10">
        <v>132</v>
      </c>
      <c r="K10" s="10">
        <v>0</v>
      </c>
      <c r="L10" s="10"/>
      <c r="M10" s="10"/>
      <c r="N10" s="10"/>
      <c r="O10" s="10"/>
      <c r="P10" s="10"/>
    </row>
    <row xmlns:x14ac="http://schemas.microsoft.com/office/spreadsheetml/2009/9/ac" r="11" x14ac:dyDescent="0.3">
      <c r="A11" s="10" t="s">
        <v>502</v>
      </c>
      <c r="B11" s="10">
        <v>1</v>
      </c>
      <c r="C11" s="10">
        <v>6</v>
      </c>
      <c r="D11" s="10">
        <v>6</v>
      </c>
      <c r="E11" s="10">
        <v>6</v>
      </c>
      <c r="F11" s="10">
        <v>6</v>
      </c>
      <c r="G11" s="10">
        <v>6</v>
      </c>
      <c r="H11" s="10">
        <v>6</v>
      </c>
      <c r="I11" s="10">
        <v>0</v>
      </c>
      <c r="J11" s="10">
        <v>0</v>
      </c>
      <c r="K11" s="10">
        <v>0</v>
      </c>
      <c r="L11" s="10"/>
      <c r="M11" s="10"/>
      <c r="N11" s="10"/>
      <c r="O11" s="10"/>
      <c r="P11" s="10"/>
    </row>
    <row xmlns:x14ac="http://schemas.microsoft.com/office/spreadsheetml/2009/9/ac" r="12" x14ac:dyDescent="0.3">
      <c r="A12" s="10" t="s">
        <v>503</v>
      </c>
      <c r="B12" s="10">
        <v>1</v>
      </c>
      <c r="C12" s="10">
        <v>2</v>
      </c>
      <c r="D12" s="10">
        <v>6</v>
      </c>
      <c r="E12" s="10">
        <v>5</v>
      </c>
      <c r="F12" s="10">
        <v>6</v>
      </c>
      <c r="G12" s="10">
        <v>6</v>
      </c>
      <c r="H12" s="10">
        <v>6</v>
      </c>
      <c r="I12" s="10">
        <v>54</v>
      </c>
      <c r="J12" s="10">
        <v>130</v>
      </c>
      <c r="K12" s="10">
        <v>269</v>
      </c>
      <c r="L12" s="10"/>
      <c r="M12" s="10"/>
      <c r="N12" s="10"/>
      <c r="O12" s="10"/>
      <c r="P12" s="10"/>
    </row>
    <row xmlns:x14ac="http://schemas.microsoft.com/office/spreadsheetml/2009/9/ac" r="13" x14ac:dyDescent="0.3">
      <c r="A13" s="10" t="s">
        <v>504</v>
      </c>
      <c r="B13" s="10">
        <v>6</v>
      </c>
      <c r="C13" s="10">
        <v>6</v>
      </c>
      <c r="D13" s="10">
        <v>6</v>
      </c>
      <c r="E13" s="10">
        <v>6</v>
      </c>
      <c r="F13" s="10">
        <v>6</v>
      </c>
      <c r="G13" s="10">
        <v>6</v>
      </c>
      <c r="H13" s="10">
        <v>6</v>
      </c>
      <c r="I13" s="10">
        <v>185</v>
      </c>
      <c r="J13" s="10">
        <v>1</v>
      </c>
      <c r="K13" s="10">
        <v>0</v>
      </c>
      <c r="L13" s="10"/>
      <c r="M13" s="10"/>
      <c r="N13" s="10"/>
      <c r="O13" s="10"/>
      <c r="P13" s="10"/>
    </row>
    <row xmlns:x14ac="http://schemas.microsoft.com/office/spreadsheetml/2009/9/ac" r="14" x14ac:dyDescent="0.3">
      <c r="A14" s="6" t="s">
        <v>505</v>
      </c>
      <c r="B14" s="6">
        <v>1</v>
      </c>
      <c r="C14" s="6">
        <v>3</v>
      </c>
      <c r="D14" s="6">
        <v>4</v>
      </c>
      <c r="E14" s="6">
        <v>4</v>
      </c>
      <c r="F14" s="6">
        <v>6</v>
      </c>
      <c r="G14" s="6">
        <v>6</v>
      </c>
      <c r="H14" s="6">
        <v>6</v>
      </c>
      <c r="I14" s="6">
        <v>0</v>
      </c>
      <c r="J14" s="6">
        <v>189</v>
      </c>
      <c r="K14" s="6"/>
      <c r="L14" s="6"/>
      <c r="M14" s="6"/>
      <c r="N14" s="6"/>
      <c r="O14" s="6"/>
      <c r="P14" s="6"/>
    </row>
  </sheetData>
  <mergeCells count="1">
    <mergeCell ref="A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>
      <selection activeCell="C22" sqref="C22"/>
    </sheetView>
  </sheetViews>
  <sheetFormatPr xmlns:x14ac="http://schemas.microsoft.com/office/spreadsheetml/2009/9/ac" defaultRowHeight="14.4" x14ac:dyDescent="0.3"/>
  <cols>
    <col min="1" max="1" width="46.109375" customWidth="true"/>
  </cols>
  <sheetData>
    <row xmlns:x14ac="http://schemas.microsoft.com/office/spreadsheetml/2009/9/ac" r="1" x14ac:dyDescent="0.3">
      <c r="A1" s="0" t="s">
        <v>511</v>
      </c>
    </row>
    <row xmlns:x14ac="http://schemas.microsoft.com/office/spreadsheetml/2009/9/ac" r="2" x14ac:dyDescent="0.3">
      <c r="A2" s="0" t="s">
        <v>512</v>
      </c>
    </row>
    <row xmlns:x14ac="http://schemas.microsoft.com/office/spreadsheetml/2009/9/ac" r="3" x14ac:dyDescent="0.3">
      <c r="A3" s="0" t="s">
        <v>513</v>
      </c>
    </row>
    <row xmlns:x14ac="http://schemas.microsoft.com/office/spreadsheetml/2009/9/ac" r="4" x14ac:dyDescent="0.3">
      <c r="A4" s="0" t="s">
        <v>514</v>
      </c>
    </row>
    <row xmlns:x14ac="http://schemas.microsoft.com/office/spreadsheetml/2009/9/ac" r="5" x14ac:dyDescent="0.3">
      <c r="A5" s="0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2025-08-15T20:11:46Z</dcterms:modified>
</cp:coreProperties>
</file>