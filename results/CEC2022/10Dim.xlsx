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sonh\Desktop\New folder\CEC2022\"/>
    </mc:Choice>
  </mc:AlternateContent>
  <xr:revisionPtr revIDLastSave="0" documentId="13_ncr:1_{EB43C841-B762-4258-AD09-F4EF1F55F033}" xr6:coauthVersionLast="47" xr6:coauthVersionMax="47" xr10:uidLastSave="{00000000-0000-0000-0000-000000000000}"/>
  <bookViews>
    <workbookView xWindow="-108" yWindow="-108" windowWidth="23256" windowHeight="12456"/>
  </bookViews>
  <sheets>
    <sheet name="Conclusions" sheetId="2" r:id="rId1"/>
    <sheet name="TTest_p" sheetId="4" r:id="rId2"/>
    <sheet name="TTest_h" sheetId="5" r:id="rId3"/>
    <sheet name="Wilcoxon_p" sheetId="6" r:id="rId4"/>
    <sheet name="Wilcoxon_h" sheetId="7" r:id="rId5"/>
    <sheet name="Wilcoxon_stat" sheetId="8" r:id="rId6"/>
    <sheet name="Explanation" sheetId="9" r:id="rId7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<sst xmlns="http://schemas.openxmlformats.org/spreadsheetml/2006/main" xmlns:r="http://schemas.openxmlformats.org/officeDocument/2006/relationships" xmlns:xdr="http://schemas.openxmlformats.org/drawingml/2006/spreadsheetDrawing" count="808" uniqueCount="500">
  <si>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</si>
  <si>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</si>
  <si>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</si>
  <si>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</si>
  <si>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</si>
  <si>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</si>
  <si>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</si>
  <si>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</si>
  <si>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</si>
  <si>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</si>
  <si>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</si>
  <si>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</si>
  <si>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Mean</t>
  </si>
  <si>
    <t>Std</t>
  </si>
  <si>
    <t>CPU</t>
  </si>
  <si>
    <t>Unimodal
Functions</t>
  </si>
  <si>
    <t>Composition
Functions</t>
  </si>
  <si>
    <t>Functions</t>
  </si>
  <si>
    <t>Column1</t>
  </si>
  <si>
    <t>Column2</t>
  </si>
  <si>
    <t>Basic
Functions</t>
  </si>
  <si>
    <t>Hybrid
Functions</t>
  </si>
  <si>
    <t>Comparison of optimization results for the CEC benchmark functions 2022 (10 Dim)</t>
  </si>
  <si>
    <t>Total number of 
best answers</t>
  </si>
  <si>
    <t>Rank by total number of 
best answers</t>
  </si>
  <si>
    <t>Average rating in the set</t>
  </si>
  <si>
    <t>Rank based on 
the average in the set</t>
  </si>
  <si>
    <t>Function</t>
  </si>
  <si>
    <t>F1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</si>
  <si>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</si>
  <si>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</si>
  <si>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</si>
  <si>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</si>
  <si>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</si>
  <si>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</si>
  <si>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</si>
  <si>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</si>
  <si>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</si>
  <si>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</si>
  <si>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</si>
  <si>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</si>
  <si>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</si>
  <si>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</si>
  <si>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</si>
  <si>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</si>
  <si>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</si>
  <si>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</si>
  <si>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</si>
  <si>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</si>
  <si>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</si>
  <si>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</si>
  <si>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</si>
  <si>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</si>
  <si>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</si>
  <si>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</si>
  <si>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</si>
  <si>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</si>
  <si>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</si>
  <si>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</si>
  <si>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</si>
  <si>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</si>
  <si>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</si>
  <si>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</si>
  <si>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</si>
  <si>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</si>
  <si>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</si>
  <si>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</si>
  <si>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</si>
  <si>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</si>
  <si>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</si>
  <si>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</si>
  <si>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</si>
  <si>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</si>
  <si>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</si>
  <si>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</si>
  <si>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</si>
  <si>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</si>
  <si>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MADFOA_vs_WHO</t>
  </si>
  <si>
    <t>MADFOA_vs_SBO</t>
  </si>
  <si>
    <t>MADFOA_vs_CSA</t>
  </si>
  <si>
    <t>MADFOA_vs_LEA</t>
  </si>
  <si>
    <t>MADFOA_vs_SSA</t>
  </si>
  <si>
    <t>MADFOA_vs_GSA</t>
  </si>
  <si>
    <t>MADFOA_vs_PSO</t>
  </si>
  <si>
    <t>MADFOA_vs_GA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</si>
  <si>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</si>
  <si>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</si>
  <si>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</si>
  <si>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</si>
  <si>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</si>
  <si>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</si>
  <si>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</si>
  <si>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</si>
  <si>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</si>
  <si>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</si>
  <si>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</si>
  <si>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</si>
  <si>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</si>
  <si>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</si>
  <si>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</si>
  <si>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</si>
  <si>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</si>
  <si>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</si>
  <si>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</si>
  <si>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</si>
  <si>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</si>
  <si>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</si>
  <si>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</si>
  <si>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</si>
  <si>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</si>
  <si>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</si>
  <si>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</si>
  <si>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</si>
  <si>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</si>
  <si>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</si>
  <si>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</si>
  <si>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</si>
  <si>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</si>
  <si>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</si>
  <si>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</si>
  <si>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</si>
  <si>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</si>
  <si>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</si>
  <si>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</si>
  <si>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</si>
  <si>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</si>
  <si>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</si>
  <si>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</si>
  <si>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</si>
  <si>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</si>
  <si>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</si>
  <si>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</si>
  <si>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</si>
  <si>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Conclusions: Mean, Std, CPU per function and algorithm</t>
  </si>
  <si>
    <t>Raw data: per-algorithm time series in separate files</t>
  </si>
  <si>
    <t>TTest_p: p-values of paired t-test (first vs others)</t>
  </si>
  <si>
    <t>TTest_h: hReject flags of paired t-test</t>
  </si>
  <si>
    <t>Wilcoxon_p/h/stat: p-values, hFlags, and signed-rank stats</t>
  </si>
  <si>
    <t>MADFOA vs WHO</t>
  </si>
  <si>
    <t>MADFOA vs SBO</t>
  </si>
  <si>
    <t>MADFOA vs CSA</t>
  </si>
  <si>
    <t>MADFOA vs LEA</t>
  </si>
  <si>
    <t>MADFOA vs SSA</t>
  </si>
  <si>
    <t>MADFOA vs GSA</t>
  </si>
  <si>
    <t>MADFOA vs PSO</t>
  </si>
  <si>
    <t>MADFOA vs GA</t>
  </si>
  <si>
    <t>P-value of the Wilcoxon analysis for the CEC benchmark functions 2022 (10 Dim)</t>
  </si>
  <si>
    <t>Algoritm 1</t>
  </si>
  <si>
    <t>Algoritm 2</t>
  </si>
  <si>
    <t>Algoritm 3</t>
  </si>
  <si>
    <t>Algoritm 4</t>
  </si>
  <si>
    <t>Algoritm 5</t>
  </si>
  <si>
    <t>Algoritm 6</t>
  </si>
  <si>
    <t>Algoritm 7</t>
  </si>
  <si>
    <t>Algoritm 8</t>
  </si>
  <si>
    <t>Algoritm 9</t>
  </si>
  <si>
    <t>Algoritm 10</t>
  </si>
  <si>
    <t>Algoritm 11</t>
  </si>
  <si>
    <t>Algoritm 12</t>
  </si>
  <si>
    <t>Algoritm 13</t>
  </si>
  <si>
    <t>Algoritm 14</t>
  </si>
  <si>
    <t>Algoritm 15</t>
  </si>
  <si>
    <t>P-value of the T-test analysis for the CEC benchmark functions 2022 (10 Dim)</t>
  </si>
  <si>
    <t>H-value of the T-test analysis for the CEC benchmark functions 2022 (10 Dim)</t>
  </si>
  <si>
    <t>H-value of the Wilcoxon analysis for the CEC benchmark functions 2022 (10 Dim)</t>
  </si>
  <si>
    <t>State of the Wilcoxon analysis for the CEC benchmark functions 2022 (10 Dim)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</si>
  <si>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</si>
  <si>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</si>
  <si>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</si>
  <si>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</si>
  <si>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</si>
  <si>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</si>
  <si>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</si>
  <si>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</si>
  <si>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</si>
  <si>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</si>
  <si>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</si>
  <si>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</si>
  <si>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</si>
  <si>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</si>
  <si>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</si>
  <si>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</si>
  <si>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</si>
  <si>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</si>
  <si>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</si>
  <si>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</si>
  <si>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</si>
  <si>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</si>
  <si>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</si>
  <si>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</si>
  <si>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</si>
  <si>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</si>
  <si>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</si>
  <si>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</si>
  <si>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</si>
  <si>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</si>
  <si>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</si>
  <si>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</si>
  <si>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</si>
  <si>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</si>
  <si>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</si>
  <si>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</si>
  <si>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</si>
  <si>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</si>
  <si>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</si>
  <si>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</si>
  <si>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</si>
  <si>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</si>
  <si>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</si>
  <si>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</si>
  <si>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</si>
  <si>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</si>
  <si>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</si>
  <si>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</si>
  <si>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MADFOA</t>
  </si>
  <si>
    <t>SSA</t>
  </si>
  <si>
    <t>GSA</t>
  </si>
  <si>
    <t>PSO</t>
  </si>
  <si>
    <t>GA</t>
  </si>
  <si>
    <t>CSA</t>
  </si>
  <si>
    <t>LEA</t>
  </si>
  <si>
    <t>WHO</t>
  </si>
  <si>
    <t>SBO</t>
  </si>
  <si>
    <t>GWO</t>
  </si>
  <si>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</si>
  <si>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</si>
  <si>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</si>
  <si>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</si>
  <si>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</si>
  <si>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</si>
  <si>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</si>
  <si>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</si>
  <si>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</si>
  <si>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</si>
  <si>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</si>
  <si>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</si>
  <si>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</si>
  <si>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MADFOA vs SSA</t>
  </si>
  <si>
    <t>MADFOA vs GSA</t>
  </si>
  <si>
    <t>MADFOA vs PSO</t>
  </si>
  <si>
    <t>MADFOA vs GA</t>
  </si>
  <si>
    <t>MADFOA vs CSA</t>
  </si>
  <si>
    <t>MADFOA vs LEA</t>
  </si>
  <si>
    <t>MADFOA vs WHO</t>
  </si>
  <si>
    <t>MADFOA vs SBO</t>
  </si>
  <si>
    <t>MADFOA vs GWO</t>
  </si>
  <si>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</si>
  <si>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</si>
  <si>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</si>
  <si>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</si>
  <si>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</si>
  <si>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</si>
  <si>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</si>
  <si>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</si>
  <si>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</si>
  <si>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</si>
  <si>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</si>
  <si>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</si>
  <si>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</si>
  <si>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MADFOA vs SSA</t>
  </si>
  <si>
    <t>MADFOA vs GSA</t>
  </si>
  <si>
    <t>MADFOA vs PSO</t>
  </si>
  <si>
    <t>MADFOA vs GA</t>
  </si>
  <si>
    <t>MADFOA vs CSA</t>
  </si>
  <si>
    <t>MADFOA vs LEA</t>
  </si>
  <si>
    <t>MADFOA vs WHO</t>
  </si>
  <si>
    <t>MADFOA vs SBO</t>
  </si>
  <si>
    <t>MADFOA vs GWO</t>
  </si>
  <si>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</si>
  <si>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</si>
  <si>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</si>
  <si>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</si>
  <si>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</si>
  <si>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</si>
  <si>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</si>
  <si>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</si>
  <si>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</si>
  <si>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</si>
  <si>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</si>
  <si>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</si>
  <si>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</si>
  <si>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MADFOA vs SSA</t>
  </si>
  <si>
    <t>MADFOA vs GSA</t>
  </si>
  <si>
    <t>MADFOA vs PSO</t>
  </si>
  <si>
    <t>MADFOA vs GA</t>
  </si>
  <si>
    <t>MADFOA vs CSA</t>
  </si>
  <si>
    <t>MADFOA vs LEA</t>
  </si>
  <si>
    <t>MADFOA vs WHO</t>
  </si>
  <si>
    <t>MADFOA vs SBO</t>
  </si>
  <si>
    <t>MADFOA vs GWO</t>
  </si>
  <si>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</si>
  <si>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</si>
  <si>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</si>
  <si>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</si>
  <si>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</si>
  <si>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</si>
  <si>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</si>
  <si>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</si>
  <si>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</si>
  <si>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</si>
  <si>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</si>
  <si>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</si>
  <si>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</si>
  <si>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MADFOA vs SSA</t>
  </si>
  <si>
    <t>MADFOA vs GSA</t>
  </si>
  <si>
    <t>MADFOA vs PSO</t>
  </si>
  <si>
    <t>MADFOA vs GA</t>
  </si>
  <si>
    <t>MADFOA vs CSA</t>
  </si>
  <si>
    <t>MADFOA vs LEA</t>
  </si>
  <si>
    <t>MADFOA vs WHO</t>
  </si>
  <si>
    <t>MADFOA vs SBO</t>
  </si>
  <si>
    <t>MADFOA vs GWO</t>
  </si>
  <si>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</si>
  <si>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</si>
  <si>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</si>
  <si>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</si>
  <si>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</si>
  <si>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</si>
  <si>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</si>
  <si>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</si>
  <si>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</si>
  <si>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</si>
  <si>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</si>
  <si>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</si>
  <si>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</si>
  <si>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MADFOA vs SSA</t>
  </si>
  <si>
    <t>MADFOA vs GSA</t>
  </si>
  <si>
    <t>MADFOA vs PSO</t>
  </si>
  <si>
    <t>MADFOA vs GA</t>
  </si>
  <si>
    <t>MADFOA vs CSA</t>
  </si>
  <si>
    <t>MADFOA vs LEA</t>
  </si>
  <si>
    <t>MADFOA vs WHO</t>
  </si>
  <si>
    <t>MADFOA vs SBO</t>
  </si>
  <si>
    <t>MADFOA vs GWO</t>
  </si>
  <si>
    <t>Conclusions: Mean, Std, CPU per function and algorithm</t>
  </si>
  <si>
    <t>Raw data: per-algorithm time series in separate files</t>
  </si>
  <si>
    <t>TTest_p: p-values of paired t-test (first vs others)</t>
  </si>
  <si>
    <t>TTest_h: hReject flags of paired t-test</t>
  </si>
  <si>
    <t>Wilcoxon_p/h/stat: p-values, hFlags, and signed-rank stats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</si>
  <si>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</si>
  <si>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</si>
  <si>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</si>
  <si>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</si>
  <si>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</si>
  <si>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</si>
  <si>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</si>
  <si>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</si>
  <si>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</si>
  <si>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</si>
  <si>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</si>
  <si>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</si>
  <si>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</si>
  <si>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</si>
  <si>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</si>
  <si>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</si>
  <si>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</si>
  <si>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</si>
  <si>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</si>
  <si>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</si>
  <si>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</si>
  <si>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</si>
  <si>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</si>
  <si>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</si>
  <si>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</si>
  <si>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</si>
  <si>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</si>
  <si>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</si>
  <si>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</si>
  <si>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</si>
  <si>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</si>
  <si>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</si>
  <si>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</si>
  <si>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</si>
  <si>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</si>
  <si>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</si>
  <si>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</si>
  <si>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</si>
  <si>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</si>
  <si>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</si>
  <si>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</si>
  <si>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</si>
  <si>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</si>
  <si>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</si>
  <si>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</si>
  <si>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</si>
  <si>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</si>
  <si>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</si>
  <si>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SFOOLMBES</t>
  </si>
  <si>
    <t>SFO</t>
  </si>
  <si>
    <t>HHO</t>
  </si>
  <si>
    <t>GWO</t>
  </si>
  <si>
    <t>PSO</t>
  </si>
  <si>
    <t>GA</t>
  </si>
  <si>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</si>
  <si>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</si>
  <si>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</si>
  <si>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</si>
  <si>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</si>
  <si>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</si>
  <si>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</si>
  <si>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</si>
  <si>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</si>
  <si>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</si>
  <si>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</si>
  <si>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</si>
  <si>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</si>
  <si>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SFOOLMBES vs SFO</t>
  </si>
  <si>
    <t>SFOOLMBES vs HHO</t>
  </si>
  <si>
    <t>SFOOLMBES vs GWO</t>
  </si>
  <si>
    <t>SFOOLMBES vs PSO</t>
  </si>
  <si>
    <t>SFOOLMBES vs GA</t>
  </si>
  <si>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</si>
  <si>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</si>
  <si>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</si>
  <si>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</si>
  <si>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</si>
  <si>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</si>
  <si>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</si>
  <si>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</si>
  <si>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</si>
  <si>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</si>
  <si>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</si>
  <si>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</si>
  <si>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</si>
  <si>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SFOOLMBES vs SFO</t>
  </si>
  <si>
    <t>SFOOLMBES vs HHO</t>
  </si>
  <si>
    <t>SFOOLMBES vs GWO</t>
  </si>
  <si>
    <t>SFOOLMBES vs PSO</t>
  </si>
  <si>
    <t>SFOOLMBES vs GA</t>
  </si>
  <si>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</si>
  <si>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</si>
  <si>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</si>
  <si>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</si>
  <si>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</si>
  <si>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</si>
  <si>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</si>
  <si>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</si>
  <si>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</si>
  <si>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</si>
  <si>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</si>
  <si>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</si>
  <si>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</si>
  <si>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SFOOLMBES vs SFO</t>
  </si>
  <si>
    <t>SFOOLMBES vs HHO</t>
  </si>
  <si>
    <t>SFOOLMBES vs GWO</t>
  </si>
  <si>
    <t>SFOOLMBES vs PSO</t>
  </si>
  <si>
    <t>SFOOLMBES vs GA</t>
  </si>
  <si>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</si>
  <si>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</si>
  <si>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</si>
  <si>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</si>
  <si>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</si>
  <si>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</si>
  <si>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</si>
  <si>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</si>
  <si>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</si>
  <si>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</si>
  <si>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</si>
  <si>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</si>
  <si>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</si>
  <si>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SFOOLMBES vs SFO</t>
  </si>
  <si>
    <t>SFOOLMBES vs HHO</t>
  </si>
  <si>
    <t>SFOOLMBES vs GWO</t>
  </si>
  <si>
    <t>SFOOLMBES vs PSO</t>
  </si>
  <si>
    <t>SFOOLMBES vs GA</t>
  </si>
  <si>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</si>
  <si>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</si>
  <si>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</si>
  <si>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</si>
  <si>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</si>
  <si>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</si>
  <si>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</si>
  <si>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</si>
  <si>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</si>
  <si>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</si>
  <si>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</si>
  <si>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</si>
  <si>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</si>
  <si>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SFOOLMBES vs SFO</t>
  </si>
  <si>
    <t>SFOOLMBES vs HHO</t>
  </si>
  <si>
    <t>SFOOLMBES vs GWO</t>
  </si>
  <si>
    <t>SFOOLMBES vs PSO</t>
  </si>
  <si>
    <t>SFOOLMBES vs GA</t>
  </si>
  <si>
    <t>Conclusions: Mean, Std, CPU per function and algorithm</t>
  </si>
  <si>
    <t>Raw data: per-algorithm time series in separate files</t>
  </si>
  <si>
    <t>TTest_p: p-values of paired t-test (first vs others)</t>
  </si>
  <si>
    <t>TTest_h: hReject flags of paired t-test</t>
  </si>
  <si>
    <t>Wilcoxon_p/h/stat: p-values, hFlags, and signed-rank stats</t>
  </si>
  <si>
    <t>ORCAS_1</t>
  </si>
  <si>
    <t>ORCAS_2</t>
  </si>
  <si>
    <t>ORCAS_3</t>
  </si>
  <si>
    <t>ORCAS_4</t>
  </si>
  <si>
    <t>ORCAS_4_1</t>
  </si>
  <si>
    <t>ORCAS_1 vs ORCAS_2</t>
  </si>
  <si>
    <t>ORCAS_1 vs ORCAS_3</t>
  </si>
  <si>
    <t>ORCAS_1 vs ORCAS_4</t>
  </si>
  <si>
    <t>ORCAS_1 vs ORCAS_4_1</t>
  </si>
  <si>
    <t>ORCAS_1 vs GWO</t>
  </si>
  <si>
    <t>ORCAS_1 vs PSO</t>
  </si>
  <si>
    <t>ORCAS_1 vs GA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</si>
</sst>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1">
    <numFmt numFmtId="164" formatCode="0.000"/>
  </numFmts>
  <fonts count="4">
    <font>
      <sz val="11"/>
      <name val="Calibri"/>
    </font>
    <font>
      <sz val="11"/>
      <name val="Calibri"/>
      <family val="2"/>
    </font>
    <font>
      <b/>
      <sz val="11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/>
      <diagonal/>
    </border>
    <border>
      <left/>
      <right/>
      <top/>
      <bottom style="medium">
        <color indexed="64"/>
      </bottom>
      <diagonal/>
    </border>
    <border/>
  </borders>
  <cellStyleXfs count="1">
    <xf numFmtId="0" fontId="0" fillId="0" borderId="0"/>
  </cellStyleXfs>
  <cellXfs count="33">
    <xf numFmtId="0" fontId="0" fillId="0" borderId="0" xfId="0"/>
    <xf numFmtId="0" fontId="1" fillId="0" borderId="2" xfId="0" applyFont="true" applyBorder="true" applyAlignment="true">
      <alignment horizontal="left" vertical="top"/>
    </xf>
    <xf numFmtId="0" fontId="0" fillId="0" borderId="2" xfId="0" applyBorder="true" applyAlignment="true">
      <alignment horizontal="left" vertical="top"/>
    </xf>
    <xf numFmtId="0" fontId="0" fillId="0" borderId="3" xfId="0" applyBorder="true" applyAlignment="true">
      <alignment horizontal="left" vertical="top"/>
    </xf>
    <xf numFmtId="11" fontId="0" fillId="0" borderId="3" xfId="0" applyNumberFormat="true" applyBorder="true" applyAlignment="true">
      <alignment horizontal="left" vertical="top"/>
    </xf>
    <xf numFmtId="0" fontId="0" fillId="0" borderId="1" xfId="0" applyBorder="true" applyAlignment="true">
      <alignment horizontal="left" vertical="top"/>
    </xf>
    <xf numFmtId="0" fontId="0" fillId="0" borderId="4" xfId="0" applyBorder="true" applyAlignment="true">
      <alignment horizontal="left" vertical="top"/>
    </xf>
    <xf numFmtId="164" fontId="0" fillId="0" borderId="4" xfId="0" applyNumberFormat="true" applyBorder="true" applyAlignment="true">
      <alignment horizontal="left" vertical="top"/>
    </xf>
    <xf numFmtId="0" fontId="0" fillId="0" borderId="0" xfId="0" applyAlignment="true">
      <alignment horizontal="left" vertical="top"/>
    </xf>
    <xf numFmtId="11" fontId="0" fillId="0" borderId="5" xfId="0" applyNumberFormat="true" applyBorder="true" applyAlignment="true">
      <alignment horizontal="left" vertical="top"/>
    </xf>
    <xf numFmtId="0" fontId="0" fillId="0" borderId="5" xfId="0" applyBorder="true" applyAlignment="true">
      <alignment horizontal="left" vertical="top"/>
    </xf>
    <xf numFmtId="11" fontId="0" fillId="0" borderId="4" xfId="0" applyNumberFormat="true" applyBorder="true" applyAlignment="true">
      <alignment horizontal="left" vertical="top"/>
    </xf>
    <xf numFmtId="2" fontId="0" fillId="0" borderId="5" xfId="0" applyNumberFormat="true" applyBorder="true" applyAlignment="true">
      <alignment horizontal="left" vertical="top"/>
    </xf>
    <xf numFmtId="0" fontId="1" fillId="0" borderId="4" xfId="0" applyFont="true" applyBorder="true" applyAlignment="true">
      <alignment horizontal="left" vertical="top"/>
    </xf>
    <xf numFmtId="0" fontId="0" fillId="0" borderId="0" xfId="0" applyAlignment="true">
      <alignment horizontal="left"/>
    </xf>
    <xf numFmtId="0" fontId="0" fillId="0" borderId="2" xfId="0" applyBorder="true" applyAlignment="true">
      <alignment horizontal="left"/>
    </xf>
    <xf numFmtId="0" fontId="0" fillId="0" borderId="3" xfId="0" applyBorder="true" applyAlignment="true">
      <alignment horizontal="left"/>
    </xf>
    <xf numFmtId="0" fontId="0" fillId="0" borderId="5" xfId="0" applyBorder="true" applyAlignment="true">
      <alignment horizontal="left"/>
    </xf>
    <xf numFmtId="0" fontId="0" fillId="0" borderId="4" xfId="0" applyBorder="true" applyAlignment="true">
      <alignment horizontal="left"/>
    </xf>
    <xf numFmtId="0" fontId="1" fillId="0" borderId="4" xfId="0" applyFont="true" applyBorder="true" applyAlignment="true">
      <alignment horizontal="left" vertical="top"/>
    </xf>
    <xf numFmtId="11" fontId="2" fillId="0" borderId="6" xfId="0" applyNumberFormat="true" applyFont="true" applyBorder="true" applyAlignment="true">
      <alignment horizontal="left" vertical="top"/>
    </xf>
    <xf numFmtId="0" fontId="1" fillId="0" borderId="5" xfId="0" applyFont="true" applyBorder="true" applyAlignment="true">
      <alignment horizontal="left" vertical="top" wrapText="true"/>
    </xf>
    <xf numFmtId="0" fontId="0" fillId="0" borderId="5" xfId="0" applyBorder="true" applyAlignment="true">
      <alignment horizontal="left" vertical="top"/>
    </xf>
    <xf numFmtId="0" fontId="1" fillId="0" borderId="5" xfId="0" applyFont="true" applyBorder="true" applyAlignment="true">
      <alignment horizontal="left" vertical="top"/>
    </xf>
    <xf numFmtId="0" fontId="1" fillId="0" borderId="4" xfId="0" applyFont="true" applyBorder="true" applyAlignment="true">
      <alignment horizontal="left" vertical="top" wrapText="true"/>
    </xf>
    <xf numFmtId="0" fontId="0" fillId="0" borderId="4" xfId="0" applyBorder="true" applyAlignment="true">
      <alignment horizontal="left" vertical="top"/>
    </xf>
    <xf numFmtId="0" fontId="1" fillId="0" borderId="3" xfId="0" applyFont="true" applyBorder="true" applyAlignment="true">
      <alignment horizontal="left" vertical="top" wrapText="true"/>
    </xf>
    <xf numFmtId="0" fontId="0" fillId="0" borderId="3" xfId="0" applyBorder="true" applyAlignment="true">
      <alignment horizontal="left" vertical="top"/>
    </xf>
    <xf numFmtId="0" fontId="2" fillId="0" borderId="6" xfId="0" applyFont="true" applyBorder="true" applyAlignment="true">
      <alignment horizontal="left" vertical="top"/>
    </xf>
    <xf numFmtId="1" fontId="0" fillId="0" borderId="3" xfId="0" applyNumberFormat="true" applyBorder="true" applyAlignment="true">
      <alignment horizontal="left" vertical="top"/>
    </xf>
    <xf numFmtId="1" fontId="0" fillId="0" borderId="5" xfId="0" applyNumberFormat="true" applyBorder="true" applyAlignment="true">
      <alignment horizontal="left" vertical="top"/>
    </xf>
    <xf numFmtId="1" fontId="0" fillId="0" borderId="4" xfId="0" applyNumberFormat="true" applyBorder="true" applyAlignment="true">
      <alignment horizontal="left" vertical="top"/>
    </xf>
    <xf numFmtId="22" fontId="0" fillId="0" borderId="7" xfId="0" applyNumberFormat="true"/>
  </cellXfs>
  <cellStyles count="1">
    <cellStyle name="Normal" xfId="0" builtinId="0"/>
  </cellStyles>
  <dxfs count="22">
    <dxf>
      <font>
        <b/>
        <i val="false"/>
        <u/>
      </font>
    </dxf>
    <dxf>
      <font>
        <b/>
        <i val="false"/>
        <u/>
      </font>
    </dxf>
    <dxf>
      <font>
        <b/>
        <i val="false"/>
        <u/>
      </font>
    </dxf>
    <dxf>
      <font>
        <b/>
        <i val="false"/>
        <u/>
      </font>
    </dxf>
    <dxf>
      <font>
        <b/>
        <i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alignment horizontal="left" vertical="top" textRotation="0" wrapText="false" indent="0" justifyLastLine="false" shrinkToFit="false" readingOrder="0"/>
    </dxf>
    <dxf>
      <alignment horizontal="left" vertical="top" textRotation="0" wrapText="false" indent="0" justifyLastLine="false" shrinkToFit="false" readingOrder="0"/>
    </dxf>
    <dxf>
      <border outline="false">
        <top style="thin">
          <color indexed="64"/>
        </top>
        <bottom style="thin">
          <color indexed="64"/>
        </bottom>
      </border>
    </dxf>
    <dxf>
      <alignment horizontal="left" vertical="top" textRotation="0" indent="0" justifyLastLine="false" shrinkToFit="false" readingOrder="0"/>
    </dxf>
    <dxf>
      <alignment horizontal="left" vertical="top" textRotation="0" indent="0" justifyLastLine="false" shrinkToFit="false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theme/theme1.xml" Type="http://schemas.openxmlformats.org/officeDocument/2006/relationships/theme" Id="rId8"/><Relationship Target="worksheets/sheet3.xml" Type="http://schemas.openxmlformats.org/officeDocument/2006/relationships/worksheet" Id="rId3"/><Relationship Target="worksheets/sheet7.xml" Type="http://schemas.openxmlformats.org/officeDocument/2006/relationships/worksheet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worksheets/sheet6.xml" Type="http://schemas.openxmlformats.org/officeDocument/2006/relationships/worksheet" Id="rId6"/><Relationship Target="worksheets/sheet5.xml" Type="http://schemas.openxmlformats.org/officeDocument/2006/relationships/worksheet" Id="rId5"/><Relationship Target="sharedStrings.xml" Type="http://schemas.openxmlformats.org/officeDocument/2006/relationships/sharedStrings" Id="rId10"/><Relationship Target="worksheets/sheet4.xml" Type="http://schemas.openxmlformats.org/officeDocument/2006/relationships/worksheet" Id="rId4"/><Relationship Target="styles.xml" Type="http://schemas.openxmlformats.org/officeDocument/2006/relationships/styles" Id="rId9"/></Relationships>
</file>

<file path=xl/tables/table1.xml><?xml version="1.0" encoding="utf-8"?>
<table xmlns="http://schemas.openxmlformats.org/spreadsheetml/2006/main" xmlns:r="http://schemas.openxmlformats.org/officeDocument/2006/relationships" xmlns:xdr="http://schemas.openxmlformats.org/drawingml/2006/spreadsheetDrawing" id="1" name="Table1" displayName="Table1" ref="S2:T38" totalsRowShown="false" headerRowDxfId="21" dataDxfId="20" tableBorderDxfId="19">
  <autoFilter ref="S2:T38"/>
  <tableColumns count="2">
    <tableColumn id="1" name="Column1" dataDxfId="18"/>
    <tableColumn id="2" name="Column2" dataDxfId="17"/>
  </tableColumns>
  <tableStyleInfo name="TableStyleMedium2" showFirstColumn="false" showLastColumn="false" showRowStripes="true" showColumnStripes="false"/>
</table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42"/>
  <sheetViews>
    <sheetView tabSelected="true" workbookViewId="0">
      <selection activeCell="M33" sqref="M33"/>
    </sheetView>
  </sheetViews>
  <sheetFormatPr xmlns:x14ac="http://schemas.microsoft.com/office/spreadsheetml/2009/9/ac" defaultRowHeight="14.4" x14ac:dyDescent="0.3"/>
  <cols>
    <col min="1" max="1" width="11.33203125" style="8" bestFit="true" customWidth="true"/>
    <col min="2" max="2" width="3.88671875" style="8" customWidth="true"/>
    <col min="3" max="3" width="5.6640625" style="8" customWidth="true"/>
    <col min="4" max="4" width="8.5546875" style="8" bestFit="true" customWidth="true"/>
    <col min="13" max="13" width="8.7109375" style="8" bestFit="true" customWidth="true"/>
    <col min="19" max="20" width="10.44140625" style="8" customWidth="true"/>
    <col min="21" max="22" width="8.88671875" style="8"/>
    <col min="23" max="31" width="9.33203125" bestFit="true" customWidth="true"/>
    <col min="32" max="33" width="10.33203125" bestFit="true" customWidth="true"/>
    <col min="34" max="37" width="10.33203125" style="8" bestFit="true" customWidth="true"/>
    <col min="38" max="16384" width="8.88671875" style="8"/>
    <col min="5" max="5" width="8.5546875" style="8" bestFit="true" customWidth="true"/>
    <col min="6" max="6" width="8.5546875" style="8" bestFit="true" customWidth="true"/>
    <col min="7" max="7" width="8.5546875" style="8" bestFit="true" customWidth="true"/>
    <col min="8" max="8" width="10.5546875" style="8" bestFit="true" customWidth="true"/>
    <col min="9" max="9" width="8.5546875" style="8" bestFit="true" customWidth="true"/>
    <col min="10" max="10" width="8.5546875" style="8" bestFit="true" customWidth="true"/>
    <col min="11" max="11" width="8.5546875" style="8" bestFit="true" customWidth="true"/>
    <col min="12" max="12" width="8.7109375" style="8" bestFit="true" customWidth="true"/>
    <col min="14" max="18" width="10.33203125" style="8" bestFit="true" customWidth="true"/>
  </cols>
  <sheetData>
    <row xmlns:x14ac="http://schemas.microsoft.com/office/spreadsheetml/2009/9/ac" r="1" ht="15" thickBot="true" x14ac:dyDescent="0.35">
      <c r="A1" s="20" t="s">
        <v>22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xmlns:x14ac="http://schemas.microsoft.com/office/spreadsheetml/2009/9/ac" r="2" x14ac:dyDescent="0.3">
      <c r="A2" s="19" t="s">
        <v>17</v>
      </c>
      <c r="B2" s="19"/>
      <c r="C2" s="19"/>
      <c r="D2" s="13" t="s">
        <v>488</v>
      </c>
      <c r="E2" s="13" t="s">
        <v>489</v>
      </c>
      <c r="F2" s="13" t="s">
        <v>490</v>
      </c>
      <c r="G2" s="13" t="s">
        <v>491</v>
      </c>
      <c r="H2" s="13" t="s">
        <v>492</v>
      </c>
      <c r="I2" s="13" t="s">
        <v>390</v>
      </c>
      <c r="J2" s="13" t="s">
        <v>391</v>
      </c>
      <c r="K2" s="13" t="s">
        <v>392</v>
      </c>
      <c r="L2" s="13" t="s">
        <v>222</v>
      </c>
      <c r="M2" s="13" t="s">
        <v>223</v>
      </c>
      <c r="N2" s="13" t="s">
        <v>157</v>
      </c>
      <c r="O2" s="13" t="s">
        <v>158</v>
      </c>
      <c r="P2" s="13" t="s">
        <v>159</v>
      </c>
      <c r="Q2" s="13" t="s">
        <v>160</v>
      </c>
      <c r="R2" s="13" t="s">
        <v>161</v>
      </c>
      <c r="S2" s="5" t="s">
        <v>18</v>
      </c>
      <c r="T2" s="5" t="s">
        <v>19</v>
      </c>
      <c r="W2" s="1" t="s">
        <v>147</v>
      </c>
      <c r="X2" s="1" t="s">
        <v>148</v>
      </c>
      <c r="Y2" s="1" t="s">
        <v>149</v>
      </c>
      <c r="Z2" s="1" t="s">
        <v>150</v>
      </c>
      <c r="AA2" s="1" t="s">
        <v>151</v>
      </c>
      <c r="AB2" s="1" t="s">
        <v>152</v>
      </c>
      <c r="AC2" s="1" t="s">
        <v>153</v>
      </c>
      <c r="AD2" s="1" t="s">
        <v>154</v>
      </c>
      <c r="AE2" s="1" t="s">
        <v>155</v>
      </c>
      <c r="AF2" s="1" t="s">
        <v>156</v>
      </c>
      <c r="AG2" s="1" t="s">
        <v>157</v>
      </c>
      <c r="AH2" s="1" t="s">
        <v>158</v>
      </c>
      <c r="AI2" s="1" t="s">
        <v>159</v>
      </c>
      <c r="AJ2" s="1" t="s">
        <v>160</v>
      </c>
      <c r="AK2" s="1" t="s">
        <v>161</v>
      </c>
    </row>
    <row xmlns:x14ac="http://schemas.microsoft.com/office/spreadsheetml/2009/9/ac" r="3" ht="14.4" customHeight="true" x14ac:dyDescent="0.3">
      <c r="A3" s="26" t="s">
        <v>15</v>
      </c>
      <c r="B3" s="27" t="s">
        <v>466</v>
      </c>
      <c r="C3" s="3" t="s">
        <v>384</v>
      </c>
      <c r="D3" s="4">
        <v>794814095.51689291</v>
      </c>
      <c r="E3" s="4">
        <v>156685.58373616039</v>
      </c>
      <c r="F3" s="4">
        <v>64703.686276876368</v>
      </c>
      <c r="G3" s="4">
        <v>57084.767102471</v>
      </c>
      <c r="H3" s="4">
        <v>37526.041786096241</v>
      </c>
      <c r="I3" s="4">
        <v>2559.7059600243169</v>
      </c>
      <c r="J3" s="4">
        <v>444.86889316397759</v>
      </c>
      <c r="K3" s="4">
        <v>20959.099640351276</v>
      </c>
      <c r="L3" s="4">
        <v>3765.6592442689607</v>
      </c>
      <c r="M3" s="4">
        <v>1921.3821810326594</v>
      </c>
      <c r="N3" s="4"/>
      <c r="O3" s="4"/>
      <c r="P3" s="4"/>
      <c r="Q3" s="4"/>
      <c r="R3" s="4"/>
      <c r="S3" s="3" t="s">
        <v>0</v>
      </c>
      <c r="T3" s="3" t="s">
        <v>12</v>
      </c>
      <c r="W3" s="8">
        <f>_xlfn.RANK.EQ(D3,$D3:$R3,1)</f>
        <v>2</v>
      </c>
      <c r="X3" s="8">
        <f t="shared" ref="X3:AK3" si="0">_xlfn.RANK.EQ(E3,$D3:$R3,1)</f>
        <v>3</v>
      </c>
      <c r="Y3" s="8">
        <f t="shared" si="0"/>
        <v>5</v>
      </c>
      <c r="Z3" s="8">
        <f t="shared" si="0"/>
        <v>6</v>
      </c>
      <c r="AA3" s="8">
        <f t="shared" si="0"/>
        <v>8</v>
      </c>
      <c r="AB3" s="8">
        <f t="shared" si="0"/>
        <v>1</v>
      </c>
      <c r="AC3" s="8">
        <f t="shared" si="0"/>
        <v>7</v>
      </c>
      <c r="AD3" s="8">
        <f t="shared" si="0"/>
        <v>4</v>
      </c>
      <c r="AE3" s="8">
        <f t="shared" si="0"/>
        <v>9</v>
      </c>
      <c r="AF3" s="8" t="e">
        <f t="shared" si="0"/>
        <v>#N/A</v>
      </c>
      <c r="AG3" s="8" t="e">
        <f t="shared" si="0"/>
        <v>#N/A</v>
      </c>
      <c r="AH3" s="8" t="e">
        <f t="shared" si="0"/>
        <v>#N/A</v>
      </c>
      <c r="AI3" s="8" t="e">
        <f t="shared" si="0"/>
        <v>#N/A</v>
      </c>
      <c r="AJ3" s="8" t="e">
        <f t="shared" si="0"/>
        <v>#N/A</v>
      </c>
      <c r="AK3" s="8" t="e">
        <f t="shared" si="0"/>
        <v>#N/A</v>
      </c>
    </row>
    <row xmlns:x14ac="http://schemas.microsoft.com/office/spreadsheetml/2009/9/ac" r="4" x14ac:dyDescent="0.3">
      <c r="A4" s="21"/>
      <c r="B4" s="22" t="s">
        <v>466</v>
      </c>
      <c r="C4" s="10" t="s">
        <v>385</v>
      </c>
      <c r="D4" s="9">
        <v>1290666922.5790138</v>
      </c>
      <c r="E4" s="9">
        <v>141942.91114557913</v>
      </c>
      <c r="F4" s="9">
        <v>29783.007803447854</v>
      </c>
      <c r="G4" s="9">
        <v>23713.222281632246</v>
      </c>
      <c r="H4" s="9">
        <v>13220.200543722556</v>
      </c>
      <c r="I4" s="9">
        <v>1954.3637339647782</v>
      </c>
      <c r="J4" s="9">
        <v>160.78142023972282</v>
      </c>
      <c r="K4" s="9">
        <v>12784.738781993809</v>
      </c>
      <c r="L4" s="9">
        <v>3493.5996265265039</v>
      </c>
      <c r="M4" s="9">
        <v>1738.3301601172218</v>
      </c>
      <c r="N4" s="9"/>
      <c r="O4" s="9"/>
      <c r="P4" s="9"/>
      <c r="Q4" s="9"/>
      <c r="R4" s="9"/>
      <c r="S4" s="5"/>
      <c r="T4" s="5" t="s">
        <v>13</v>
      </c>
      <c r="W4" s="8"/>
      <c r="X4" s="8"/>
      <c r="Y4" s="8"/>
      <c r="Z4" s="8"/>
      <c r="AA4" s="8"/>
      <c r="AB4" s="8"/>
      <c r="AC4" s="8"/>
      <c r="AD4" s="8"/>
      <c r="AE4" s="8"/>
      <c r="AF4" s="8"/>
      <c r="AG4" s="8"/>
    </row>
    <row xmlns:x14ac="http://schemas.microsoft.com/office/spreadsheetml/2009/9/ac" r="5" x14ac:dyDescent="0.3">
      <c r="A5" s="24"/>
      <c r="B5" s="25" t="s">
        <v>466</v>
      </c>
      <c r="C5" s="6" t="s">
        <v>386</v>
      </c>
      <c r="D5" s="7">
        <v>0.34895833333333331</v>
      </c>
      <c r="E5" s="7">
        <v>0.27604166666666669</v>
      </c>
      <c r="F5" s="7">
        <v>0.57291666666666663</v>
      </c>
      <c r="G5" s="7">
        <v>0.5625</v>
      </c>
      <c r="H5" s="7">
        <v>0.69270833333333337</v>
      </c>
      <c r="I5" s="7">
        <v>0.29166666666666669</v>
      </c>
      <c r="J5" s="7">
        <v>0.30729166666666669</v>
      </c>
      <c r="K5" s="7">
        <v>0.44791666666666669</v>
      </c>
      <c r="L5" s="7">
        <v>0.34531250000000002</v>
      </c>
      <c r="M5" s="7">
        <v>0.10364583333333334</v>
      </c>
      <c r="N5" s="7"/>
      <c r="O5" s="7"/>
      <c r="P5" s="7"/>
      <c r="Q5" s="7"/>
      <c r="R5" s="7"/>
      <c r="S5" s="6"/>
      <c r="T5" s="6" t="s">
        <v>14</v>
      </c>
      <c r="W5" s="8"/>
      <c r="X5" s="8"/>
      <c r="Y5" s="8"/>
      <c r="Z5" s="8"/>
      <c r="AA5" s="8"/>
      <c r="AB5" s="8"/>
      <c r="AC5" s="8"/>
      <c r="AD5" s="8"/>
      <c r="AE5" s="8"/>
      <c r="AF5" s="8"/>
      <c r="AG5" s="8"/>
    </row>
    <row xmlns:x14ac="http://schemas.microsoft.com/office/spreadsheetml/2009/9/ac" r="6" x14ac:dyDescent="0.3">
      <c r="A6" s="26" t="s">
        <v>20</v>
      </c>
      <c r="B6" s="27" t="s">
        <v>467</v>
      </c>
      <c r="C6" s="3" t="s">
        <v>384</v>
      </c>
      <c r="D6" s="4">
        <v>7955.5501835180294</v>
      </c>
      <c r="E6" s="4">
        <v>9711.5102411253338</v>
      </c>
      <c r="F6" s="4">
        <v>5347.4300465834322</v>
      </c>
      <c r="G6" s="4">
        <v>2243.7271673209857</v>
      </c>
      <c r="H6" s="4">
        <v>1619.0104132403849</v>
      </c>
      <c r="I6" s="4">
        <v>446.52805569828934</v>
      </c>
      <c r="J6" s="4">
        <v>407.3540406326228</v>
      </c>
      <c r="K6" s="4">
        <v>442.10160441260587</v>
      </c>
      <c r="L6" s="4">
        <v>427.04253334077407</v>
      </c>
      <c r="M6" s="4">
        <v>430.54820576300409</v>
      </c>
      <c r="N6" s="4"/>
      <c r="O6" s="4"/>
      <c r="P6" s="4"/>
      <c r="Q6" s="4"/>
      <c r="R6" s="4"/>
      <c r="S6" s="3" t="s">
        <v>1</v>
      </c>
      <c r="T6" s="3" t="s">
        <v>12</v>
      </c>
      <c r="W6" s="8">
        <f t="shared" ref="W6" si="1">_xlfn.RANK.EQ(D6,$D6:$R6,1)</f>
        <v>1</v>
      </c>
      <c r="X6" s="8">
        <f t="shared" ref="X6" si="2">_xlfn.RANK.EQ(E6,$D6:$R6,1)</f>
        <v>4</v>
      </c>
      <c r="Y6" s="8">
        <f t="shared" ref="Y6" si="3">_xlfn.RANK.EQ(F6,$D6:$R6,1)</f>
        <v>6</v>
      </c>
      <c r="Z6" s="8">
        <f t="shared" ref="Z6" si="4">_xlfn.RANK.EQ(G6,$D6:$R6,1)</f>
        <v>3</v>
      </c>
      <c r="AA6" s="8">
        <f t="shared" ref="AA6" si="5">_xlfn.RANK.EQ(H6,$D6:$R6,1)</f>
        <v>9</v>
      </c>
      <c r="AB6" s="8">
        <f t="shared" ref="AB6" si="6">_xlfn.RANK.EQ(I6,$D6:$R6,1)</f>
        <v>5</v>
      </c>
      <c r="AC6" s="8">
        <f t="shared" ref="AC6" si="7">_xlfn.RANK.EQ(J6,$D6:$R6,1)</f>
        <v>7</v>
      </c>
      <c r="AD6" s="8">
        <f t="shared" ref="AD6" si="8">_xlfn.RANK.EQ(K6,$D6:$R6,1)</f>
        <v>2</v>
      </c>
      <c r="AE6" s="8">
        <f t="shared" ref="AE6" si="9">_xlfn.RANK.EQ(L6,$D6:$R6,1)</f>
        <v>8</v>
      </c>
      <c r="AF6" s="8" t="e">
        <f t="shared" ref="AF6" si="10">_xlfn.RANK.EQ(M6,$D6:$R6,1)</f>
        <v>#N/A</v>
      </c>
      <c r="AG6" s="8" t="e">
        <f t="shared" ref="AG6" si="11">_xlfn.RANK.EQ(N6,$D6:$R6,1)</f>
        <v>#N/A</v>
      </c>
      <c r="AH6" s="8" t="e">
        <f t="shared" ref="AH6" si="12">_xlfn.RANK.EQ(O6,$D6:$R6,1)</f>
        <v>#N/A</v>
      </c>
      <c r="AI6" s="8" t="e">
        <f t="shared" ref="AI6" si="13">_xlfn.RANK.EQ(P6,$D6:$R6,1)</f>
        <v>#N/A</v>
      </c>
      <c r="AJ6" s="8" t="e">
        <f t="shared" ref="AJ6" si="14">_xlfn.RANK.EQ(Q6,$D6:$R6,1)</f>
        <v>#N/A</v>
      </c>
      <c r="AK6" s="8" t="e">
        <f t="shared" ref="AK6" si="15">_xlfn.RANK.EQ(R6,$D6:$R6,1)</f>
        <v>#N/A</v>
      </c>
    </row>
    <row xmlns:x14ac="http://schemas.microsoft.com/office/spreadsheetml/2009/9/ac" r="7" x14ac:dyDescent="0.3">
      <c r="A7" s="21"/>
      <c r="B7" s="22" t="s">
        <v>467</v>
      </c>
      <c r="C7" s="10" t="s">
        <v>385</v>
      </c>
      <c r="D7" s="9">
        <v>863.47733992897849</v>
      </c>
      <c r="E7" s="9">
        <v>521.60942674880516</v>
      </c>
      <c r="F7" s="9">
        <v>1895.0843136482172</v>
      </c>
      <c r="G7" s="9">
        <v>689.15794834502947</v>
      </c>
      <c r="H7" s="9">
        <v>268.06564467656608</v>
      </c>
      <c r="I7" s="9">
        <v>37.745009055815117</v>
      </c>
      <c r="J7" s="9">
        <v>0.57679411647502932</v>
      </c>
      <c r="K7" s="9">
        <v>25.335798656132642</v>
      </c>
      <c r="L7" s="9">
        <v>33.681705522083526</v>
      </c>
      <c r="M7" s="9">
        <v>25.708037089268036</v>
      </c>
      <c r="N7" s="9"/>
      <c r="O7" s="9"/>
      <c r="P7" s="9"/>
      <c r="Q7" s="9"/>
      <c r="R7" s="9"/>
      <c r="S7" s="5"/>
      <c r="T7" s="5" t="s">
        <v>13</v>
      </c>
      <c r="W7" s="8"/>
      <c r="X7" s="8"/>
      <c r="Y7" s="8"/>
      <c r="Z7" s="8"/>
      <c r="AA7" s="8"/>
      <c r="AB7" s="8"/>
      <c r="AC7" s="8"/>
      <c r="AD7" s="8"/>
      <c r="AE7" s="8"/>
      <c r="AF7" s="8"/>
      <c r="AG7" s="8"/>
    </row>
    <row xmlns:x14ac="http://schemas.microsoft.com/office/spreadsheetml/2009/9/ac" r="8" x14ac:dyDescent="0.3">
      <c r="A8" s="21"/>
      <c r="B8" s="25" t="s">
        <v>467</v>
      </c>
      <c r="C8" s="6" t="s">
        <v>386</v>
      </c>
      <c r="D8" s="7">
        <v>0.38020833333333331</v>
      </c>
      <c r="E8" s="7">
        <v>0.16145833333333334</v>
      </c>
      <c r="F8" s="7">
        <v>0.33854166666666669</v>
      </c>
      <c r="G8" s="7">
        <v>0.3125</v>
      </c>
      <c r="H8" s="7">
        <v>0.30729166666666669</v>
      </c>
      <c r="I8" s="7">
        <v>0.15625</v>
      </c>
      <c r="J8" s="7">
        <v>0.14583333333333334</v>
      </c>
      <c r="K8" s="7">
        <v>0.109375</v>
      </c>
      <c r="L8" s="7">
        <v>0.36354166666666665</v>
      </c>
      <c r="M8" s="7">
        <v>0.10989583333333333</v>
      </c>
      <c r="N8" s="7"/>
      <c r="O8" s="7"/>
      <c r="P8" s="7"/>
      <c r="Q8" s="7"/>
      <c r="R8" s="7"/>
      <c r="S8" s="6"/>
      <c r="T8" s="6" t="s">
        <v>14</v>
      </c>
      <c r="W8" s="8"/>
      <c r="X8" s="8"/>
      <c r="Y8" s="8"/>
      <c r="Z8" s="8"/>
      <c r="AA8" s="8"/>
      <c r="AB8" s="8"/>
      <c r="AC8" s="8"/>
      <c r="AD8" s="8"/>
      <c r="AE8" s="8"/>
      <c r="AF8" s="8"/>
      <c r="AG8" s="8"/>
    </row>
    <row xmlns:x14ac="http://schemas.microsoft.com/office/spreadsheetml/2009/9/ac" r="9" x14ac:dyDescent="0.3">
      <c r="A9" s="21"/>
      <c r="B9" s="27" t="s">
        <v>468</v>
      </c>
      <c r="C9" s="3" t="s">
        <v>384</v>
      </c>
      <c r="D9" s="4">
        <v>686.10261894238681</v>
      </c>
      <c r="E9" s="4">
        <v>690.64163275811461</v>
      </c>
      <c r="F9" s="4">
        <v>675.49349146505745</v>
      </c>
      <c r="G9" s="4">
        <v>659.07308178673895</v>
      </c>
      <c r="H9" s="4">
        <v>669.12047847465556</v>
      </c>
      <c r="I9" s="4">
        <v>604.43698123696049</v>
      </c>
      <c r="J9" s="4">
        <v>600.00191187938299</v>
      </c>
      <c r="K9" s="4">
        <v>604.07046404088089</v>
      </c>
      <c r="L9" s="4">
        <v>613.05811783615957</v>
      </c>
      <c r="M9" s="4">
        <v>602.64851153796303</v>
      </c>
      <c r="N9" s="4"/>
      <c r="O9" s="4"/>
      <c r="P9" s="4"/>
      <c r="Q9" s="4"/>
      <c r="R9" s="4"/>
      <c r="S9" s="3" t="s">
        <v>2</v>
      </c>
      <c r="T9" s="3" t="s">
        <v>12</v>
      </c>
      <c r="W9" s="8">
        <f t="shared" ref="W9" si="16">_xlfn.RANK.EQ(D9,$D9:$R9,1)</f>
        <v>5</v>
      </c>
      <c r="X9" s="8">
        <f t="shared" ref="X9" si="17">_xlfn.RANK.EQ(E9,$D9:$R9,1)</f>
        <v>3</v>
      </c>
      <c r="Y9" s="8">
        <f t="shared" ref="Y9" si="18">_xlfn.RANK.EQ(F9,$D9:$R9,1)</f>
        <v>6</v>
      </c>
      <c r="Z9" s="8">
        <f t="shared" ref="Z9" si="19">_xlfn.RANK.EQ(G9,$D9:$R9,1)</f>
        <v>2</v>
      </c>
      <c r="AA9" s="8">
        <f t="shared" ref="AA9" si="20">_xlfn.RANK.EQ(H9,$D9:$R9,1)</f>
        <v>8</v>
      </c>
      <c r="AB9" s="8">
        <f t="shared" ref="AB9" si="21">_xlfn.RANK.EQ(I9,$D9:$R9,1)</f>
        <v>7</v>
      </c>
      <c r="AC9" s="8">
        <f t="shared" ref="AC9" si="22">_xlfn.RANK.EQ(J9,$D9:$R9,1)</f>
        <v>9</v>
      </c>
      <c r="AD9" s="8">
        <f t="shared" ref="AD9" si="23">_xlfn.RANK.EQ(K9,$D9:$R9,1)</f>
        <v>1</v>
      </c>
      <c r="AE9" s="8">
        <f t="shared" ref="AE9" si="24">_xlfn.RANK.EQ(L9,$D9:$R9,1)</f>
        <v>4</v>
      </c>
      <c r="AF9" s="8" t="e">
        <f t="shared" ref="AF9" si="25">_xlfn.RANK.EQ(M9,$D9:$R9,1)</f>
        <v>#N/A</v>
      </c>
      <c r="AG9" s="8" t="e">
        <f t="shared" ref="AG9" si="26">_xlfn.RANK.EQ(N9,$D9:$R9,1)</f>
        <v>#N/A</v>
      </c>
      <c r="AH9" s="8" t="e">
        <f t="shared" ref="AH9" si="27">_xlfn.RANK.EQ(O9,$D9:$R9,1)</f>
        <v>#N/A</v>
      </c>
      <c r="AI9" s="8" t="e">
        <f t="shared" ref="AI9" si="28">_xlfn.RANK.EQ(P9,$D9:$R9,1)</f>
        <v>#N/A</v>
      </c>
      <c r="AJ9" s="8" t="e">
        <f t="shared" ref="AJ9" si="29">_xlfn.RANK.EQ(Q9,$D9:$R9,1)</f>
        <v>#N/A</v>
      </c>
      <c r="AK9" s="8" t="e">
        <f t="shared" ref="AK9" si="30">_xlfn.RANK.EQ(R9,$D9:$R9,1)</f>
        <v>#N/A</v>
      </c>
    </row>
    <row xmlns:x14ac="http://schemas.microsoft.com/office/spreadsheetml/2009/9/ac" r="10" x14ac:dyDescent="0.3">
      <c r="A10" s="21"/>
      <c r="B10" s="22" t="s">
        <v>468</v>
      </c>
      <c r="C10" s="10" t="s">
        <v>385</v>
      </c>
      <c r="D10" s="9">
        <v>7.7360089377895394</v>
      </c>
      <c r="E10" s="9">
        <v>11.598092506026351</v>
      </c>
      <c r="F10" s="9">
        <v>7.8645077681137501</v>
      </c>
      <c r="G10" s="9">
        <v>15.964130421102281</v>
      </c>
      <c r="H10" s="9">
        <v>2.37293533749469</v>
      </c>
      <c r="I10" s="9">
        <v>2.8742342367028186</v>
      </c>
      <c r="J10" s="9">
        <v>0.0019246321183700357</v>
      </c>
      <c r="K10" s="9">
        <v>1.8522717950091279</v>
      </c>
      <c r="L10" s="9">
        <v>8.913595236572073</v>
      </c>
      <c r="M10" s="9">
        <v>4.2794124486791896</v>
      </c>
      <c r="N10" s="9"/>
      <c r="O10" s="9"/>
      <c r="P10" s="9"/>
      <c r="Q10" s="9"/>
      <c r="R10" s="9"/>
      <c r="S10" s="5"/>
      <c r="T10" s="5" t="s">
        <v>13</v>
      </c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</row>
    <row xmlns:x14ac="http://schemas.microsoft.com/office/spreadsheetml/2009/9/ac" r="11" x14ac:dyDescent="0.3">
      <c r="A11" s="21"/>
      <c r="B11" s="25" t="s">
        <v>468</v>
      </c>
      <c r="C11" s="6" t="s">
        <v>386</v>
      </c>
      <c r="D11" s="7">
        <v>0.16666666666666666</v>
      </c>
      <c r="E11" s="7">
        <v>0.17708333333333334</v>
      </c>
      <c r="F11" s="7">
        <v>0.36979166666666669</v>
      </c>
      <c r="G11" s="7">
        <v>0.41145833333333331</v>
      </c>
      <c r="H11" s="7">
        <v>0.40625</v>
      </c>
      <c r="I11" s="7">
        <v>0.125</v>
      </c>
      <c r="J11" s="7">
        <v>0.171875</v>
      </c>
      <c r="K11" s="7">
        <v>0.15625</v>
      </c>
      <c r="L11" s="7">
        <v>0.39947916666666666</v>
      </c>
      <c r="M11" s="7">
        <v>0.1640625</v>
      </c>
      <c r="N11" s="7"/>
      <c r="O11" s="7"/>
      <c r="P11" s="7"/>
      <c r="Q11" s="7"/>
      <c r="R11" s="7"/>
      <c r="S11" s="6"/>
      <c r="T11" s="6" t="s">
        <v>14</v>
      </c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</row>
    <row xmlns:x14ac="http://schemas.microsoft.com/office/spreadsheetml/2009/9/ac" r="12" ht="14.4" customHeight="true" x14ac:dyDescent="0.3">
      <c r="A12" s="21"/>
      <c r="B12" s="27" t="s">
        <v>469</v>
      </c>
      <c r="C12" s="3" t="s">
        <v>384</v>
      </c>
      <c r="D12" s="4">
        <v>882.80781491635025</v>
      </c>
      <c r="E12" s="4">
        <v>887.81385604986372</v>
      </c>
      <c r="F12" s="4">
        <v>886.96159632488786</v>
      </c>
      <c r="G12" s="4">
        <v>877.04948912970883</v>
      </c>
      <c r="H12" s="4">
        <v>872.33260384432788</v>
      </c>
      <c r="I12" s="4">
        <v>822.55301269073186</v>
      </c>
      <c r="J12" s="4">
        <v>819.55290049021085</v>
      </c>
      <c r="K12" s="4">
        <v>839.25023350036793</v>
      </c>
      <c r="L12" s="4">
        <v>819.70067992945565</v>
      </c>
      <c r="M12" s="4">
        <v>823.6268583426604</v>
      </c>
      <c r="N12" s="4"/>
      <c r="O12" s="4"/>
      <c r="P12" s="4"/>
      <c r="Q12" s="4"/>
      <c r="R12" s="4"/>
      <c r="S12" s="3" t="s">
        <v>3</v>
      </c>
      <c r="T12" s="3" t="s">
        <v>12</v>
      </c>
      <c r="W12" s="8">
        <f t="shared" ref="W12" si="31">_xlfn.RANK.EQ(D12,$D12:$R12,1)</f>
        <v>6</v>
      </c>
      <c r="X12" s="8">
        <f t="shared" ref="X12" si="32">_xlfn.RANK.EQ(E12,$D12:$R12,1)</f>
        <v>1</v>
      </c>
      <c r="Y12" s="8">
        <f t="shared" ref="Y12" si="33">_xlfn.RANK.EQ(F12,$D12:$R12,1)</f>
        <v>4</v>
      </c>
      <c r="Z12" s="8">
        <f t="shared" ref="Z12" si="34">_xlfn.RANK.EQ(G12,$D12:$R12,1)</f>
        <v>7</v>
      </c>
      <c r="AA12" s="8">
        <f t="shared" ref="AA12" si="35">_xlfn.RANK.EQ(H12,$D12:$R12,1)</f>
        <v>9</v>
      </c>
      <c r="AB12" s="8">
        <f t="shared" ref="AB12" si="36">_xlfn.RANK.EQ(I12,$D12:$R12,1)</f>
        <v>5</v>
      </c>
      <c r="AC12" s="8">
        <f t="shared" ref="AC12" si="37">_xlfn.RANK.EQ(J12,$D12:$R12,1)</f>
        <v>2</v>
      </c>
      <c r="AD12" s="8">
        <f t="shared" ref="AD12" si="38">_xlfn.RANK.EQ(K12,$D12:$R12,1)</f>
        <v>3</v>
      </c>
      <c r="AE12" s="8">
        <f t="shared" ref="AE12" si="39">_xlfn.RANK.EQ(L12,$D12:$R12,1)</f>
        <v>8</v>
      </c>
      <c r="AF12" s="8" t="e">
        <f t="shared" ref="AF12" si="40">_xlfn.RANK.EQ(M12,$D12:$R12,1)</f>
        <v>#N/A</v>
      </c>
      <c r="AG12" s="8" t="e">
        <f t="shared" ref="AG12" si="41">_xlfn.RANK.EQ(N12,$D12:$R12,1)</f>
        <v>#N/A</v>
      </c>
      <c r="AH12" s="8" t="e">
        <f t="shared" ref="AH12" si="42">_xlfn.RANK.EQ(O12,$D12:$R12,1)</f>
        <v>#N/A</v>
      </c>
      <c r="AI12" s="8" t="e">
        <f t="shared" ref="AI12" si="43">_xlfn.RANK.EQ(P12,$D12:$R12,1)</f>
        <v>#N/A</v>
      </c>
      <c r="AJ12" s="8" t="e">
        <f t="shared" ref="AJ12" si="44">_xlfn.RANK.EQ(Q12,$D12:$R12,1)</f>
        <v>#N/A</v>
      </c>
      <c r="AK12" s="8" t="e">
        <f t="shared" ref="AK12" si="45">_xlfn.RANK.EQ(R12,$D12:$R12,1)</f>
        <v>#N/A</v>
      </c>
    </row>
    <row xmlns:x14ac="http://schemas.microsoft.com/office/spreadsheetml/2009/9/ac" r="13" x14ac:dyDescent="0.3">
      <c r="A13" s="21"/>
      <c r="B13" s="22" t="s">
        <v>469</v>
      </c>
      <c r="C13" s="10" t="s">
        <v>385</v>
      </c>
      <c r="D13" s="9">
        <v>11.935567177287002</v>
      </c>
      <c r="E13" s="9">
        <v>6.5082969036324405</v>
      </c>
      <c r="F13" s="9">
        <v>8.178715058493145</v>
      </c>
      <c r="G13" s="9">
        <v>2.7252659674745612</v>
      </c>
      <c r="H13" s="9">
        <v>5.1081249288152737</v>
      </c>
      <c r="I13" s="9">
        <v>15.18349034344056</v>
      </c>
      <c r="J13" s="9">
        <v>7.3653121673072723</v>
      </c>
      <c r="K13" s="9">
        <v>18.02506916476711</v>
      </c>
      <c r="L13" s="9">
        <v>7.8793139487664421</v>
      </c>
      <c r="M13" s="9">
        <v>12.775868873153728</v>
      </c>
      <c r="N13" s="9"/>
      <c r="O13" s="9"/>
      <c r="P13" s="9"/>
      <c r="Q13" s="9"/>
      <c r="R13" s="9"/>
      <c r="S13" s="5"/>
      <c r="T13" s="5" t="s">
        <v>13</v>
      </c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</row>
    <row xmlns:x14ac="http://schemas.microsoft.com/office/spreadsheetml/2009/9/ac" r="14" x14ac:dyDescent="0.3">
      <c r="A14" s="21"/>
      <c r="B14" s="25" t="s">
        <v>469</v>
      </c>
      <c r="C14" s="6" t="s">
        <v>386</v>
      </c>
      <c r="D14" s="7">
        <v>0.171875</v>
      </c>
      <c r="E14" s="7">
        <v>0.16145833333333334</v>
      </c>
      <c r="F14" s="7">
        <v>0.33333333333333331</v>
      </c>
      <c r="G14" s="7">
        <v>0.34895833333333331</v>
      </c>
      <c r="H14" s="7">
        <v>0.35416666666666669</v>
      </c>
      <c r="I14" s="7">
        <v>0.098958333333333329</v>
      </c>
      <c r="J14" s="7">
        <v>0.16666666666666666</v>
      </c>
      <c r="K14" s="7">
        <v>0.15625</v>
      </c>
      <c r="L14" s="7">
        <v>0.34166666666666667</v>
      </c>
      <c r="M14" s="7">
        <v>0.1171875</v>
      </c>
      <c r="N14" s="7"/>
      <c r="O14" s="7"/>
      <c r="P14" s="7"/>
      <c r="Q14" s="7"/>
      <c r="R14" s="7"/>
      <c r="S14" s="6"/>
      <c r="T14" s="6" t="s">
        <v>14</v>
      </c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</row>
    <row xmlns:x14ac="http://schemas.microsoft.com/office/spreadsheetml/2009/9/ac" r="15" x14ac:dyDescent="0.3">
      <c r="A15" s="21"/>
      <c r="B15" s="27" t="s">
        <v>470</v>
      </c>
      <c r="C15" s="3" t="s">
        <v>384</v>
      </c>
      <c r="D15" s="4">
        <v>1936.5574102362389</v>
      </c>
      <c r="E15" s="4">
        <v>1966.4393959664631</v>
      </c>
      <c r="F15" s="4">
        <v>1838.9807635269724</v>
      </c>
      <c r="G15" s="4">
        <v>1788.8290684441254</v>
      </c>
      <c r="H15" s="4">
        <v>1858.0572751229465</v>
      </c>
      <c r="I15" s="4">
        <v>918.22677170207044</v>
      </c>
      <c r="J15" s="4">
        <v>900.30065515078024</v>
      </c>
      <c r="K15" s="4">
        <v>1581.622222410266</v>
      </c>
      <c r="L15" s="4">
        <v>1179.9472122236477</v>
      </c>
      <c r="M15" s="4">
        <v>923.16043465578127</v>
      </c>
      <c r="N15" s="4"/>
      <c r="O15" s="4"/>
      <c r="P15" s="4"/>
      <c r="Q15" s="4"/>
      <c r="R15" s="4"/>
      <c r="S15" s="3" t="s">
        <v>4</v>
      </c>
      <c r="T15" s="3" t="s">
        <v>12</v>
      </c>
      <c r="W15" s="8">
        <f t="shared" ref="W15" si="46">_xlfn.RANK.EQ(D15,$D15:$R15,1)</f>
        <v>5</v>
      </c>
      <c r="X15" s="8">
        <f t="shared" ref="X15" si="47">_xlfn.RANK.EQ(E15,$D15:$R15,1)</f>
        <v>3</v>
      </c>
      <c r="Y15" s="8">
        <f t="shared" ref="Y15" si="48">_xlfn.RANK.EQ(F15,$D15:$R15,1)</f>
        <v>7</v>
      </c>
      <c r="Z15" s="8">
        <f t="shared" ref="Z15" si="49">_xlfn.RANK.EQ(G15,$D15:$R15,1)</f>
        <v>1</v>
      </c>
      <c r="AA15" s="8">
        <f t="shared" ref="AA15" si="50">_xlfn.RANK.EQ(H15,$D15:$R15,1)</f>
        <v>9</v>
      </c>
      <c r="AB15" s="8">
        <f t="shared" ref="AB15" si="51">_xlfn.RANK.EQ(I15,$D15:$R15,1)</f>
        <v>4</v>
      </c>
      <c r="AC15" s="8">
        <f t="shared" ref="AC15" si="52">_xlfn.RANK.EQ(J15,$D15:$R15,1)</f>
        <v>6</v>
      </c>
      <c r="AD15" s="8">
        <f t="shared" ref="AD15" si="53">_xlfn.RANK.EQ(K15,$D15:$R15,1)</f>
        <v>2</v>
      </c>
      <c r="AE15" s="8">
        <f t="shared" ref="AE15" si="54">_xlfn.RANK.EQ(L15,$D15:$R15,1)</f>
        <v>8</v>
      </c>
      <c r="AF15" s="8" t="e">
        <f t="shared" ref="AF15" si="55">_xlfn.RANK.EQ(M15,$D15:$R15,1)</f>
        <v>#N/A</v>
      </c>
      <c r="AG15" s="8" t="e">
        <f t="shared" ref="AG15" si="56">_xlfn.RANK.EQ(N15,$D15:$R15,1)</f>
        <v>#N/A</v>
      </c>
      <c r="AH15" s="8" t="e">
        <f t="shared" ref="AH15" si="57">_xlfn.RANK.EQ(O15,$D15:$R15,1)</f>
        <v>#N/A</v>
      </c>
      <c r="AI15" s="8" t="e">
        <f t="shared" ref="AI15" si="58">_xlfn.RANK.EQ(P15,$D15:$R15,1)</f>
        <v>#N/A</v>
      </c>
      <c r="AJ15" s="8" t="e">
        <f t="shared" ref="AJ15" si="59">_xlfn.RANK.EQ(Q15,$D15:$R15,1)</f>
        <v>#N/A</v>
      </c>
      <c r="AK15" s="8" t="e">
        <f t="shared" ref="AK15" si="60">_xlfn.RANK.EQ(R15,$D15:$R15,1)</f>
        <v>#N/A</v>
      </c>
    </row>
    <row xmlns:x14ac="http://schemas.microsoft.com/office/spreadsheetml/2009/9/ac" r="16" x14ac:dyDescent="0.3">
      <c r="A16" s="21"/>
      <c r="B16" s="22" t="s">
        <v>470</v>
      </c>
      <c r="C16" s="10" t="s">
        <v>385</v>
      </c>
      <c r="D16" s="9">
        <v>197.81776349460418</v>
      </c>
      <c r="E16" s="9">
        <v>52.203039625018398</v>
      </c>
      <c r="F16" s="9">
        <v>415.57448981510271</v>
      </c>
      <c r="G16" s="9">
        <v>264.96850066009847</v>
      </c>
      <c r="H16" s="9">
        <v>184.51152750873217</v>
      </c>
      <c r="I16" s="9">
        <v>31.229958073701674</v>
      </c>
      <c r="J16" s="9">
        <v>0.29160510512491722</v>
      </c>
      <c r="K16" s="9">
        <v>508.432203892095</v>
      </c>
      <c r="L16" s="9">
        <v>182.73614692531163</v>
      </c>
      <c r="M16" s="9">
        <v>65.429891583853262</v>
      </c>
      <c r="N16" s="9"/>
      <c r="O16" s="9"/>
      <c r="P16" s="9"/>
      <c r="Q16" s="9"/>
      <c r="R16" s="9"/>
      <c r="S16" s="5"/>
      <c r="T16" s="5" t="s">
        <v>13</v>
      </c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</row>
    <row xmlns:x14ac="http://schemas.microsoft.com/office/spreadsheetml/2009/9/ac" r="17" x14ac:dyDescent="0.3">
      <c r="A17" s="24"/>
      <c r="B17" s="25" t="s">
        <v>470</v>
      </c>
      <c r="C17" s="6" t="s">
        <v>386</v>
      </c>
      <c r="D17" s="7">
        <v>0.23958333333333334</v>
      </c>
      <c r="E17" s="7">
        <v>0.22395833333333334</v>
      </c>
      <c r="F17" s="7">
        <v>0.36979166666666669</v>
      </c>
      <c r="G17" s="7">
        <v>0.35416666666666669</v>
      </c>
      <c r="H17" s="7">
        <v>0.34375</v>
      </c>
      <c r="I17" s="7">
        <v>0.109375</v>
      </c>
      <c r="J17" s="7">
        <v>0.16145833333333334</v>
      </c>
      <c r="K17" s="7">
        <v>0.18229166666666666</v>
      </c>
      <c r="L17" s="7">
        <v>0.36666666666666664</v>
      </c>
      <c r="M17" s="7">
        <v>0.11354166666666667</v>
      </c>
      <c r="N17" s="7"/>
      <c r="O17" s="7"/>
      <c r="P17" s="7"/>
      <c r="Q17" s="7"/>
      <c r="R17" s="7"/>
      <c r="S17" s="6"/>
      <c r="T17" s="6" t="s">
        <v>14</v>
      </c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</row>
    <row xmlns:x14ac="http://schemas.microsoft.com/office/spreadsheetml/2009/9/ac" r="18" x14ac:dyDescent="0.3">
      <c r="A18" s="26" t="s">
        <v>21</v>
      </c>
      <c r="B18" s="27" t="s">
        <v>471</v>
      </c>
      <c r="C18" s="3" t="s">
        <v>384</v>
      </c>
      <c r="D18" s="4">
        <v>6030182816.9600744</v>
      </c>
      <c r="E18" s="4">
        <v>2126155095.0921574</v>
      </c>
      <c r="F18" s="4">
        <v>2252207367.0761638</v>
      </c>
      <c r="G18" s="4">
        <v>660204797.46779263</v>
      </c>
      <c r="H18" s="4">
        <v>415856453.92242622</v>
      </c>
      <c r="I18" s="4">
        <v>5195.5715020044036</v>
      </c>
      <c r="J18" s="4">
        <v>2925.7325587091764</v>
      </c>
      <c r="K18" s="4">
        <v>3747335.1401739684</v>
      </c>
      <c r="L18" s="4">
        <v>2436.000478288649</v>
      </c>
      <c r="M18" s="4">
        <v>5700.8923468083394</v>
      </c>
      <c r="N18" s="4"/>
      <c r="O18" s="4"/>
      <c r="P18" s="4"/>
      <c r="Q18" s="4"/>
      <c r="R18" s="4"/>
      <c r="S18" s="3" t="s">
        <v>5</v>
      </c>
      <c r="T18" s="3" t="s">
        <v>12</v>
      </c>
      <c r="W18" s="8">
        <f t="shared" ref="W18" si="61">_xlfn.RANK.EQ(D18,$D18:$R18,1)</f>
        <v>1</v>
      </c>
      <c r="X18" s="8">
        <f t="shared" ref="X18" si="62">_xlfn.RANK.EQ(E18,$D18:$R18,1)</f>
        <v>5</v>
      </c>
      <c r="Y18" s="8">
        <f t="shared" ref="Y18" si="63">_xlfn.RANK.EQ(F18,$D18:$R18,1)</f>
        <v>2</v>
      </c>
      <c r="Z18" s="8">
        <f t="shared" ref="Z18" si="64">_xlfn.RANK.EQ(G18,$D18:$R18,1)</f>
        <v>7</v>
      </c>
      <c r="AA18" s="8">
        <f t="shared" ref="AA18" si="65">_xlfn.RANK.EQ(H18,$D18:$R18,1)</f>
        <v>8</v>
      </c>
      <c r="AB18" s="8">
        <f t="shared" ref="AB18" si="66">_xlfn.RANK.EQ(I18,$D18:$R18,1)</f>
        <v>6</v>
      </c>
      <c r="AC18" s="8">
        <f t="shared" ref="AC18" si="67">_xlfn.RANK.EQ(J18,$D18:$R18,1)</f>
        <v>3</v>
      </c>
      <c r="AD18" s="8">
        <f t="shared" ref="AD18" si="68">_xlfn.RANK.EQ(K18,$D18:$R18,1)</f>
        <v>4</v>
      </c>
      <c r="AE18" s="8">
        <f t="shared" ref="AE18" si="69">_xlfn.RANK.EQ(L18,$D18:$R18,1)</f>
        <v>9</v>
      </c>
      <c r="AF18" s="8" t="e">
        <f t="shared" ref="AF18" si="70">_xlfn.RANK.EQ(M18,$D18:$R18,1)</f>
        <v>#N/A</v>
      </c>
      <c r="AG18" s="8" t="e">
        <f t="shared" ref="AG18" si="71">_xlfn.RANK.EQ(N18,$D18:$R18,1)</f>
        <v>#N/A</v>
      </c>
      <c r="AH18" s="8" t="e">
        <f t="shared" ref="AH18" si="72">_xlfn.RANK.EQ(O18,$D18:$R18,1)</f>
        <v>#N/A</v>
      </c>
      <c r="AI18" s="8" t="e">
        <f t="shared" ref="AI18" si="73">_xlfn.RANK.EQ(P18,$D18:$R18,1)</f>
        <v>#N/A</v>
      </c>
      <c r="AJ18" s="8" t="e">
        <f t="shared" ref="AJ18" si="74">_xlfn.RANK.EQ(Q18,$D18:$R18,1)</f>
        <v>#N/A</v>
      </c>
      <c r="AK18" s="8" t="e">
        <f t="shared" ref="AK18" si="75">_xlfn.RANK.EQ(R18,$D18:$R18,1)</f>
        <v>#N/A</v>
      </c>
    </row>
    <row xmlns:x14ac="http://schemas.microsoft.com/office/spreadsheetml/2009/9/ac" r="19" x14ac:dyDescent="0.3">
      <c r="A19" s="21"/>
      <c r="B19" s="22" t="s">
        <v>471</v>
      </c>
      <c r="C19" s="10" t="s">
        <v>385</v>
      </c>
      <c r="D19" s="9">
        <v>2939468145.7318125</v>
      </c>
      <c r="E19" s="9">
        <v>1245582051.3963754</v>
      </c>
      <c r="F19" s="9">
        <v>1957312653.4487147</v>
      </c>
      <c r="G19" s="9">
        <v>298589224.43852031</v>
      </c>
      <c r="H19" s="9">
        <v>160494022.13814411</v>
      </c>
      <c r="I19" s="9">
        <v>2675.3956128567252</v>
      </c>
      <c r="J19" s="9">
        <v>1784.199733127449</v>
      </c>
      <c r="K19" s="9">
        <v>3164820.1797293564</v>
      </c>
      <c r="L19" s="9">
        <v>570.96012584533446</v>
      </c>
      <c r="M19" s="9">
        <v>2337.682997553356</v>
      </c>
      <c r="N19" s="9"/>
      <c r="O19" s="9"/>
      <c r="P19" s="9"/>
      <c r="Q19" s="9"/>
      <c r="R19" s="9"/>
      <c r="S19" s="5"/>
      <c r="T19" s="5" t="s">
        <v>13</v>
      </c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</row>
    <row xmlns:x14ac="http://schemas.microsoft.com/office/spreadsheetml/2009/9/ac" r="20" x14ac:dyDescent="0.3">
      <c r="A20" s="21"/>
      <c r="B20" s="25" t="s">
        <v>471</v>
      </c>
      <c r="C20" s="6" t="s">
        <v>386</v>
      </c>
      <c r="D20" s="7">
        <v>0.38541666666666669</v>
      </c>
      <c r="E20" s="7">
        <v>0.21875</v>
      </c>
      <c r="F20" s="7">
        <v>0.35416666666666669</v>
      </c>
      <c r="G20" s="7">
        <v>0.45833333333333331</v>
      </c>
      <c r="H20" s="7">
        <v>0.33333333333333331</v>
      </c>
      <c r="I20" s="7">
        <v>0.109375</v>
      </c>
      <c r="J20" s="7">
        <v>0.15104166666666666</v>
      </c>
      <c r="K20" s="7">
        <v>0.15625</v>
      </c>
      <c r="L20" s="7">
        <v>0.36249999999999999</v>
      </c>
      <c r="M20" s="7">
        <v>0.1203125</v>
      </c>
      <c r="N20" s="7"/>
      <c r="O20" s="7"/>
      <c r="P20" s="7"/>
      <c r="Q20" s="7"/>
      <c r="R20" s="7"/>
      <c r="S20" s="6"/>
      <c r="T20" s="6" t="s">
        <v>14</v>
      </c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</row>
    <row xmlns:x14ac="http://schemas.microsoft.com/office/spreadsheetml/2009/9/ac" r="21" x14ac:dyDescent="0.3">
      <c r="A21" s="21"/>
      <c r="B21" s="27" t="s">
        <v>472</v>
      </c>
      <c r="C21" s="3" t="s">
        <v>384</v>
      </c>
      <c r="D21" s="4">
        <v>2383.451157234837</v>
      </c>
      <c r="E21" s="4">
        <v>2399.8746149084614</v>
      </c>
      <c r="F21" s="4">
        <v>2169.8608376845864</v>
      </c>
      <c r="G21" s="4">
        <v>2165.0242572479469</v>
      </c>
      <c r="H21" s="4">
        <v>2159.7640174585472</v>
      </c>
      <c r="I21" s="4">
        <v>2023.372579799362</v>
      </c>
      <c r="J21" s="4">
        <v>2014.647019993917</v>
      </c>
      <c r="K21" s="4">
        <v>2029.6901719900434</v>
      </c>
      <c r="L21" s="4">
        <v>2043.519669284263</v>
      </c>
      <c r="M21" s="4">
        <v>2040.5892131319388</v>
      </c>
      <c r="N21" s="4"/>
      <c r="O21" s="4"/>
      <c r="P21" s="4"/>
      <c r="Q21" s="4"/>
      <c r="R21" s="4"/>
      <c r="S21" s="3" t="s">
        <v>6</v>
      </c>
      <c r="T21" s="3" t="s">
        <v>12</v>
      </c>
      <c r="W21" s="8">
        <f t="shared" ref="W21" si="76">_xlfn.RANK.EQ(D21,$D21:$R21,1)</f>
        <v>3</v>
      </c>
      <c r="X21" s="8">
        <f t="shared" ref="X21" si="77">_xlfn.RANK.EQ(E21,$D21:$R21,1)</f>
        <v>4</v>
      </c>
      <c r="Y21" s="8">
        <f t="shared" ref="Y21" si="78">_xlfn.RANK.EQ(F21,$D21:$R21,1)</f>
        <v>7</v>
      </c>
      <c r="Z21" s="8">
        <f t="shared" ref="Z21" si="79">_xlfn.RANK.EQ(G21,$D21:$R21,1)</f>
        <v>2</v>
      </c>
      <c r="AA21" s="8">
        <f t="shared" ref="AA21" si="80">_xlfn.RANK.EQ(H21,$D21:$R21,1)</f>
        <v>8</v>
      </c>
      <c r="AB21" s="8">
        <f t="shared" ref="AB21" si="81">_xlfn.RANK.EQ(I21,$D21:$R21,1)</f>
        <v>6</v>
      </c>
      <c r="AC21" s="8">
        <f t="shared" ref="AC21" si="82">_xlfn.RANK.EQ(J21,$D21:$R21,1)</f>
        <v>9</v>
      </c>
      <c r="AD21" s="8">
        <f t="shared" ref="AD21" si="83">_xlfn.RANK.EQ(K21,$D21:$R21,1)</f>
        <v>1</v>
      </c>
      <c r="AE21" s="8">
        <f t="shared" ref="AE21" si="84">_xlfn.RANK.EQ(L21,$D21:$R21,1)</f>
        <v>5</v>
      </c>
      <c r="AF21" s="8" t="e">
        <f t="shared" ref="AF21" si="85">_xlfn.RANK.EQ(M21,$D21:$R21,1)</f>
        <v>#N/A</v>
      </c>
      <c r="AG21" s="8" t="e">
        <f t="shared" ref="AG21" si="86">_xlfn.RANK.EQ(N21,$D21:$R21,1)</f>
        <v>#N/A</v>
      </c>
      <c r="AH21" s="8" t="e">
        <f t="shared" ref="AH21" si="87">_xlfn.RANK.EQ(O21,$D21:$R21,1)</f>
        <v>#N/A</v>
      </c>
      <c r="AI21" s="8" t="e">
        <f t="shared" ref="AI21" si="88">_xlfn.RANK.EQ(P21,$D21:$R21,1)</f>
        <v>#N/A</v>
      </c>
      <c r="AJ21" s="8" t="e">
        <f t="shared" ref="AJ21" si="89">_xlfn.RANK.EQ(Q21,$D21:$R21,1)</f>
        <v>#N/A</v>
      </c>
      <c r="AK21" s="8" t="e">
        <f t="shared" ref="AK21" si="90">_xlfn.RANK.EQ(R21,$D21:$R21,1)</f>
        <v>#N/A</v>
      </c>
    </row>
    <row xmlns:x14ac="http://schemas.microsoft.com/office/spreadsheetml/2009/9/ac" r="22" x14ac:dyDescent="0.3">
      <c r="A22" s="21"/>
      <c r="B22" s="22" t="s">
        <v>472</v>
      </c>
      <c r="C22" s="10" t="s">
        <v>385</v>
      </c>
      <c r="D22" s="9">
        <v>49.474324175061014</v>
      </c>
      <c r="E22" s="9">
        <v>68.381034011098819</v>
      </c>
      <c r="F22" s="9">
        <v>11.460921505064242</v>
      </c>
      <c r="G22" s="9">
        <v>6.0955099517809552</v>
      </c>
      <c r="H22" s="9">
        <v>25.39768171441672</v>
      </c>
      <c r="I22" s="9">
        <v>5.0244420307879514</v>
      </c>
      <c r="J22" s="9">
        <v>10.441686617796158</v>
      </c>
      <c r="K22" s="9">
        <v>3.9107703475892093</v>
      </c>
      <c r="L22" s="9">
        <v>28.95141002437072</v>
      </c>
      <c r="M22" s="9">
        <v>21.524392954658236</v>
      </c>
      <c r="N22" s="9"/>
      <c r="O22" s="9"/>
      <c r="P22" s="9"/>
      <c r="Q22" s="9"/>
      <c r="R22" s="9"/>
      <c r="S22" s="5"/>
      <c r="T22" s="5" t="s">
        <v>13</v>
      </c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</row>
    <row xmlns:x14ac="http://schemas.microsoft.com/office/spreadsheetml/2009/9/ac" r="23" x14ac:dyDescent="0.3">
      <c r="A23" s="21"/>
      <c r="B23" s="25" t="s">
        <v>472</v>
      </c>
      <c r="C23" s="6" t="s">
        <v>386</v>
      </c>
      <c r="D23" s="7">
        <v>0.1875</v>
      </c>
      <c r="E23" s="7">
        <v>0.19270833333333334</v>
      </c>
      <c r="F23" s="7">
        <v>0.47395833333333331</v>
      </c>
      <c r="G23" s="7">
        <v>0.47395833333333331</v>
      </c>
      <c r="H23" s="7">
        <v>0.47395833333333331</v>
      </c>
      <c r="I23" s="7">
        <v>0.14583333333333334</v>
      </c>
      <c r="J23" s="7">
        <v>0.19791666666666666</v>
      </c>
      <c r="K23" s="7">
        <v>0.16666666666666666</v>
      </c>
      <c r="L23" s="7">
        <v>0.40572916666666664</v>
      </c>
      <c r="M23" s="7">
        <v>0.15833333333333333</v>
      </c>
      <c r="N23" s="7"/>
      <c r="O23" s="7"/>
      <c r="P23" s="7"/>
      <c r="Q23" s="7"/>
      <c r="R23" s="7"/>
      <c r="S23" s="6"/>
      <c r="T23" s="6" t="s">
        <v>14</v>
      </c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</row>
    <row xmlns:x14ac="http://schemas.microsoft.com/office/spreadsheetml/2009/9/ac" r="24" x14ac:dyDescent="0.3">
      <c r="A24" s="21"/>
      <c r="B24" s="27" t="s">
        <v>473</v>
      </c>
      <c r="C24" s="3" t="s">
        <v>384</v>
      </c>
      <c r="D24" s="4">
        <v>20600.625379100737</v>
      </c>
      <c r="E24" s="4">
        <v>39725.245182022561</v>
      </c>
      <c r="F24" s="4">
        <v>2289.9089840436732</v>
      </c>
      <c r="G24" s="4">
        <v>2364.5561129240723</v>
      </c>
      <c r="H24" s="4">
        <v>2443.8220983840465</v>
      </c>
      <c r="I24" s="4">
        <v>2227.3408801494847</v>
      </c>
      <c r="J24" s="4">
        <v>2215.231738157574</v>
      </c>
      <c r="K24" s="4">
        <v>2223.4619710550846</v>
      </c>
      <c r="L24" s="4">
        <v>2269.1626516209517</v>
      </c>
      <c r="M24" s="4">
        <v>2232.2534549827278</v>
      </c>
      <c r="N24" s="4"/>
      <c r="O24" s="4"/>
      <c r="P24" s="4"/>
      <c r="Q24" s="4"/>
      <c r="R24" s="4"/>
      <c r="S24" s="3" t="s">
        <v>7</v>
      </c>
      <c r="T24" s="3" t="s">
        <v>12</v>
      </c>
      <c r="W24" s="8">
        <f t="shared" ref="W24" si="91">_xlfn.RANK.EQ(D24,$D24:$R24,1)</f>
        <v>1</v>
      </c>
      <c r="X24" s="8">
        <f t="shared" ref="X24" si="92">_xlfn.RANK.EQ(E24,$D24:$R24,1)</f>
        <v>2</v>
      </c>
      <c r="Y24" s="8">
        <f t="shared" ref="Y24" si="93">_xlfn.RANK.EQ(F24,$D24:$R24,1)</f>
        <v>8</v>
      </c>
      <c r="Z24" s="8">
        <f t="shared" ref="Z24" si="94">_xlfn.RANK.EQ(G24,$D24:$R24,1)</f>
        <v>5</v>
      </c>
      <c r="AA24" s="8">
        <f t="shared" ref="AA24" si="95">_xlfn.RANK.EQ(H24,$D24:$R24,1)</f>
        <v>7</v>
      </c>
      <c r="AB24" s="8">
        <f t="shared" ref="AB24" si="96">_xlfn.RANK.EQ(I24,$D24:$R24,1)</f>
        <v>6</v>
      </c>
      <c r="AC24" s="8">
        <f t="shared" ref="AC24" si="97">_xlfn.RANK.EQ(J24,$D24:$R24,1)</f>
        <v>9</v>
      </c>
      <c r="AD24" s="8">
        <f t="shared" ref="AD24" si="98">_xlfn.RANK.EQ(K24,$D24:$R24,1)</f>
        <v>4</v>
      </c>
      <c r="AE24" s="8">
        <f t="shared" ref="AE24" si="99">_xlfn.RANK.EQ(L24,$D24:$R24,1)</f>
        <v>3</v>
      </c>
      <c r="AF24" s="8" t="e">
        <f t="shared" ref="AF24" si="100">_xlfn.RANK.EQ(M24,$D24:$R24,1)</f>
        <v>#N/A</v>
      </c>
      <c r="AG24" s="8" t="e">
        <f t="shared" ref="AG24" si="101">_xlfn.RANK.EQ(N24,$D24:$R24,1)</f>
        <v>#N/A</v>
      </c>
      <c r="AH24" s="8" t="e">
        <f t="shared" ref="AH24" si="102">_xlfn.RANK.EQ(O24,$D24:$R24,1)</f>
        <v>#N/A</v>
      </c>
      <c r="AI24" s="8" t="e">
        <f t="shared" ref="AI24" si="103">_xlfn.RANK.EQ(P24,$D24:$R24,1)</f>
        <v>#N/A</v>
      </c>
      <c r="AJ24" s="8" t="e">
        <f t="shared" ref="AJ24" si="104">_xlfn.RANK.EQ(Q24,$D24:$R24,1)</f>
        <v>#N/A</v>
      </c>
      <c r="AK24" s="8" t="e">
        <f t="shared" ref="AK24" si="105">_xlfn.RANK.EQ(R24,$D24:$R24,1)</f>
        <v>#N/A</v>
      </c>
    </row>
    <row xmlns:x14ac="http://schemas.microsoft.com/office/spreadsheetml/2009/9/ac" r="25" x14ac:dyDescent="0.3">
      <c r="A25" s="21"/>
      <c r="B25" s="22" t="s">
        <v>473</v>
      </c>
      <c r="C25" s="10" t="s">
        <v>385</v>
      </c>
      <c r="D25" s="9">
        <v>23821.231168180329</v>
      </c>
      <c r="E25" s="9">
        <v>24356.62623170167</v>
      </c>
      <c r="F25" s="9">
        <v>24.570055408299581</v>
      </c>
      <c r="G25" s="9">
        <v>97.701943811169443</v>
      </c>
      <c r="H25" s="9">
        <v>143.02524895309406</v>
      </c>
      <c r="I25" s="9">
        <v>1.4468632120753975</v>
      </c>
      <c r="J25" s="9">
        <v>12.856682353917048</v>
      </c>
      <c r="K25" s="9">
        <v>1.2299389332211266</v>
      </c>
      <c r="L25" s="9">
        <v>77.448071522041616</v>
      </c>
      <c r="M25" s="9">
        <v>31.539083981445099</v>
      </c>
      <c r="N25" s="9"/>
      <c r="O25" s="9"/>
      <c r="P25" s="9"/>
      <c r="Q25" s="9"/>
      <c r="R25" s="9"/>
      <c r="S25" s="5"/>
      <c r="T25" s="5" t="s">
        <v>13</v>
      </c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</row>
    <row xmlns:x14ac="http://schemas.microsoft.com/office/spreadsheetml/2009/9/ac" r="26" x14ac:dyDescent="0.3">
      <c r="A26" s="24"/>
      <c r="B26" s="25" t="s">
        <v>473</v>
      </c>
      <c r="C26" s="6" t="s">
        <v>386</v>
      </c>
      <c r="D26" s="7">
        <v>0.19270833333333334</v>
      </c>
      <c r="E26" s="7">
        <v>0.19791666666666666</v>
      </c>
      <c r="F26" s="7">
        <v>0.515625</v>
      </c>
      <c r="G26" s="7">
        <v>0.50520833333333337</v>
      </c>
      <c r="H26" s="7">
        <v>0.5</v>
      </c>
      <c r="I26" s="7">
        <v>0.15625</v>
      </c>
      <c r="J26" s="7">
        <v>0.20833333333333334</v>
      </c>
      <c r="K26" s="7">
        <v>0.18229166666666666</v>
      </c>
      <c r="L26" s="7">
        <v>0.40104166666666669</v>
      </c>
      <c r="M26" s="7">
        <v>0.16822916666666668</v>
      </c>
      <c r="N26" s="7"/>
      <c r="O26" s="7"/>
      <c r="P26" s="7"/>
      <c r="Q26" s="7"/>
      <c r="R26" s="7"/>
      <c r="S26" s="6"/>
      <c r="T26" s="6" t="s">
        <v>14</v>
      </c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</row>
    <row xmlns:x14ac="http://schemas.microsoft.com/office/spreadsheetml/2009/9/ac" r="27" x14ac:dyDescent="0.3">
      <c r="A27" s="26" t="s">
        <v>16</v>
      </c>
      <c r="B27" s="27" t="s">
        <v>474</v>
      </c>
      <c r="C27" s="3" t="s">
        <v>384</v>
      </c>
      <c r="D27" s="4">
        <v>3770.3187221278554</v>
      </c>
      <c r="E27" s="4">
        <v>3600.6207980594227</v>
      </c>
      <c r="F27" s="4">
        <v>3007.034008909679</v>
      </c>
      <c r="G27" s="4">
        <v>3025.5168611325407</v>
      </c>
      <c r="H27" s="4">
        <v>3016.6884292920754</v>
      </c>
      <c r="I27" s="4">
        <v>2644.7471288557299</v>
      </c>
      <c r="J27" s="4">
        <v>2533.7375012121388</v>
      </c>
      <c r="K27" s="4">
        <v>2602.7229619650584</v>
      </c>
      <c r="L27" s="4">
        <v>2550.2532993958175</v>
      </c>
      <c r="M27" s="4">
        <v>2580.0667405088511</v>
      </c>
      <c r="N27" s="4"/>
      <c r="O27" s="4"/>
      <c r="P27" s="4"/>
      <c r="Q27" s="4"/>
      <c r="R27" s="4"/>
      <c r="S27" s="3" t="s">
        <v>8</v>
      </c>
      <c r="T27" s="3" t="s">
        <v>12</v>
      </c>
      <c r="W27" s="8">
        <f t="shared" ref="W27" si="106">_xlfn.RANK.EQ(D27,$D27:$R27,1)</f>
        <v>1</v>
      </c>
      <c r="X27" s="8">
        <f t="shared" ref="X27" si="107">_xlfn.RANK.EQ(E27,$D27:$R27,1)</f>
        <v>3</v>
      </c>
      <c r="Y27" s="8">
        <f t="shared" ref="Y27" si="108">_xlfn.RANK.EQ(F27,$D27:$R27,1)</f>
        <v>5</v>
      </c>
      <c r="Z27" s="8">
        <f t="shared" ref="Z27" si="109">_xlfn.RANK.EQ(G27,$D27:$R27,1)</f>
        <v>2</v>
      </c>
      <c r="AA27" s="8">
        <f t="shared" ref="AA27" si="110">_xlfn.RANK.EQ(H27,$D27:$R27,1)</f>
        <v>9</v>
      </c>
      <c r="AB27" s="8">
        <f t="shared" ref="AB27" si="111">_xlfn.RANK.EQ(I27,$D27:$R27,1)</f>
        <v>6</v>
      </c>
      <c r="AC27" s="8">
        <f t="shared" ref="AC27" si="112">_xlfn.RANK.EQ(J27,$D27:$R27,1)</f>
        <v>8</v>
      </c>
      <c r="AD27" s="8">
        <f t="shared" ref="AD27" si="113">_xlfn.RANK.EQ(K27,$D27:$R27,1)</f>
        <v>4</v>
      </c>
      <c r="AE27" s="8">
        <f t="shared" ref="AE27" si="114">_xlfn.RANK.EQ(L27,$D27:$R27,1)</f>
        <v>7</v>
      </c>
      <c r="AF27" s="8" t="e">
        <f t="shared" ref="AF27" si="115">_xlfn.RANK.EQ(M27,$D27:$R27,1)</f>
        <v>#N/A</v>
      </c>
      <c r="AG27" s="8" t="e">
        <f t="shared" ref="AG27" si="116">_xlfn.RANK.EQ(N27,$D27:$R27,1)</f>
        <v>#N/A</v>
      </c>
      <c r="AH27" s="8" t="e">
        <f t="shared" ref="AH27" si="117">_xlfn.RANK.EQ(O27,$D27:$R27,1)</f>
        <v>#N/A</v>
      </c>
      <c r="AI27" s="8" t="e">
        <f t="shared" ref="AI27" si="118">_xlfn.RANK.EQ(P27,$D27:$R27,1)</f>
        <v>#N/A</v>
      </c>
      <c r="AJ27" s="8" t="e">
        <f t="shared" ref="AJ27" si="119">_xlfn.RANK.EQ(Q27,$D27:$R27,1)</f>
        <v>#N/A</v>
      </c>
      <c r="AK27" s="8" t="e">
        <f t="shared" ref="AK27" si="120">_xlfn.RANK.EQ(R27,$D27:$R27,1)</f>
        <v>#N/A</v>
      </c>
    </row>
    <row xmlns:x14ac="http://schemas.microsoft.com/office/spreadsheetml/2009/9/ac" r="28" x14ac:dyDescent="0.3">
      <c r="A28" s="21"/>
      <c r="B28" s="22" t="s">
        <v>474</v>
      </c>
      <c r="C28" s="10" t="s">
        <v>385</v>
      </c>
      <c r="D28" s="9">
        <v>452.52939144479882</v>
      </c>
      <c r="E28" s="9">
        <v>406.871782250862</v>
      </c>
      <c r="F28" s="9">
        <v>136.29703618411034</v>
      </c>
      <c r="G28" s="9">
        <v>120.93455446483</v>
      </c>
      <c r="H28" s="9">
        <v>22.839147110865117</v>
      </c>
      <c r="I28" s="9">
        <v>27.372323033393158</v>
      </c>
      <c r="J28" s="9">
        <v>2.1642815662363022</v>
      </c>
      <c r="K28" s="9">
        <v>28.182485418526852</v>
      </c>
      <c r="L28" s="9">
        <v>43.000939635748217</v>
      </c>
      <c r="M28" s="9">
        <v>38.337965241423213</v>
      </c>
      <c r="N28" s="9"/>
      <c r="O28" s="9"/>
      <c r="P28" s="9"/>
      <c r="Q28" s="9"/>
      <c r="R28" s="9"/>
      <c r="S28" s="5"/>
      <c r="T28" s="5" t="s">
        <v>13</v>
      </c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</row>
    <row xmlns:x14ac="http://schemas.microsoft.com/office/spreadsheetml/2009/9/ac" r="29" x14ac:dyDescent="0.3">
      <c r="A29" s="21"/>
      <c r="B29" s="25" t="s">
        <v>474</v>
      </c>
      <c r="C29" s="6" t="s">
        <v>386</v>
      </c>
      <c r="D29" s="7">
        <v>0.18229166666666666</v>
      </c>
      <c r="E29" s="7">
        <v>0.19791666666666666</v>
      </c>
      <c r="F29" s="7">
        <v>0.41666666666666669</v>
      </c>
      <c r="G29" s="7">
        <v>0.4375</v>
      </c>
      <c r="H29" s="7">
        <v>0.47916666666666669</v>
      </c>
      <c r="I29" s="7">
        <v>0.140625</v>
      </c>
      <c r="J29" s="7">
        <v>0.20833333333333334</v>
      </c>
      <c r="K29" s="7">
        <v>0.19791666666666666</v>
      </c>
      <c r="L29" s="7">
        <v>0.38541666666666669</v>
      </c>
      <c r="M29" s="7">
        <v>0.14427083333333332</v>
      </c>
      <c r="N29" s="7"/>
      <c r="O29" s="7"/>
      <c r="P29" s="7"/>
      <c r="Q29" s="7"/>
      <c r="R29" s="7"/>
      <c r="S29" s="6"/>
      <c r="T29" s="6" t="s">
        <v>14</v>
      </c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</row>
    <row xmlns:x14ac="http://schemas.microsoft.com/office/spreadsheetml/2009/9/ac" r="30" x14ac:dyDescent="0.3">
      <c r="A30" s="21"/>
      <c r="B30" s="27" t="s">
        <v>475</v>
      </c>
      <c r="C30" s="3" t="s">
        <v>384</v>
      </c>
      <c r="D30" s="4">
        <v>5099.4585488351458</v>
      </c>
      <c r="E30" s="4">
        <v>5020.368492849032</v>
      </c>
      <c r="F30" s="4">
        <v>4783.2561050570803</v>
      </c>
      <c r="G30" s="4">
        <v>3360.6627235127894</v>
      </c>
      <c r="H30" s="4">
        <v>2938.6991558794039</v>
      </c>
      <c r="I30" s="4">
        <v>2500.3908995635916</v>
      </c>
      <c r="J30" s="4">
        <v>2579.0375538000189</v>
      </c>
      <c r="K30" s="4">
        <v>2472.3602456715789</v>
      </c>
      <c r="L30" s="4">
        <v>2648.5793178891131</v>
      </c>
      <c r="M30" s="4">
        <v>2595.8980158055938</v>
      </c>
      <c r="N30" s="4"/>
      <c r="O30" s="4"/>
      <c r="P30" s="4"/>
      <c r="Q30" s="4"/>
      <c r="R30" s="4"/>
      <c r="S30" s="3" t="s">
        <v>9</v>
      </c>
      <c r="T30" s="3" t="s">
        <v>12</v>
      </c>
      <c r="W30" s="8">
        <f t="shared" ref="W30" si="121">_xlfn.RANK.EQ(D30,$D30:$R30,1)</f>
        <v>4</v>
      </c>
      <c r="X30" s="8">
        <f t="shared" ref="X30" si="122">_xlfn.RANK.EQ(E30,$D30:$R30,1)</f>
        <v>3</v>
      </c>
      <c r="Y30" s="8">
        <f t="shared" ref="Y30" si="123">_xlfn.RANK.EQ(F30,$D30:$R30,1)</f>
        <v>7</v>
      </c>
      <c r="Z30" s="8">
        <f t="shared" ref="Z30" si="124">_xlfn.RANK.EQ(G30,$D30:$R30,1)</f>
        <v>1</v>
      </c>
      <c r="AA30" s="8">
        <f t="shared" ref="AA30" si="125">_xlfn.RANK.EQ(H30,$D30:$R30,1)</f>
        <v>9</v>
      </c>
      <c r="AB30" s="8">
        <f t="shared" ref="AB30" si="126">_xlfn.RANK.EQ(I30,$D30:$R30,1)</f>
        <v>2</v>
      </c>
      <c r="AC30" s="8">
        <f t="shared" ref="AC30" si="127">_xlfn.RANK.EQ(J30,$D30:$R30,1)</f>
        <v>8</v>
      </c>
      <c r="AD30" s="8">
        <f t="shared" ref="AD30" si="128">_xlfn.RANK.EQ(K30,$D30:$R30,1)</f>
        <v>5</v>
      </c>
      <c r="AE30" s="8">
        <f t="shared" ref="AE30" si="129">_xlfn.RANK.EQ(L30,$D30:$R30,1)</f>
        <v>6</v>
      </c>
      <c r="AF30" s="8" t="e">
        <f t="shared" ref="AF30" si="130">_xlfn.RANK.EQ(M30,$D30:$R30,1)</f>
        <v>#N/A</v>
      </c>
      <c r="AG30" s="8" t="e">
        <f t="shared" ref="AG30" si="131">_xlfn.RANK.EQ(N30,$D30:$R30,1)</f>
        <v>#N/A</v>
      </c>
      <c r="AH30" s="8" t="e">
        <f t="shared" ref="AH30" si="132">_xlfn.RANK.EQ(O30,$D30:$R30,1)</f>
        <v>#N/A</v>
      </c>
      <c r="AI30" s="8" t="e">
        <f t="shared" ref="AI30" si="133">_xlfn.RANK.EQ(P30,$D30:$R30,1)</f>
        <v>#N/A</v>
      </c>
      <c r="AJ30" s="8" t="e">
        <f t="shared" ref="AJ30" si="134">_xlfn.RANK.EQ(Q30,$D30:$R30,1)</f>
        <v>#N/A</v>
      </c>
      <c r="AK30" s="8" t="e">
        <f t="shared" ref="AK30" si="135">_xlfn.RANK.EQ(R30,$D30:$R30,1)</f>
        <v>#N/A</v>
      </c>
    </row>
    <row xmlns:x14ac="http://schemas.microsoft.com/office/spreadsheetml/2009/9/ac" r="31" x14ac:dyDescent="0.3">
      <c r="A31" s="21"/>
      <c r="B31" s="22" t="s">
        <v>475</v>
      </c>
      <c r="C31" s="10" t="s">
        <v>385</v>
      </c>
      <c r="D31" s="9">
        <v>146.33272016107009</v>
      </c>
      <c r="E31" s="9">
        <v>143.57424159162449</v>
      </c>
      <c r="F31" s="9">
        <v>212.8716937820154</v>
      </c>
      <c r="G31" s="9">
        <v>350.08227884670669</v>
      </c>
      <c r="H31" s="9">
        <v>98.904308641910291</v>
      </c>
      <c r="I31" s="9">
        <v>0.068318510181680683</v>
      </c>
      <c r="J31" s="9">
        <v>68.237749884383959</v>
      </c>
      <c r="K31" s="9">
        <v>49.87677113722107</v>
      </c>
      <c r="L31" s="9">
        <v>221.09665778974204</v>
      </c>
      <c r="M31" s="9">
        <v>243.8460425755234</v>
      </c>
      <c r="N31" s="9"/>
      <c r="O31" s="9"/>
      <c r="P31" s="9"/>
      <c r="Q31" s="9"/>
      <c r="R31" s="9"/>
      <c r="S31" s="5"/>
      <c r="T31" s="5" t="s">
        <v>13</v>
      </c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</row>
    <row xmlns:x14ac="http://schemas.microsoft.com/office/spreadsheetml/2009/9/ac" r="32" x14ac:dyDescent="0.3">
      <c r="A32" s="21"/>
      <c r="B32" s="25" t="s">
        <v>475</v>
      </c>
      <c r="C32" s="6" t="s">
        <v>386</v>
      </c>
      <c r="D32" s="7">
        <v>0.19791666666666666</v>
      </c>
      <c r="E32" s="7">
        <v>0.20833333333333334</v>
      </c>
      <c r="F32" s="7">
        <v>0.45833333333333331</v>
      </c>
      <c r="G32" s="7">
        <v>0.40625</v>
      </c>
      <c r="H32" s="7">
        <v>0.42708333333333331</v>
      </c>
      <c r="I32" s="7">
        <v>0.125</v>
      </c>
      <c r="J32" s="7">
        <v>0.19791666666666666</v>
      </c>
      <c r="K32" s="7">
        <v>0.140625</v>
      </c>
      <c r="L32" s="7">
        <v>0.37447916666666664</v>
      </c>
      <c r="M32" s="7">
        <v>0.14791666666666667</v>
      </c>
      <c r="N32" s="7"/>
      <c r="O32" s="7"/>
      <c r="P32" s="7"/>
      <c r="Q32" s="7"/>
      <c r="R32" s="7"/>
      <c r="S32" s="6"/>
      <c r="T32" s="6" t="s">
        <v>14</v>
      </c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</row>
    <row xmlns:x14ac="http://schemas.microsoft.com/office/spreadsheetml/2009/9/ac" r="33" x14ac:dyDescent="0.3">
      <c r="A33" s="21"/>
      <c r="B33" s="27" t="s">
        <v>476</v>
      </c>
      <c r="C33" s="3" t="s">
        <v>384</v>
      </c>
      <c r="D33" s="4">
        <v>5152.1824890950402</v>
      </c>
      <c r="E33" s="4">
        <v>5119.5485189426427</v>
      </c>
      <c r="F33" s="4">
        <v>4734.9161578588182</v>
      </c>
      <c r="G33" s="4">
        <v>4103.275372278441</v>
      </c>
      <c r="H33" s="4">
        <v>4515.8214493555379</v>
      </c>
      <c r="I33" s="4">
        <v>2690.3766669254892</v>
      </c>
      <c r="J33" s="4">
        <v>2833.3344635968474</v>
      </c>
      <c r="K33" s="4">
        <v>2752.1034847792166</v>
      </c>
      <c r="L33" s="4">
        <v>2714.0934649697251</v>
      </c>
      <c r="M33" s="4">
        <v>2841.3325236801611</v>
      </c>
      <c r="N33" s="4"/>
      <c r="O33" s="4"/>
      <c r="P33" s="4"/>
      <c r="Q33" s="4"/>
      <c r="R33" s="4"/>
      <c r="S33" s="3" t="s">
        <v>10</v>
      </c>
      <c r="T33" s="3" t="s">
        <v>12</v>
      </c>
      <c r="W33" s="8">
        <f t="shared" ref="W33" si="136">_xlfn.RANK.EQ(D33,$D33:$R33,1)</f>
        <v>3</v>
      </c>
      <c r="X33" s="8">
        <f t="shared" ref="X33" si="137">_xlfn.RANK.EQ(E33,$D33:$R33,1)</f>
        <v>6</v>
      </c>
      <c r="Y33" s="8">
        <f t="shared" ref="Y33" si="138">_xlfn.RANK.EQ(F33,$D33:$R33,1)</f>
        <v>4</v>
      </c>
      <c r="Z33" s="8">
        <f t="shared" ref="Z33" si="139">_xlfn.RANK.EQ(G33,$D33:$R33,1)</f>
        <v>1</v>
      </c>
      <c r="AA33" s="8">
        <f t="shared" ref="AA33" si="140">_xlfn.RANK.EQ(H33,$D33:$R33,1)</f>
        <v>9</v>
      </c>
      <c r="AB33" s="8">
        <f t="shared" ref="AB33" si="141">_xlfn.RANK.EQ(I33,$D33:$R33,1)</f>
        <v>2</v>
      </c>
      <c r="AC33" s="8">
        <f t="shared" ref="AC33" si="142">_xlfn.RANK.EQ(J33,$D33:$R33,1)</f>
        <v>7</v>
      </c>
      <c r="AD33" s="8">
        <f t="shared" ref="AD33" si="143">_xlfn.RANK.EQ(K33,$D33:$R33,1)</f>
        <v>5</v>
      </c>
      <c r="AE33" s="8">
        <f t="shared" ref="AE33" si="144">_xlfn.RANK.EQ(L33,$D33:$R33,1)</f>
        <v>8</v>
      </c>
      <c r="AF33" s="8" t="e">
        <f t="shared" ref="AF33" si="145">_xlfn.RANK.EQ(M33,$D33:$R33,1)</f>
        <v>#N/A</v>
      </c>
      <c r="AG33" s="8" t="e">
        <f t="shared" ref="AG33" si="146">_xlfn.RANK.EQ(N33,$D33:$R33,1)</f>
        <v>#N/A</v>
      </c>
      <c r="AH33" s="8" t="e">
        <f t="shared" ref="AH33" si="147">_xlfn.RANK.EQ(O33,$D33:$R33,1)</f>
        <v>#N/A</v>
      </c>
      <c r="AI33" s="8" t="e">
        <f t="shared" ref="AI33" si="148">_xlfn.RANK.EQ(P33,$D33:$R33,1)</f>
        <v>#N/A</v>
      </c>
      <c r="AJ33" s="8" t="e">
        <f t="shared" ref="AJ33" si="149">_xlfn.RANK.EQ(Q33,$D33:$R33,1)</f>
        <v>#N/A</v>
      </c>
      <c r="AK33" s="8" t="e">
        <f t="shared" ref="AK33" si="150">_xlfn.RANK.EQ(R33,$D33:$R33,1)</f>
        <v>#N/A</v>
      </c>
    </row>
    <row xmlns:x14ac="http://schemas.microsoft.com/office/spreadsheetml/2009/9/ac" r="34" x14ac:dyDescent="0.3">
      <c r="A34" s="21"/>
      <c r="B34" s="22" t="s">
        <v>476</v>
      </c>
      <c r="C34" s="10" t="s">
        <v>385</v>
      </c>
      <c r="D34" s="9">
        <v>83.846182127899795</v>
      </c>
      <c r="E34" s="9">
        <v>23.128118438232519</v>
      </c>
      <c r="F34" s="9">
        <v>202.92515887966073</v>
      </c>
      <c r="G34" s="9">
        <v>120.97288359493979</v>
      </c>
      <c r="H34" s="9">
        <v>377.23681460081997</v>
      </c>
      <c r="I34" s="9">
        <v>74.613003049896278</v>
      </c>
      <c r="J34" s="9">
        <v>208.16522401502621</v>
      </c>
      <c r="K34" s="9">
        <v>0.7529664388152949</v>
      </c>
      <c r="L34" s="9">
        <v>147.75387199501711</v>
      </c>
      <c r="M34" s="9">
        <v>179.1934608607458</v>
      </c>
      <c r="N34" s="9"/>
      <c r="O34" s="9"/>
      <c r="P34" s="9"/>
      <c r="Q34" s="9"/>
      <c r="R34" s="9"/>
      <c r="S34" s="5"/>
      <c r="T34" s="5" t="s">
        <v>13</v>
      </c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</row>
    <row xmlns:x14ac="http://schemas.microsoft.com/office/spreadsheetml/2009/9/ac" r="35" x14ac:dyDescent="0.3">
      <c r="A35" s="21"/>
      <c r="B35" s="25" t="s">
        <v>476</v>
      </c>
      <c r="C35" s="6" t="s">
        <v>386</v>
      </c>
      <c r="D35" s="7">
        <v>0.203125</v>
      </c>
      <c r="E35" s="7">
        <v>0.19791666666666666</v>
      </c>
      <c r="F35" s="7">
        <v>0.51041666666666663</v>
      </c>
      <c r="G35" s="7">
        <v>0.484375</v>
      </c>
      <c r="H35" s="7">
        <v>0.46875</v>
      </c>
      <c r="I35" s="7">
        <v>0.15625</v>
      </c>
      <c r="J35" s="7">
        <v>0.19791666666666666</v>
      </c>
      <c r="K35" s="7">
        <v>0.17708333333333334</v>
      </c>
      <c r="L35" s="7">
        <v>0.47968749999999999</v>
      </c>
      <c r="M35" s="7">
        <v>0.17812500000000001</v>
      </c>
      <c r="N35" s="7"/>
      <c r="O35" s="7"/>
      <c r="P35" s="7"/>
      <c r="Q35" s="7"/>
      <c r="R35" s="7"/>
      <c r="S35" s="6"/>
      <c r="T35" s="6" t="s">
        <v>14</v>
      </c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</row>
    <row xmlns:x14ac="http://schemas.microsoft.com/office/spreadsheetml/2009/9/ac" r="36" x14ac:dyDescent="0.3">
      <c r="A36" s="21"/>
      <c r="B36" s="27" t="s">
        <v>477</v>
      </c>
      <c r="C36" s="3" t="s">
        <v>384</v>
      </c>
      <c r="D36" s="4">
        <v>3350.1671643901359</v>
      </c>
      <c r="E36" s="4">
        <v>3285.1812653619891</v>
      </c>
      <c r="F36" s="4">
        <v>2964.3179106313673</v>
      </c>
      <c r="G36" s="4">
        <v>3068.4309782373143</v>
      </c>
      <c r="H36" s="4">
        <v>2963.0789766441899</v>
      </c>
      <c r="I36" s="4">
        <v>2880.2904933271384</v>
      </c>
      <c r="J36" s="4">
        <v>2869.3021409986191</v>
      </c>
      <c r="K36" s="4">
        <v>2896.6074325272853</v>
      </c>
      <c r="L36" s="4">
        <v>2974.6989620588442</v>
      </c>
      <c r="M36" s="4">
        <v>2871.9577292268664</v>
      </c>
      <c r="N36" s="4"/>
      <c r="O36" s="4"/>
      <c r="P36" s="4"/>
      <c r="Q36" s="4"/>
      <c r="R36" s="4"/>
      <c r="S36" s="3" t="s">
        <v>11</v>
      </c>
      <c r="T36" s="3" t="s">
        <v>12</v>
      </c>
      <c r="W36" s="8">
        <f t="shared" ref="W36" si="151">_xlfn.RANK.EQ(D36,$D36:$R36,1)</f>
        <v>5</v>
      </c>
      <c r="X36" s="8">
        <f t="shared" ref="X36" si="152">_xlfn.RANK.EQ(E36,$D36:$R36,1)</f>
        <v>4</v>
      </c>
      <c r="Y36" s="8">
        <f t="shared" ref="Y36" si="153">_xlfn.RANK.EQ(F36,$D36:$R36,1)</f>
        <v>8</v>
      </c>
      <c r="Z36" s="8">
        <f t="shared" ref="Z36" si="154">_xlfn.RANK.EQ(G36,$D36:$R36,1)</f>
        <v>1</v>
      </c>
      <c r="AA36" s="8">
        <f t="shared" ref="AA36" si="155">_xlfn.RANK.EQ(H36,$D36:$R36,1)</f>
        <v>7</v>
      </c>
      <c r="AB36" s="8">
        <f t="shared" ref="AB36" si="156">_xlfn.RANK.EQ(I36,$D36:$R36,1)</f>
        <v>2</v>
      </c>
      <c r="AC36" s="8">
        <f t="shared" ref="AC36" si="157">_xlfn.RANK.EQ(J36,$D36:$R36,1)</f>
        <v>9</v>
      </c>
      <c r="AD36" s="8">
        <f t="shared" ref="AD36" si="158">_xlfn.RANK.EQ(K36,$D36:$R36,1)</f>
        <v>3</v>
      </c>
      <c r="AE36" s="8">
        <f t="shared" ref="AE36" si="159">_xlfn.RANK.EQ(L36,$D36:$R36,1)</f>
        <v>6</v>
      </c>
      <c r="AF36" s="8" t="e">
        <f t="shared" ref="AF36" si="160">_xlfn.RANK.EQ(M36,$D36:$R36,1)</f>
        <v>#N/A</v>
      </c>
      <c r="AG36" s="8" t="e">
        <f t="shared" ref="AG36" si="161">_xlfn.RANK.EQ(N36,$D36:$R36,1)</f>
        <v>#N/A</v>
      </c>
      <c r="AH36" s="8" t="e">
        <f t="shared" ref="AH36" si="162">_xlfn.RANK.EQ(O36,$D36:$R36,1)</f>
        <v>#N/A</v>
      </c>
      <c r="AI36" s="8" t="e">
        <f t="shared" ref="AI36" si="163">_xlfn.RANK.EQ(P36,$D36:$R36,1)</f>
        <v>#N/A</v>
      </c>
      <c r="AJ36" s="8" t="e">
        <f t="shared" ref="AJ36" si="164">_xlfn.RANK.EQ(Q36,$D36:$R36,1)</f>
        <v>#N/A</v>
      </c>
      <c r="AK36" s="8" t="e">
        <f t="shared" ref="AK36" si="165">_xlfn.RANK.EQ(R36,$D36:$R36,1)</f>
        <v>#N/A</v>
      </c>
    </row>
    <row xmlns:x14ac="http://schemas.microsoft.com/office/spreadsheetml/2009/9/ac" r="37" x14ac:dyDescent="0.3">
      <c r="A37" s="21"/>
      <c r="B37" s="22" t="s">
        <v>477</v>
      </c>
      <c r="C37" s="10" t="s">
        <v>385</v>
      </c>
      <c r="D37" s="9">
        <v>283.79932893021549</v>
      </c>
      <c r="E37" s="9">
        <v>246.37653273244163</v>
      </c>
      <c r="F37" s="9">
        <v>39.568706134678244</v>
      </c>
      <c r="G37" s="9">
        <v>141.72096767105072</v>
      </c>
      <c r="H37" s="9">
        <v>44.201902842742165</v>
      </c>
      <c r="I37" s="9">
        <v>12.599908804171578</v>
      </c>
      <c r="J37" s="9">
        <v>1.9808540723424122</v>
      </c>
      <c r="K37" s="9">
        <v>23.071823476301688</v>
      </c>
      <c r="L37" s="9">
        <v>47.895741811314608</v>
      </c>
      <c r="M37" s="9">
        <v>13.109545205002563</v>
      </c>
      <c r="N37" s="9"/>
      <c r="O37" s="9"/>
      <c r="P37" s="9"/>
      <c r="Q37" s="9"/>
      <c r="R37" s="9"/>
      <c r="S37" s="5"/>
      <c r="T37" s="5" t="s">
        <v>13</v>
      </c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</row>
    <row xmlns:x14ac="http://schemas.microsoft.com/office/spreadsheetml/2009/9/ac" r="38" x14ac:dyDescent="0.3">
      <c r="A38" s="24"/>
      <c r="B38" s="25" t="s">
        <v>477</v>
      </c>
      <c r="C38" s="6" t="s">
        <v>386</v>
      </c>
      <c r="D38" s="7">
        <v>0.23958333333333334</v>
      </c>
      <c r="E38" s="7">
        <v>0.22916666666666666</v>
      </c>
      <c r="F38" s="7">
        <v>0.52083333333333337</v>
      </c>
      <c r="G38" s="7">
        <v>0.52604166666666663</v>
      </c>
      <c r="H38" s="7">
        <v>0.52604166666666663</v>
      </c>
      <c r="I38" s="7">
        <v>0.16145833333333334</v>
      </c>
      <c r="J38" s="7">
        <v>0.265625</v>
      </c>
      <c r="K38" s="7">
        <v>0.30208333333333331</v>
      </c>
      <c r="L38" s="7">
        <v>0.4296875</v>
      </c>
      <c r="M38" s="7">
        <v>0.18229166666666666</v>
      </c>
      <c r="N38" s="7"/>
      <c r="O38" s="7"/>
      <c r="P38" s="7"/>
      <c r="Q38" s="7"/>
      <c r="R38" s="7"/>
      <c r="S38" s="6"/>
      <c r="T38" s="6" t="s">
        <v>14</v>
      </c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</row>
    <row xmlns:x14ac="http://schemas.microsoft.com/office/spreadsheetml/2009/9/ac" r="39" ht="32.4" customHeight="true" x14ac:dyDescent="0.3">
      <c r="A39" s="26" t="s">
        <v>23</v>
      </c>
      <c r="B39" s="27"/>
      <c r="C39" s="27"/>
      <c r="D39" s="3">
        <f>COUNTIF(W3:W38,1)</f>
        <v>4</v>
      </c>
      <c r="E39" s="3">
        <f t="shared" ref="E39:R39" si="166">COUNTIF(X3:X38,1)</f>
        <v>1</v>
      </c>
      <c r="F39" s="3">
        <f t="shared" si="166"/>
        <v>0</v>
      </c>
      <c r="G39" s="3">
        <f t="shared" si="166"/>
        <v>4</v>
      </c>
      <c r="H39" s="3">
        <f t="shared" si="166"/>
        <v>0</v>
      </c>
      <c r="I39" s="3">
        <f t="shared" si="166"/>
        <v>1</v>
      </c>
      <c r="J39" s="3">
        <f t="shared" si="166"/>
        <v>0</v>
      </c>
      <c r="K39" s="3">
        <f t="shared" si="166"/>
        <v>2</v>
      </c>
      <c r="L39" s="3">
        <f t="shared" si="166"/>
        <v>0</v>
      </c>
      <c r="M39" s="3">
        <f t="shared" si="166"/>
        <v>0</v>
      </c>
      <c r="N39" s="3">
        <f t="shared" si="166"/>
        <v>0</v>
      </c>
      <c r="O39" s="3">
        <f t="shared" si="166"/>
        <v>0</v>
      </c>
      <c r="P39" s="3">
        <f t="shared" si="166"/>
        <v>0</v>
      </c>
      <c r="Q39" s="3">
        <f t="shared" si="166"/>
        <v>0</v>
      </c>
      <c r="R39" s="3">
        <f t="shared" si="166"/>
        <v>0</v>
      </c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</row>
    <row xmlns:x14ac="http://schemas.microsoft.com/office/spreadsheetml/2009/9/ac" r="40" ht="32.4" customHeight="true" x14ac:dyDescent="0.3">
      <c r="A40" s="21" t="s">
        <v>24</v>
      </c>
      <c r="B40" s="22"/>
      <c r="C40" s="22"/>
      <c r="D40" s="10">
        <f>_xlfn.RANK.EQ(D39,$D39:$R39,0)</f>
        <v>1</v>
      </c>
      <c r="E40" s="10">
        <f t="shared" ref="E40:R40" si="167">_xlfn.RANK.EQ(E39,$D39:$R39,0)</f>
        <v>4</v>
      </c>
      <c r="F40" s="10">
        <f t="shared" si="167"/>
        <v>6</v>
      </c>
      <c r="G40" s="10">
        <f t="shared" si="167"/>
        <v>1</v>
      </c>
      <c r="H40" s="10">
        <f t="shared" si="167"/>
        <v>6</v>
      </c>
      <c r="I40" s="10">
        <f t="shared" si="167"/>
        <v>4</v>
      </c>
      <c r="J40" s="10">
        <f t="shared" si="167"/>
        <v>6</v>
      </c>
      <c r="K40" s="10">
        <f t="shared" si="167"/>
        <v>3</v>
      </c>
      <c r="L40" s="10">
        <f t="shared" si="167"/>
        <v>6</v>
      </c>
      <c r="M40" s="10">
        <f t="shared" si="167"/>
        <v>6</v>
      </c>
      <c r="N40" s="10">
        <f t="shared" si="167"/>
        <v>6</v>
      </c>
      <c r="O40" s="10">
        <f t="shared" si="167"/>
        <v>6</v>
      </c>
      <c r="P40" s="10">
        <f t="shared" si="167"/>
        <v>6</v>
      </c>
      <c r="Q40" s="10">
        <f t="shared" si="167"/>
        <v>6</v>
      </c>
      <c r="R40" s="10">
        <f t="shared" si="167"/>
        <v>6</v>
      </c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</row>
    <row xmlns:x14ac="http://schemas.microsoft.com/office/spreadsheetml/2009/9/ac" r="41" ht="32.4" customHeight="true" x14ac:dyDescent="0.3">
      <c r="A41" s="23" t="s">
        <v>25</v>
      </c>
      <c r="B41" s="22"/>
      <c r="C41" s="22"/>
      <c r="D41" s="12">
        <f>AVERAGE(W3:W38)</f>
        <v>3.0833333333333335</v>
      </c>
      <c r="E41" s="12">
        <f t="shared" ref="E41:R41" si="168">AVERAGE(X3:X38)</f>
        <v>3.4166666666666665</v>
      </c>
      <c r="F41" s="12">
        <f t="shared" si="168"/>
        <v>5.75</v>
      </c>
      <c r="G41" s="12">
        <f t="shared" si="168"/>
        <v>3.1666666666666665</v>
      </c>
      <c r="H41" s="12">
        <f t="shared" si="168"/>
        <v>8.3333333333333339</v>
      </c>
      <c r="I41" s="12">
        <f t="shared" si="168"/>
        <v>4.333333333333333</v>
      </c>
      <c r="J41" s="12">
        <f t="shared" si="168"/>
        <v>7</v>
      </c>
      <c r="K41" s="12">
        <f t="shared" si="168"/>
        <v>3.1666666666666665</v>
      </c>
      <c r="L41" s="12">
        <f t="shared" si="168"/>
        <v>6.75</v>
      </c>
      <c r="M41" s="12" t="e">
        <f t="shared" si="168"/>
        <v>#N/A</v>
      </c>
      <c r="N41" s="12" t="e">
        <f t="shared" si="168"/>
        <v>#N/A</v>
      </c>
      <c r="O41" s="12" t="e">
        <f t="shared" si="168"/>
        <v>#N/A</v>
      </c>
      <c r="P41" s="12" t="e">
        <f t="shared" si="168"/>
        <v>#N/A</v>
      </c>
      <c r="Q41" s="12" t="e">
        <f t="shared" si="168"/>
        <v>#N/A</v>
      </c>
      <c r="R41" s="12" t="e">
        <f t="shared" si="168"/>
        <v>#N/A</v>
      </c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</row>
    <row xmlns:x14ac="http://schemas.microsoft.com/office/spreadsheetml/2009/9/ac" r="42" ht="32.4" customHeight="true" x14ac:dyDescent="0.3">
      <c r="A42" s="24" t="s">
        <v>26</v>
      </c>
      <c r="B42" s="25"/>
      <c r="C42" s="25"/>
      <c r="D42" s="6" t="e">
        <f>_xlfn.RANK.EQ(D41,$D41:$R41,1)</f>
        <v>#N/A</v>
      </c>
      <c r="E42" s="6" t="e">
        <f t="shared" ref="E42:R42" si="169">_xlfn.RANK.EQ(E41,$D41:$R41,1)</f>
        <v>#N/A</v>
      </c>
      <c r="F42" s="6" t="e">
        <f t="shared" si="169"/>
        <v>#N/A</v>
      </c>
      <c r="G42" s="6" t="e">
        <f t="shared" si="169"/>
        <v>#N/A</v>
      </c>
      <c r="H42" s="6" t="e">
        <f t="shared" si="169"/>
        <v>#N/A</v>
      </c>
      <c r="I42" s="6" t="e">
        <f t="shared" si="169"/>
        <v>#N/A</v>
      </c>
      <c r="J42" s="6" t="e">
        <f t="shared" si="169"/>
        <v>#N/A</v>
      </c>
      <c r="K42" s="6" t="e">
        <f t="shared" si="169"/>
        <v>#N/A</v>
      </c>
      <c r="L42" s="6" t="e">
        <f t="shared" si="169"/>
        <v>#N/A</v>
      </c>
      <c r="M42" s="6" t="e">
        <f t="shared" si="169"/>
        <v>#N/A</v>
      </c>
      <c r="N42" s="6" t="e">
        <f t="shared" si="169"/>
        <v>#N/A</v>
      </c>
      <c r="O42" s="6" t="e">
        <f t="shared" si="169"/>
        <v>#N/A</v>
      </c>
      <c r="P42" s="6" t="e">
        <f t="shared" si="169"/>
        <v>#N/A</v>
      </c>
      <c r="Q42" s="6" t="e">
        <f t="shared" si="169"/>
        <v>#N/A</v>
      </c>
      <c r="R42" s="6" t="e">
        <f t="shared" si="169"/>
        <v>#N/A</v>
      </c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</row>
  </sheetData>
  <mergeCells count="9">
    <mergeCell ref="A1:R1"/>
    <mergeCell ref="A40:C40"/>
    <mergeCell ref="A41:C41"/>
    <mergeCell ref="A42:C42"/>
    <mergeCell ref="A39:C39"/>
    <mergeCell ref="A3:A5"/>
    <mergeCell ref="A6:A17"/>
    <mergeCell ref="A18:A26"/>
    <mergeCell ref="A27:A38"/>
  </mergeCells>
  <phoneticPr fontId="3" type="noConversion"/>
  <conditionalFormatting sqref="D3:R3">
    <cfRule type="top10" dxfId="16" priority="13" bottom="true" rank="1"/>
  </conditionalFormatting>
  <conditionalFormatting sqref="D6:R6">
    <cfRule type="top10" dxfId="15" priority="14" bottom="true" rank="1"/>
  </conditionalFormatting>
  <conditionalFormatting sqref="D9:R9">
    <cfRule type="top10" dxfId="14" priority="15" bottom="true" rank="1"/>
  </conditionalFormatting>
  <conditionalFormatting sqref="D12:R12">
    <cfRule type="top10" dxfId="13" priority="16" bottom="true" rank="1"/>
  </conditionalFormatting>
  <conditionalFormatting sqref="D15:R15">
    <cfRule type="top10" dxfId="12" priority="17" bottom="true" rank="1"/>
  </conditionalFormatting>
  <conditionalFormatting sqref="D18:R18">
    <cfRule type="top10" dxfId="11" priority="18" bottom="true" rank="1"/>
  </conditionalFormatting>
  <conditionalFormatting sqref="D21:R21">
    <cfRule type="top10" dxfId="10" priority="19" bottom="true" rank="1"/>
  </conditionalFormatting>
  <conditionalFormatting sqref="D24:R24">
    <cfRule type="top10" dxfId="9" priority="20" bottom="true" rank="1"/>
  </conditionalFormatting>
  <conditionalFormatting sqref="D27:R27">
    <cfRule type="top10" dxfId="8" priority="21" bottom="true" rank="1"/>
  </conditionalFormatting>
  <conditionalFormatting sqref="D30:R30">
    <cfRule type="top10" dxfId="7" priority="22" bottom="true" rank="1"/>
  </conditionalFormatting>
  <conditionalFormatting sqref="D33:R33">
    <cfRule type="top10" dxfId="6" priority="23" bottom="true" rank="1"/>
  </conditionalFormatting>
  <conditionalFormatting sqref="D36:R36">
    <cfRule type="top10" dxfId="5" priority="24" bottom="true" rank="1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4"/>
  <sheetViews>
    <sheetView zoomScaleNormal="100" workbookViewId="0">
      <selection activeCell="D20" sqref="D20"/>
    </sheetView>
  </sheetViews>
  <sheetFormatPr xmlns:x14ac="http://schemas.microsoft.com/office/spreadsheetml/2009/9/ac" defaultRowHeight="14.4" x14ac:dyDescent="0.3"/>
  <cols>
    <col min="1" max="1" width="8" bestFit="true" customWidth="true"/>
    <col min="2" max="2" width="18.6640625" customWidth="true"/>
    <col min="3" max="3" width="18.6640625" customWidth="true"/>
    <col min="4" max="4" width="18.6640625" bestFit="true" customWidth="true"/>
    <col min="5" max="5" width="20.6640625" bestFit="true" customWidth="true"/>
    <col min="6" max="6" width="15.44140625" bestFit="true" customWidth="true"/>
    <col min="7" max="7" width="14.33203125" customWidth="true"/>
    <col min="9" max="9" width="14.37890625" bestFit="true" customWidth="true"/>
    <col min="10" max="10" width="15.37890625" bestFit="true" customWidth="true"/>
    <col min="8" max="8" width="13.44140625" customWidth="true"/>
    <col min="11" max="11" width="12" bestFit="true" customWidth="true"/>
  </cols>
  <sheetData>
    <row xmlns:x14ac="http://schemas.microsoft.com/office/spreadsheetml/2009/9/ac" r="1" ht="15" thickBot="true" x14ac:dyDescent="0.35">
      <c r="A1" s="28" t="s">
        <v>162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</row>
    <row xmlns:x14ac="http://schemas.microsoft.com/office/spreadsheetml/2009/9/ac" r="2" x14ac:dyDescent="0.3">
      <c r="A2" s="2" t="s">
        <v>465</v>
      </c>
      <c r="B2" s="1" t="s">
        <v>493</v>
      </c>
      <c r="C2" s="1" t="s">
        <v>494</v>
      </c>
      <c r="D2" s="1" t="s">
        <v>495</v>
      </c>
      <c r="E2" s="1" t="s">
        <v>496</v>
      </c>
      <c r="F2" s="1" t="s">
        <v>497</v>
      </c>
      <c r="G2" s="1" t="s">
        <v>498</v>
      </c>
      <c r="H2" s="1" t="s">
        <v>499</v>
      </c>
      <c r="I2" s="1" t="s">
        <v>244</v>
      </c>
      <c r="J2" s="1" t="s">
        <v>245</v>
      </c>
      <c r="K2" s="1">
        <v>6.8538363661840557E-8</v>
      </c>
      <c r="L2" s="1"/>
      <c r="M2" s="1"/>
      <c r="N2" s="1"/>
      <c r="O2" s="1"/>
      <c r="P2" s="1"/>
    </row>
    <row xmlns:x14ac="http://schemas.microsoft.com/office/spreadsheetml/2009/9/ac" r="3" x14ac:dyDescent="0.3">
      <c r="A3" s="3" t="s">
        <v>466</v>
      </c>
      <c r="B3" s="4">
        <v>0.3979469572222224</v>
      </c>
      <c r="C3" s="4">
        <v>0.39788684361478244</v>
      </c>
      <c r="D3" s="4">
        <v>0.39787468669923598</v>
      </c>
      <c r="E3" s="4">
        <v>0.39786795852727308</v>
      </c>
      <c r="F3" s="4">
        <v>0.39784860474308492</v>
      </c>
      <c r="G3" s="4">
        <v>0.39784699996632</v>
      </c>
      <c r="H3" s="4">
        <v>0.39785959231044288</v>
      </c>
      <c r="I3" s="4">
        <v>7.6094438585275491e-06</v>
      </c>
      <c r="J3" s="4">
        <v>1.8749071486490704e-05</v>
      </c>
      <c r="K3" s="4">
        <v>0.29732925318401004</v>
      </c>
      <c r="L3" s="4"/>
      <c r="M3" s="4"/>
      <c r="N3" s="4"/>
      <c r="O3" s="4"/>
      <c r="P3" s="4"/>
    </row>
    <row xmlns:x14ac="http://schemas.microsoft.com/office/spreadsheetml/2009/9/ac" r="4" x14ac:dyDescent="0.3">
      <c r="A4" s="10" t="s">
        <v>467</v>
      </c>
      <c r="B4" s="9">
        <v>0.053276922699751247</v>
      </c>
      <c r="C4" s="9">
        <v>0.16560989563270367</v>
      </c>
      <c r="D4" s="9">
        <v>0.016998091497383693</v>
      </c>
      <c r="E4" s="9">
        <v>0.0085307201124336235</v>
      </c>
      <c r="F4" s="9">
        <v>0.0044599503871242986</v>
      </c>
      <c r="G4" s="9">
        <v>0.0043324052143537987</v>
      </c>
      <c r="H4" s="9">
        <v>0.0046302989463912437</v>
      </c>
      <c r="I4" s="9">
        <v>0.0035140957542173223</v>
      </c>
      <c r="J4" s="9">
        <v>3.632893225562021e-05</v>
      </c>
      <c r="K4" s="9">
        <v>1.7628798142231407E-10</v>
      </c>
      <c r="L4" s="9"/>
      <c r="M4" s="9"/>
      <c r="N4" s="9"/>
      <c r="O4" s="9"/>
      <c r="P4" s="9"/>
    </row>
    <row xmlns:x14ac="http://schemas.microsoft.com/office/spreadsheetml/2009/9/ac" r="5" x14ac:dyDescent="0.3">
      <c r="A5" s="10" t="s">
        <v>468</v>
      </c>
      <c r="B5" s="9">
        <v>0.58734853141069165</v>
      </c>
      <c r="C5" s="9">
        <v>0.038469284659445047</v>
      </c>
      <c r="D5" s="9">
        <v>0.18677070539471766</v>
      </c>
      <c r="E5" s="9">
        <v>0.088540101621472869</v>
      </c>
      <c r="F5" s="9">
        <v>0.0014671194942194852</v>
      </c>
      <c r="G5" s="9">
        <v>0.002680605570993064</v>
      </c>
      <c r="H5" s="9">
        <v>0.0032300693284209609</v>
      </c>
      <c r="I5" s="9">
        <v>3.412998377541114e-06</v>
      </c>
      <c r="J5" s="9">
        <v>0.99118786011401205</v>
      </c>
      <c r="K5" s="9">
        <v>1.7283414034663679E-3</v>
      </c>
      <c r="L5" s="9"/>
      <c r="M5" s="9"/>
      <c r="N5" s="9"/>
      <c r="O5" s="9"/>
      <c r="P5" s="9"/>
    </row>
    <row xmlns:x14ac="http://schemas.microsoft.com/office/spreadsheetml/2009/9/ac" r="6" x14ac:dyDescent="0.3">
      <c r="A6" s="10" t="s">
        <v>469</v>
      </c>
      <c r="B6" s="9">
        <v>0.68350170940379606</v>
      </c>
      <c r="C6" s="9">
        <v>0.34901254640156854</v>
      </c>
      <c r="D6" s="9">
        <v>0.52502787302724085</v>
      </c>
      <c r="E6" s="9">
        <v>0.29846243357046764</v>
      </c>
      <c r="F6" s="9">
        <v>0.032421567416943992</v>
      </c>
      <c r="G6" s="9">
        <v>0.0018106165940340326</v>
      </c>
      <c r="H6" s="9">
        <v>0.092347518009110702</v>
      </c>
      <c r="I6" s="9">
        <v>0.0019445550139375405</v>
      </c>
      <c r="J6" s="9">
        <v>0.29884839001052255</v>
      </c>
      <c r="K6" s="9">
        <v>0.11085908620254004</v>
      </c>
      <c r="L6" s="9"/>
      <c r="M6" s="9"/>
      <c r="N6" s="9"/>
      <c r="O6" s="9"/>
      <c r="P6" s="9"/>
    </row>
    <row xmlns:x14ac="http://schemas.microsoft.com/office/spreadsheetml/2009/9/ac" r="7" x14ac:dyDescent="0.3">
      <c r="A7" s="10" t="s">
        <v>470</v>
      </c>
      <c r="B7" s="9">
        <v>0.85369786947481519</v>
      </c>
      <c r="C7" s="9">
        <v>0.78712502879832791</v>
      </c>
      <c r="D7" s="9">
        <v>0.62171248559930858</v>
      </c>
      <c r="E7" s="9">
        <v>0.4411835200055102</v>
      </c>
      <c r="F7" s="9">
        <v>0.0099364067261471199</v>
      </c>
      <c r="G7" s="9">
        <v>0.011909732214551076</v>
      </c>
      <c r="H7" s="9">
        <v>0.22660018450098374</v>
      </c>
      <c r="I7" s="9">
        <v>7.2190095216914931e-05</v>
      </c>
      <c r="J7" s="9">
        <v>0.0057633289264054479</v>
      </c>
      <c r="K7" s="9">
        <v>1.4312101391873478E-7</v>
      </c>
      <c r="L7" s="9"/>
      <c r="M7" s="9"/>
      <c r="N7" s="9"/>
      <c r="O7" s="9"/>
      <c r="P7" s="9"/>
    </row>
    <row xmlns:x14ac="http://schemas.microsoft.com/office/spreadsheetml/2009/9/ac" r="8" x14ac:dyDescent="0.3">
      <c r="A8" s="10" t="s">
        <v>471</v>
      </c>
      <c r="B8" s="9">
        <v>0.22062493865389854</v>
      </c>
      <c r="C8" s="9">
        <v>0.028678875434808664</v>
      </c>
      <c r="D8" s="9">
        <v>0.079110654228256694</v>
      </c>
      <c r="E8" s="9">
        <v>0.073347269854825939</v>
      </c>
      <c r="F8" s="9">
        <v>0.070886739160962567</v>
      </c>
      <c r="G8" s="9">
        <v>0.07088674413889165</v>
      </c>
      <c r="H8" s="9">
        <v>0.071046308746503639</v>
      </c>
      <c r="I8" s="9">
        <v>2.9845547427247706e-06</v>
      </c>
      <c r="J8" s="9">
        <v>5.9996980295413792e-10</v>
      </c>
      <c r="K8" s="9">
        <v>6.6897437972753372E-10</v>
      </c>
      <c r="L8" s="9"/>
      <c r="M8" s="9"/>
      <c r="N8" s="9"/>
      <c r="O8" s="9"/>
      <c r="P8" s="9"/>
    </row>
    <row xmlns:x14ac="http://schemas.microsoft.com/office/spreadsheetml/2009/9/ac" r="9" x14ac:dyDescent="0.3">
      <c r="A9" s="10" t="s">
        <v>472</v>
      </c>
      <c r="B9" s="9">
        <v>0.46788172196526123</v>
      </c>
      <c r="C9" s="9">
        <v>0.010398584098537724</v>
      </c>
      <c r="D9" s="9">
        <v>0.016461772019677363</v>
      </c>
      <c r="E9" s="9">
        <v>0.021891596848363965</v>
      </c>
      <c r="F9" s="9">
        <v>0.0074842851141947537</v>
      </c>
      <c r="G9" s="9">
        <v>0.0083710921481801714</v>
      </c>
      <c r="H9" s="9">
        <v>0.0055162500848091583</v>
      </c>
      <c r="I9" s="9">
        <v>0.006428179151442847</v>
      </c>
      <c r="J9" s="9">
        <v>0.0066255666509854637</v>
      </c>
      <c r="K9" s="9">
        <v>2.0924668001470465E-14</v>
      </c>
      <c r="L9" s="9"/>
      <c r="M9" s="9"/>
      <c r="N9" s="9"/>
      <c r="O9" s="9"/>
      <c r="P9" s="9"/>
    </row>
    <row xmlns:x14ac="http://schemas.microsoft.com/office/spreadsheetml/2009/9/ac" r="10" x14ac:dyDescent="0.3">
      <c r="A10" s="10" t="s">
        <v>473</v>
      </c>
      <c r="B10" s="9">
        <v>0.32795529980723609</v>
      </c>
      <c r="C10" s="9">
        <v>0.31434478147391715</v>
      </c>
      <c r="D10" s="9">
        <v>0.31496427801250537</v>
      </c>
      <c r="E10" s="9">
        <v>0.31904667813737986</v>
      </c>
      <c r="F10" s="9">
        <v>0.31330416979513576</v>
      </c>
      <c r="G10" s="9">
        <v>0.31301382546287282</v>
      </c>
      <c r="H10" s="9">
        <v>0.31324188569575712</v>
      </c>
      <c r="I10" s="9">
        <v>0.0018197379390121077</v>
      </c>
      <c r="J10" s="9">
        <v>0.05589206173801662</v>
      </c>
      <c r="K10" s="9">
        <v>3.4543029529121117E-5</v>
      </c>
      <c r="L10" s="9"/>
      <c r="M10" s="9"/>
      <c r="N10" s="9"/>
      <c r="O10" s="9"/>
      <c r="P10" s="9"/>
    </row>
    <row xmlns:x14ac="http://schemas.microsoft.com/office/spreadsheetml/2009/9/ac" r="11" x14ac:dyDescent="0.3">
      <c r="A11" s="10" t="s">
        <v>474</v>
      </c>
      <c r="B11" s="9">
        <v>0.74268966813585147</v>
      </c>
      <c r="C11" s="9">
        <v>0.14945760878836714</v>
      </c>
      <c r="D11" s="9">
        <v>0.11923115622479523</v>
      </c>
      <c r="E11" s="9">
        <v>0.10012773368955176</v>
      </c>
      <c r="F11" s="9">
        <v>0.055469685083363869</v>
      </c>
      <c r="G11" s="9">
        <v>0.041829988177615123</v>
      </c>
      <c r="H11" s="9">
        <v>0.051411935469075146</v>
      </c>
      <c r="I11" s="9">
        <v>0.012272865061559892</v>
      </c>
      <c r="J11" s="9">
        <v>5.4613981419266108e-08</v>
      </c>
      <c r="K11" s="9">
        <v>0.12973595089421108</v>
      </c>
      <c r="L11" s="9"/>
      <c r="M11" s="9"/>
      <c r="N11" s="9"/>
      <c r="O11" s="9"/>
      <c r="P11" s="9"/>
    </row>
    <row xmlns:x14ac="http://schemas.microsoft.com/office/spreadsheetml/2009/9/ac" r="12" x14ac:dyDescent="0.3">
      <c r="A12" s="10" t="s">
        <v>475</v>
      </c>
      <c r="B12" s="9">
        <v>0.62709909673657438</v>
      </c>
      <c r="C12" s="9">
        <v>0.045258789231870974</v>
      </c>
      <c r="D12" s="9">
        <v>0.016872613270748401</v>
      </c>
      <c r="E12" s="9">
        <v>0.004261207726135331</v>
      </c>
      <c r="F12" s="9">
        <v>0.0010555535775005885</v>
      </c>
      <c r="G12" s="9">
        <v>0.00040155479947289157</v>
      </c>
      <c r="H12" s="9">
        <v>0.001735492148999789</v>
      </c>
      <c r="I12" s="9">
        <v>0.032783365457860758</v>
      </c>
      <c r="J12" s="9">
        <v>0.38557233406468028</v>
      </c>
      <c r="K12" s="9">
        <v>1.2702819636141967E-3</v>
      </c>
      <c r="L12" s="9"/>
      <c r="M12" s="9"/>
      <c r="N12" s="9"/>
      <c r="O12" s="9"/>
      <c r="P12" s="9"/>
    </row>
    <row xmlns:x14ac="http://schemas.microsoft.com/office/spreadsheetml/2009/9/ac" r="13" x14ac:dyDescent="0.3">
      <c r="A13" s="10" t="s">
        <v>476</v>
      </c>
      <c r="B13" s="9">
        <v>0.4836769537378427</v>
      </c>
      <c r="C13" s="9">
        <v>0.033205206493893233</v>
      </c>
      <c r="D13" s="9">
        <v>0.010787577284661254</v>
      </c>
      <c r="E13" s="9">
        <v>0.12462755506395652</v>
      </c>
      <c r="F13" s="9">
        <v>0.0011102297012782504</v>
      </c>
      <c r="G13" s="9">
        <v>0.00096862132514199061</v>
      </c>
      <c r="H13" s="9">
        <v>0.00040181480649819349</v>
      </c>
      <c r="I13" s="9">
        <v>0.8323740146298193</v>
      </c>
      <c r="J13" s="9">
        <v>0.0057425432761927311</v>
      </c>
      <c r="K13" s="9">
        <v>5.0362796130636826E-4</v>
      </c>
      <c r="L13" s="9"/>
      <c r="M13" s="9"/>
      <c r="N13" s="9"/>
      <c r="O13" s="9"/>
      <c r="P13" s="9"/>
    </row>
    <row xmlns:x14ac="http://schemas.microsoft.com/office/spreadsheetml/2009/9/ac" r="14" x14ac:dyDescent="0.3">
      <c r="A14" s="6" t="s">
        <v>477</v>
      </c>
      <c r="B14" s="11">
        <v>0.68937587768413888</v>
      </c>
      <c r="C14" s="11">
        <v>0.14487101910011951</v>
      </c>
      <c r="D14" s="11">
        <v>0.1472360109786853</v>
      </c>
      <c r="E14" s="11">
        <v>0.16667177698039656</v>
      </c>
      <c r="F14" s="11">
        <v>0.096866599815185278</v>
      </c>
      <c r="G14" s="11">
        <v>0.099640477284878806</v>
      </c>
      <c r="H14" s="11">
        <v>0.10318906454601311</v>
      </c>
      <c r="I14" s="11">
        <v>3.1004683443938056e-11</v>
      </c>
      <c r="J14" s="11">
        <v>0.74228617994614199</v>
      </c>
      <c r="K14" s="11"/>
      <c r="L14" s="11"/>
      <c r="M14" s="11"/>
      <c r="N14" s="11"/>
      <c r="O14" s="11"/>
      <c r="P14" s="11"/>
    </row>
  </sheetData>
  <mergeCells count="1">
    <mergeCell ref="A1:P1"/>
  </mergeCells>
  <conditionalFormatting sqref="B3:P14">
    <cfRule type="cellIs" dxfId="4" priority="1" operator="greaterThan">
      <formula>0.05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4"/>
  <sheetViews>
    <sheetView workbookViewId="0">
      <selection activeCell="B3" sqref="B3:P14"/>
    </sheetView>
  </sheetViews>
  <sheetFormatPr xmlns:x14ac="http://schemas.microsoft.com/office/spreadsheetml/2009/9/ac" defaultRowHeight="14.4" x14ac:dyDescent="0.3"/>
  <cols>
    <col min="1" max="1" width="8" bestFit="true" customWidth="true"/>
    <col min="2" max="2" width="18.6640625" customWidth="true"/>
    <col min="3" max="3" width="18.6640625" customWidth="true"/>
    <col min="4" max="4" width="18.6640625" customWidth="true"/>
    <col min="5" max="5" width="20.6640625" customWidth="true"/>
    <col min="6" max="6" width="15.44140625" customWidth="true"/>
    <col min="7" max="7" width="14.33203125" customWidth="true"/>
    <col min="9" max="9" width="14.37890625" customWidth="true"/>
    <col min="10" max="10" width="15.37890625" bestFit="true" customWidth="true"/>
    <col min="8" max="8" width="13.44140625" customWidth="true"/>
    <col min="11" max="11" width="2" bestFit="true" customWidth="true"/>
  </cols>
  <sheetData>
    <row xmlns:x14ac="http://schemas.microsoft.com/office/spreadsheetml/2009/9/ac" r="1" ht="15" thickBot="true" x14ac:dyDescent="0.35">
      <c r="A1" s="28" t="s">
        <v>163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</row>
    <row xmlns:x14ac="http://schemas.microsoft.com/office/spreadsheetml/2009/9/ac" r="2" x14ac:dyDescent="0.3">
      <c r="A2" s="2" t="s">
        <v>465</v>
      </c>
      <c r="B2" s="1" t="s">
        <v>493</v>
      </c>
      <c r="C2" s="1" t="s">
        <v>494</v>
      </c>
      <c r="D2" s="1" t="s">
        <v>495</v>
      </c>
      <c r="E2" s="1" t="s">
        <v>496</v>
      </c>
      <c r="F2" s="1" t="s">
        <v>497</v>
      </c>
      <c r="G2" s="1" t="s">
        <v>498</v>
      </c>
      <c r="H2" s="1" t="s">
        <v>499</v>
      </c>
      <c r="I2" s="1" t="s">
        <v>266</v>
      </c>
      <c r="J2" s="1" t="s">
        <v>267</v>
      </c>
      <c r="K2" s="1">
        <v>1</v>
      </c>
      <c r="L2" s="1"/>
      <c r="M2" s="1"/>
      <c r="N2" s="1"/>
      <c r="O2" s="1"/>
      <c r="P2" s="1"/>
    </row>
    <row xmlns:x14ac="http://schemas.microsoft.com/office/spreadsheetml/2009/9/ac" r="3" x14ac:dyDescent="0.3">
      <c r="A3" s="3" t="s">
        <v>466</v>
      </c>
      <c r="B3" s="29">
        <v>0</v>
      </c>
      <c r="C3" s="29">
        <v>0</v>
      </c>
      <c r="D3" s="29">
        <v>0</v>
      </c>
      <c r="E3" s="29">
        <v>0</v>
      </c>
      <c r="F3" s="29">
        <v>0</v>
      </c>
      <c r="G3" s="29">
        <v>0</v>
      </c>
      <c r="H3" s="29">
        <v>0</v>
      </c>
      <c r="I3" s="29">
        <v>1</v>
      </c>
      <c r="J3" s="29">
        <v>1</v>
      </c>
      <c r="K3" s="29">
        <v>0</v>
      </c>
      <c r="L3" s="29"/>
      <c r="M3" s="29"/>
      <c r="N3" s="29"/>
      <c r="O3" s="29"/>
      <c r="P3" s="29"/>
    </row>
    <row xmlns:x14ac="http://schemas.microsoft.com/office/spreadsheetml/2009/9/ac" r="4" x14ac:dyDescent="0.3">
      <c r="A4" s="10" t="s">
        <v>467</v>
      </c>
      <c r="B4" s="30">
        <v>0</v>
      </c>
      <c r="C4" s="30">
        <v>0</v>
      </c>
      <c r="D4" s="30">
        <v>1</v>
      </c>
      <c r="E4" s="30">
        <v>1</v>
      </c>
      <c r="F4" s="30">
        <v>1</v>
      </c>
      <c r="G4" s="30">
        <v>1</v>
      </c>
      <c r="H4" s="30">
        <v>1</v>
      </c>
      <c r="I4" s="30">
        <v>1</v>
      </c>
      <c r="J4" s="30">
        <v>1</v>
      </c>
      <c r="K4" s="30">
        <v>1</v>
      </c>
      <c r="L4" s="30"/>
      <c r="M4" s="30"/>
      <c r="N4" s="30"/>
      <c r="O4" s="30"/>
      <c r="P4" s="30"/>
    </row>
    <row xmlns:x14ac="http://schemas.microsoft.com/office/spreadsheetml/2009/9/ac" r="5" x14ac:dyDescent="0.3">
      <c r="A5" s="10" t="s">
        <v>468</v>
      </c>
      <c r="B5" s="30">
        <v>0</v>
      </c>
      <c r="C5" s="30">
        <v>1</v>
      </c>
      <c r="D5" s="30">
        <v>0</v>
      </c>
      <c r="E5" s="30">
        <v>0</v>
      </c>
      <c r="F5" s="30">
        <v>1</v>
      </c>
      <c r="G5" s="30">
        <v>1</v>
      </c>
      <c r="H5" s="30">
        <v>1</v>
      </c>
      <c r="I5" s="30">
        <v>1</v>
      </c>
      <c r="J5" s="30">
        <v>0</v>
      </c>
      <c r="K5" s="30">
        <v>1</v>
      </c>
      <c r="L5" s="30"/>
      <c r="M5" s="30"/>
      <c r="N5" s="30"/>
      <c r="O5" s="30"/>
      <c r="P5" s="30"/>
    </row>
    <row xmlns:x14ac="http://schemas.microsoft.com/office/spreadsheetml/2009/9/ac" r="6" x14ac:dyDescent="0.3">
      <c r="A6" s="10" t="s">
        <v>469</v>
      </c>
      <c r="B6" s="30">
        <v>0</v>
      </c>
      <c r="C6" s="30">
        <v>0</v>
      </c>
      <c r="D6" s="30">
        <v>0</v>
      </c>
      <c r="E6" s="30">
        <v>0</v>
      </c>
      <c r="F6" s="30">
        <v>1</v>
      </c>
      <c r="G6" s="30">
        <v>1</v>
      </c>
      <c r="H6" s="30">
        <v>0</v>
      </c>
      <c r="I6" s="30">
        <v>1</v>
      </c>
      <c r="J6" s="30">
        <v>0</v>
      </c>
      <c r="K6" s="30">
        <v>0</v>
      </c>
      <c r="L6" s="30"/>
      <c r="M6" s="30"/>
      <c r="N6" s="30"/>
      <c r="O6" s="30"/>
      <c r="P6" s="30"/>
    </row>
    <row xmlns:x14ac="http://schemas.microsoft.com/office/spreadsheetml/2009/9/ac" r="7" x14ac:dyDescent="0.3">
      <c r="A7" s="10" t="s">
        <v>470</v>
      </c>
      <c r="B7" s="30">
        <v>0</v>
      </c>
      <c r="C7" s="30">
        <v>0</v>
      </c>
      <c r="D7" s="30">
        <v>0</v>
      </c>
      <c r="E7" s="30">
        <v>0</v>
      </c>
      <c r="F7" s="30">
        <v>1</v>
      </c>
      <c r="G7" s="30">
        <v>1</v>
      </c>
      <c r="H7" s="30">
        <v>0</v>
      </c>
      <c r="I7" s="30">
        <v>1</v>
      </c>
      <c r="J7" s="30">
        <v>1</v>
      </c>
      <c r="K7" s="30">
        <v>1</v>
      </c>
      <c r="L7" s="30"/>
      <c r="M7" s="30"/>
      <c r="N7" s="30"/>
      <c r="O7" s="30"/>
      <c r="P7" s="30"/>
    </row>
    <row xmlns:x14ac="http://schemas.microsoft.com/office/spreadsheetml/2009/9/ac" r="8" x14ac:dyDescent="0.3">
      <c r="A8" s="10" t="s">
        <v>471</v>
      </c>
      <c r="B8" s="30">
        <v>0</v>
      </c>
      <c r="C8" s="30">
        <v>1</v>
      </c>
      <c r="D8" s="30">
        <v>0</v>
      </c>
      <c r="E8" s="30">
        <v>0</v>
      </c>
      <c r="F8" s="30">
        <v>0</v>
      </c>
      <c r="G8" s="30">
        <v>0</v>
      </c>
      <c r="H8" s="30">
        <v>0</v>
      </c>
      <c r="I8" s="30">
        <v>1</v>
      </c>
      <c r="J8" s="30">
        <v>1</v>
      </c>
      <c r="K8" s="30">
        <v>1</v>
      </c>
      <c r="L8" s="30"/>
      <c r="M8" s="30"/>
      <c r="N8" s="30"/>
      <c r="O8" s="30"/>
      <c r="P8" s="30"/>
    </row>
    <row xmlns:x14ac="http://schemas.microsoft.com/office/spreadsheetml/2009/9/ac" r="9" x14ac:dyDescent="0.3">
      <c r="A9" s="10" t="s">
        <v>472</v>
      </c>
      <c r="B9" s="30">
        <v>0</v>
      </c>
      <c r="C9" s="30">
        <v>1</v>
      </c>
      <c r="D9" s="30">
        <v>1</v>
      </c>
      <c r="E9" s="30">
        <v>1</v>
      </c>
      <c r="F9" s="30">
        <v>1</v>
      </c>
      <c r="G9" s="30">
        <v>1</v>
      </c>
      <c r="H9" s="30">
        <v>1</v>
      </c>
      <c r="I9" s="30">
        <v>1</v>
      </c>
      <c r="J9" s="30">
        <v>1</v>
      </c>
      <c r="K9" s="30">
        <v>1</v>
      </c>
      <c r="L9" s="30"/>
      <c r="M9" s="30"/>
      <c r="N9" s="30"/>
      <c r="O9" s="30"/>
      <c r="P9" s="30"/>
    </row>
    <row xmlns:x14ac="http://schemas.microsoft.com/office/spreadsheetml/2009/9/ac" r="10" x14ac:dyDescent="0.3">
      <c r="A10" s="10" t="s">
        <v>473</v>
      </c>
      <c r="B10" s="30">
        <v>0</v>
      </c>
      <c r="C10" s="30">
        <v>0</v>
      </c>
      <c r="D10" s="30">
        <v>0</v>
      </c>
      <c r="E10" s="30">
        <v>0</v>
      </c>
      <c r="F10" s="30">
        <v>0</v>
      </c>
      <c r="G10" s="30">
        <v>0</v>
      </c>
      <c r="H10" s="30">
        <v>0</v>
      </c>
      <c r="I10" s="30">
        <v>1</v>
      </c>
      <c r="J10" s="30">
        <v>0</v>
      </c>
      <c r="K10" s="30">
        <v>1</v>
      </c>
      <c r="L10" s="30"/>
      <c r="M10" s="30"/>
      <c r="N10" s="30"/>
      <c r="O10" s="30"/>
      <c r="P10" s="30"/>
    </row>
    <row xmlns:x14ac="http://schemas.microsoft.com/office/spreadsheetml/2009/9/ac" r="11" x14ac:dyDescent="0.3">
      <c r="A11" s="10" t="s">
        <v>474</v>
      </c>
      <c r="B11" s="30">
        <v>0</v>
      </c>
      <c r="C11" s="30">
        <v>0</v>
      </c>
      <c r="D11" s="30">
        <v>0</v>
      </c>
      <c r="E11" s="30">
        <v>0</v>
      </c>
      <c r="F11" s="30">
        <v>0</v>
      </c>
      <c r="G11" s="30">
        <v>1</v>
      </c>
      <c r="H11" s="30">
        <v>0</v>
      </c>
      <c r="I11" s="30">
        <v>1</v>
      </c>
      <c r="J11" s="30">
        <v>1</v>
      </c>
      <c r="K11" s="30">
        <v>0</v>
      </c>
      <c r="L11" s="30"/>
      <c r="M11" s="30"/>
      <c r="N11" s="30"/>
      <c r="O11" s="30"/>
      <c r="P11" s="30"/>
    </row>
    <row xmlns:x14ac="http://schemas.microsoft.com/office/spreadsheetml/2009/9/ac" r="12" x14ac:dyDescent="0.3">
      <c r="A12" s="10" t="s">
        <v>475</v>
      </c>
      <c r="B12" s="30">
        <v>0</v>
      </c>
      <c r="C12" s="30">
        <v>1</v>
      </c>
      <c r="D12" s="30">
        <v>1</v>
      </c>
      <c r="E12" s="30">
        <v>1</v>
      </c>
      <c r="F12" s="30">
        <v>1</v>
      </c>
      <c r="G12" s="30">
        <v>1</v>
      </c>
      <c r="H12" s="30">
        <v>1</v>
      </c>
      <c r="I12" s="30">
        <v>1</v>
      </c>
      <c r="J12" s="30">
        <v>0</v>
      </c>
      <c r="K12" s="30">
        <v>1</v>
      </c>
      <c r="L12" s="30"/>
      <c r="M12" s="30"/>
      <c r="N12" s="30"/>
      <c r="O12" s="30"/>
      <c r="P12" s="30"/>
    </row>
    <row xmlns:x14ac="http://schemas.microsoft.com/office/spreadsheetml/2009/9/ac" r="13" x14ac:dyDescent="0.3">
      <c r="A13" s="10" t="s">
        <v>476</v>
      </c>
      <c r="B13" s="30">
        <v>0</v>
      </c>
      <c r="C13" s="30">
        <v>1</v>
      </c>
      <c r="D13" s="30">
        <v>1</v>
      </c>
      <c r="E13" s="30">
        <v>0</v>
      </c>
      <c r="F13" s="30">
        <v>1</v>
      </c>
      <c r="G13" s="30">
        <v>1</v>
      </c>
      <c r="H13" s="30">
        <v>1</v>
      </c>
      <c r="I13" s="30">
        <v>0</v>
      </c>
      <c r="J13" s="30">
        <v>1</v>
      </c>
      <c r="K13" s="30">
        <v>1</v>
      </c>
      <c r="L13" s="30"/>
      <c r="M13" s="30"/>
      <c r="N13" s="30"/>
      <c r="O13" s="30"/>
      <c r="P13" s="30"/>
    </row>
    <row xmlns:x14ac="http://schemas.microsoft.com/office/spreadsheetml/2009/9/ac" r="14" x14ac:dyDescent="0.3">
      <c r="A14" s="6" t="s">
        <v>477</v>
      </c>
      <c r="B14" s="31">
        <v>0</v>
      </c>
      <c r="C14" s="31">
        <v>0</v>
      </c>
      <c r="D14" s="31">
        <v>0</v>
      </c>
      <c r="E14" s="31">
        <v>0</v>
      </c>
      <c r="F14" s="31">
        <v>0</v>
      </c>
      <c r="G14" s="31">
        <v>0</v>
      </c>
      <c r="H14" s="31">
        <v>0</v>
      </c>
      <c r="I14" s="31">
        <v>1</v>
      </c>
      <c r="J14" s="31">
        <v>0</v>
      </c>
      <c r="K14" s="31"/>
      <c r="L14" s="31"/>
      <c r="M14" s="31"/>
      <c r="N14" s="31"/>
      <c r="O14" s="31"/>
      <c r="P14" s="31"/>
    </row>
  </sheetData>
  <mergeCells count="1">
    <mergeCell ref="A1:P1"/>
  </mergeCells>
  <conditionalFormatting sqref="B3:P14">
    <cfRule type="cellIs" dxfId="3" priority="1" operator="equal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4"/>
  <sheetViews>
    <sheetView workbookViewId="0">
      <selection activeCell="D21" sqref="D21"/>
    </sheetView>
  </sheetViews>
  <sheetFormatPr xmlns:x14ac="http://schemas.microsoft.com/office/spreadsheetml/2009/9/ac" defaultRowHeight="14.4" x14ac:dyDescent="0.3"/>
  <cols>
    <col min="1" max="1" width="8" bestFit="true" customWidth="true"/>
    <col min="2" max="2" width="18.6640625" bestFit="true" customWidth="true"/>
    <col min="3" max="3" width="18.6640625" bestFit="true" customWidth="true"/>
    <col min="4" max="4" width="18.6640625" bestFit="true" customWidth="true"/>
    <col min="5" max="5" width="20.6640625" bestFit="true" customWidth="true"/>
    <col min="6" max="6" width="15.44140625" bestFit="true" customWidth="true"/>
    <col min="7" max="7" width="14.33203125" bestFit="true" customWidth="true"/>
    <col min="9" max="9" width="14.37890625" bestFit="true" customWidth="true"/>
    <col min="8" max="8" width="13.44140625" bestFit="true" customWidth="true"/>
    <col min="10" max="10" width="15.37890625" customWidth="true"/>
  </cols>
  <sheetData>
    <row xmlns:x14ac="http://schemas.microsoft.com/office/spreadsheetml/2009/9/ac" r="1" ht="15" thickBot="true" x14ac:dyDescent="0.35">
      <c r="A1" s="28" t="s">
        <v>146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</row>
    <row xmlns:x14ac="http://schemas.microsoft.com/office/spreadsheetml/2009/9/ac" r="2" x14ac:dyDescent="0.3">
      <c r="A2" s="2" t="s">
        <v>465</v>
      </c>
      <c r="B2" s="1" t="s">
        <v>493</v>
      </c>
      <c r="C2" s="1" t="s">
        <v>494</v>
      </c>
      <c r="D2" s="1" t="s">
        <v>495</v>
      </c>
      <c r="E2" s="1" t="s">
        <v>496</v>
      </c>
      <c r="F2" s="1" t="s">
        <v>497</v>
      </c>
      <c r="G2" s="1" t="s">
        <v>498</v>
      </c>
      <c r="H2" s="1" t="s">
        <v>499</v>
      </c>
      <c r="I2" s="1" t="s">
        <v>288</v>
      </c>
      <c r="J2" s="1" t="s">
        <v>289</v>
      </c>
      <c r="K2" s="1"/>
      <c r="L2" s="1"/>
      <c r="M2" s="1"/>
      <c r="N2" s="1"/>
      <c r="O2" s="1"/>
      <c r="P2" s="1"/>
    </row>
    <row xmlns:x14ac="http://schemas.microsoft.com/office/spreadsheetml/2009/9/ac" r="3" x14ac:dyDescent="0.3">
      <c r="A3" s="3" t="s">
        <v>466</v>
      </c>
      <c r="B3" s="4">
        <v>0.25</v>
      </c>
      <c r="C3" s="4">
        <v>0.25</v>
      </c>
      <c r="D3" s="4">
        <v>0.25</v>
      </c>
      <c r="E3" s="4">
        <v>0.25</v>
      </c>
      <c r="F3" s="4">
        <v>0.25</v>
      </c>
      <c r="G3" s="4">
        <v>0.25</v>
      </c>
      <c r="H3" s="4">
        <v>0.25</v>
      </c>
      <c r="I3" s="4">
        <v>1.7343976283205826e-06</v>
      </c>
      <c r="J3" s="4">
        <v>1.7343976283205826e-06</v>
      </c>
      <c r="K3" s="4"/>
      <c r="L3" s="4"/>
      <c r="M3" s="4"/>
      <c r="N3" s="4"/>
      <c r="O3" s="4"/>
      <c r="P3" s="4"/>
    </row>
    <row xmlns:x14ac="http://schemas.microsoft.com/office/spreadsheetml/2009/9/ac" r="4" x14ac:dyDescent="0.3">
      <c r="A4" s="10" t="s">
        <v>467</v>
      </c>
      <c r="B4" s="9">
        <v>0.25</v>
      </c>
      <c r="C4" s="9">
        <v>0.25</v>
      </c>
      <c r="D4" s="9">
        <v>0.25</v>
      </c>
      <c r="E4" s="9">
        <v>0.25</v>
      </c>
      <c r="F4" s="9">
        <v>0.25</v>
      </c>
      <c r="G4" s="9">
        <v>0.25</v>
      </c>
      <c r="H4" s="9">
        <v>0.25</v>
      </c>
      <c r="I4" s="9">
        <v>0.20588822305607396</v>
      </c>
      <c r="J4" s="9">
        <v>0.00018909720229770742</v>
      </c>
      <c r="K4" s="9"/>
      <c r="L4" s="9"/>
      <c r="M4" s="9"/>
      <c r="N4" s="9"/>
      <c r="O4" s="9"/>
      <c r="P4" s="9"/>
    </row>
    <row xmlns:x14ac="http://schemas.microsoft.com/office/spreadsheetml/2009/9/ac" r="5" x14ac:dyDescent="0.3">
      <c r="A5" s="10" t="s">
        <v>468</v>
      </c>
      <c r="B5" s="9">
        <v>0.75</v>
      </c>
      <c r="C5" s="9">
        <v>0.25</v>
      </c>
      <c r="D5" s="9">
        <v>0.25</v>
      </c>
      <c r="E5" s="9">
        <v>0.25</v>
      </c>
      <c r="F5" s="9">
        <v>0.25</v>
      </c>
      <c r="G5" s="9">
        <v>0.25</v>
      </c>
      <c r="H5" s="9">
        <v>0.25</v>
      </c>
      <c r="I5" s="9">
        <v>2.5967125848447441e-05</v>
      </c>
      <c r="J5" s="9">
        <v>0.94261051245765115</v>
      </c>
      <c r="K5" s="9"/>
      <c r="L5" s="9"/>
      <c r="M5" s="9"/>
      <c r="N5" s="9"/>
      <c r="O5" s="9"/>
      <c r="P5" s="9"/>
    </row>
    <row xmlns:x14ac="http://schemas.microsoft.com/office/spreadsheetml/2009/9/ac" r="6" x14ac:dyDescent="0.3">
      <c r="A6" s="10" t="s">
        <v>469</v>
      </c>
      <c r="B6" s="9">
        <v>0.75</v>
      </c>
      <c r="C6" s="9">
        <v>0.5</v>
      </c>
      <c r="D6" s="9">
        <v>0.5</v>
      </c>
      <c r="E6" s="9">
        <v>0.5</v>
      </c>
      <c r="F6" s="9">
        <v>0.25</v>
      </c>
      <c r="G6" s="9">
        <v>0.25</v>
      </c>
      <c r="H6" s="9">
        <v>0.25</v>
      </c>
      <c r="I6" s="9">
        <v>0.0064242118721631065</v>
      </c>
      <c r="J6" s="9">
        <v>0.28021440811403731</v>
      </c>
      <c r="K6" s="9"/>
      <c r="L6" s="9"/>
      <c r="M6" s="9"/>
      <c r="N6" s="9"/>
      <c r="O6" s="9"/>
      <c r="P6" s="9"/>
    </row>
    <row xmlns:x14ac="http://schemas.microsoft.com/office/spreadsheetml/2009/9/ac" r="7" x14ac:dyDescent="0.3">
      <c r="A7" s="10" t="s">
        <v>470</v>
      </c>
      <c r="B7" s="9">
        <v>1</v>
      </c>
      <c r="C7" s="9">
        <v>0.75</v>
      </c>
      <c r="D7" s="9">
        <v>0.75</v>
      </c>
      <c r="E7" s="9">
        <v>0.75</v>
      </c>
      <c r="F7" s="9">
        <v>0.25</v>
      </c>
      <c r="G7" s="9">
        <v>0.25</v>
      </c>
      <c r="H7" s="9">
        <v>0.5</v>
      </c>
      <c r="I7" s="9">
        <v>4.8602606066773001e-05</v>
      </c>
      <c r="J7" s="9">
        <v>0.0017087731951465361</v>
      </c>
      <c r="K7" s="9"/>
      <c r="L7" s="9"/>
      <c r="M7" s="9"/>
      <c r="N7" s="9"/>
      <c r="O7" s="9"/>
      <c r="P7" s="9"/>
    </row>
    <row xmlns:x14ac="http://schemas.microsoft.com/office/spreadsheetml/2009/9/ac" r="8" x14ac:dyDescent="0.3">
      <c r="A8" s="10" t="s">
        <v>471</v>
      </c>
      <c r="B8" s="9">
        <v>0.5</v>
      </c>
      <c r="C8" s="9">
        <v>0.25</v>
      </c>
      <c r="D8" s="9">
        <v>0.25</v>
      </c>
      <c r="E8" s="9">
        <v>0.25</v>
      </c>
      <c r="F8" s="9">
        <v>0.25</v>
      </c>
      <c r="G8" s="9">
        <v>0.25</v>
      </c>
      <c r="H8" s="9">
        <v>0.25</v>
      </c>
      <c r="I8" s="9">
        <v>2.3534209951215406e-06</v>
      </c>
      <c r="J8" s="9">
        <v>1.7343976283205826e-06</v>
      </c>
      <c r="K8" s="9"/>
      <c r="L8" s="9"/>
      <c r="M8" s="9"/>
      <c r="N8" s="9"/>
      <c r="O8" s="9"/>
      <c r="P8" s="9"/>
    </row>
    <row xmlns:x14ac="http://schemas.microsoft.com/office/spreadsheetml/2009/9/ac" r="9" x14ac:dyDescent="0.3">
      <c r="A9" s="10" t="s">
        <v>472</v>
      </c>
      <c r="B9" s="9">
        <v>0.75</v>
      </c>
      <c r="C9" s="9">
        <v>0.25</v>
      </c>
      <c r="D9" s="9">
        <v>0.25</v>
      </c>
      <c r="E9" s="9">
        <v>0.25</v>
      </c>
      <c r="F9" s="9">
        <v>0.25</v>
      </c>
      <c r="G9" s="9">
        <v>0.25</v>
      </c>
      <c r="H9" s="9">
        <v>0.25</v>
      </c>
      <c r="I9" s="9">
        <v>0.0024147041360347552</v>
      </c>
      <c r="J9" s="9">
        <v>0.0033788544377188557</v>
      </c>
      <c r="K9" s="9"/>
      <c r="L9" s="9"/>
      <c r="M9" s="9"/>
      <c r="N9" s="9"/>
      <c r="O9" s="9"/>
      <c r="P9" s="9"/>
    </row>
    <row xmlns:x14ac="http://schemas.microsoft.com/office/spreadsheetml/2009/9/ac" r="10" x14ac:dyDescent="0.3">
      <c r="A10" s="10" t="s">
        <v>473</v>
      </c>
      <c r="B10" s="9">
        <v>0.25</v>
      </c>
      <c r="C10" s="9">
        <v>0.25</v>
      </c>
      <c r="D10" s="9">
        <v>0.25</v>
      </c>
      <c r="E10" s="9">
        <v>0.25</v>
      </c>
      <c r="F10" s="9">
        <v>0.25</v>
      </c>
      <c r="G10" s="9">
        <v>0.25</v>
      </c>
      <c r="H10" s="9">
        <v>0.25</v>
      </c>
      <c r="I10" s="9">
        <v>0.0043896182890396131</v>
      </c>
      <c r="J10" s="9">
        <v>0.013974564120258329</v>
      </c>
      <c r="K10" s="9"/>
      <c r="L10" s="9"/>
      <c r="M10" s="9"/>
      <c r="N10" s="9"/>
      <c r="O10" s="9"/>
      <c r="P10" s="9"/>
    </row>
    <row xmlns:x14ac="http://schemas.microsoft.com/office/spreadsheetml/2009/9/ac" r="11" x14ac:dyDescent="0.3">
      <c r="A11" s="10" t="s">
        <v>474</v>
      </c>
      <c r="B11" s="9">
        <v>1</v>
      </c>
      <c r="C11" s="9">
        <v>0.25</v>
      </c>
      <c r="D11" s="9">
        <v>0.25</v>
      </c>
      <c r="E11" s="9">
        <v>0.25</v>
      </c>
      <c r="F11" s="9">
        <v>0.25</v>
      </c>
      <c r="G11" s="9">
        <v>0.25</v>
      </c>
      <c r="H11" s="9">
        <v>0.25</v>
      </c>
      <c r="I11" s="9">
        <v>1.7343976283205826e-06</v>
      </c>
      <c r="J11" s="9">
        <v>1.7343976283205826e-06</v>
      </c>
      <c r="K11" s="9"/>
      <c r="L11" s="9"/>
      <c r="M11" s="9"/>
      <c r="N11" s="9"/>
      <c r="O11" s="9"/>
      <c r="P11" s="9"/>
    </row>
    <row xmlns:x14ac="http://schemas.microsoft.com/office/spreadsheetml/2009/9/ac" r="12" x14ac:dyDescent="0.3">
      <c r="A12" s="10" t="s">
        <v>475</v>
      </c>
      <c r="B12" s="9">
        <v>0.75</v>
      </c>
      <c r="C12" s="9">
        <v>0.25</v>
      </c>
      <c r="D12" s="9">
        <v>0.25</v>
      </c>
      <c r="E12" s="9">
        <v>0.25</v>
      </c>
      <c r="F12" s="9">
        <v>0.25</v>
      </c>
      <c r="G12" s="9">
        <v>0.25</v>
      </c>
      <c r="H12" s="9">
        <v>0.25</v>
      </c>
      <c r="I12" s="9">
        <v>0.0087296677536022934</v>
      </c>
      <c r="J12" s="9">
        <v>0.4165338073918789</v>
      </c>
      <c r="K12" s="9"/>
      <c r="L12" s="9"/>
      <c r="M12" s="9"/>
      <c r="N12" s="9"/>
      <c r="O12" s="9"/>
      <c r="P12" s="9"/>
    </row>
    <row xmlns:x14ac="http://schemas.microsoft.com/office/spreadsheetml/2009/9/ac" r="13" x14ac:dyDescent="0.3">
      <c r="A13" s="10" t="s">
        <v>476</v>
      </c>
      <c r="B13" s="9">
        <v>0.5</v>
      </c>
      <c r="C13" s="9">
        <v>0.25</v>
      </c>
      <c r="D13" s="9">
        <v>0.25</v>
      </c>
      <c r="E13" s="9">
        <v>0.25</v>
      </c>
      <c r="F13" s="9">
        <v>0.25</v>
      </c>
      <c r="G13" s="9">
        <v>0.25</v>
      </c>
      <c r="H13" s="9">
        <v>0.25</v>
      </c>
      <c r="I13" s="9">
        <v>0.81301685130450552</v>
      </c>
      <c r="J13" s="9">
        <v>0.006835856425301233</v>
      </c>
      <c r="K13" s="9"/>
      <c r="L13" s="9"/>
      <c r="M13" s="9"/>
      <c r="N13" s="9"/>
      <c r="O13" s="9"/>
      <c r="P13" s="9"/>
    </row>
    <row xmlns:x14ac="http://schemas.microsoft.com/office/spreadsheetml/2009/9/ac" r="14" x14ac:dyDescent="0.3">
      <c r="A14" s="6" t="s">
        <v>477</v>
      </c>
      <c r="B14" s="11">
        <v>0.75</v>
      </c>
      <c r="C14" s="11">
        <v>0.25</v>
      </c>
      <c r="D14" s="11">
        <v>0.25</v>
      </c>
      <c r="E14" s="11">
        <v>0.25</v>
      </c>
      <c r="F14" s="11">
        <v>0.25</v>
      </c>
      <c r="G14" s="11">
        <v>0.25</v>
      </c>
      <c r="H14" s="11">
        <v>0.25</v>
      </c>
      <c r="I14" s="11">
        <v>1.9209211049031476e-06</v>
      </c>
      <c r="J14" s="11">
        <v>0.50383296887814133</v>
      </c>
      <c r="K14" s="11"/>
      <c r="L14" s="11"/>
      <c r="M14" s="11"/>
      <c r="N14" s="11"/>
      <c r="O14" s="11"/>
      <c r="P14" s="11"/>
    </row>
  </sheetData>
  <mergeCells count="1">
    <mergeCell ref="A1:P1"/>
  </mergeCells>
  <conditionalFormatting sqref="B3:P14">
    <cfRule type="cellIs" dxfId="2" priority="1" operator="greaterThan">
      <formula>0.05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4"/>
  <sheetViews>
    <sheetView workbookViewId="0">
      <selection activeCell="C15" sqref="C15"/>
    </sheetView>
  </sheetViews>
  <sheetFormatPr xmlns:x14ac="http://schemas.microsoft.com/office/spreadsheetml/2009/9/ac" defaultRowHeight="14.4" x14ac:dyDescent="0.3"/>
  <cols>
    <col min="1" max="1" width="8" bestFit="true" customWidth="true"/>
    <col min="2" max="2" width="18.6640625" customWidth="true"/>
    <col min="3" max="3" width="18.6640625" customWidth="true"/>
    <col min="4" max="4" width="18.6640625" customWidth="true"/>
    <col min="5" max="5" width="20.6640625" customWidth="true"/>
    <col min="6" max="6" width="15.44140625" customWidth="true"/>
    <col min="7" max="7" width="14.33203125" customWidth="true"/>
    <col min="9" max="9" width="14.37890625" customWidth="true"/>
    <col min="10" max="10" width="15.37890625" bestFit="true" customWidth="true"/>
    <col min="8" max="8" width="13.44140625" customWidth="true"/>
    <col min="11" max="11" width="2" bestFit="true" customWidth="true"/>
  </cols>
  <sheetData>
    <row xmlns:x14ac="http://schemas.microsoft.com/office/spreadsheetml/2009/9/ac" r="1" ht="15" thickBot="true" x14ac:dyDescent="0.35">
      <c r="A1" s="28" t="s">
        <v>164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</row>
    <row xmlns:x14ac="http://schemas.microsoft.com/office/spreadsheetml/2009/9/ac" r="2" x14ac:dyDescent="0.3">
      <c r="A2" s="2" t="s">
        <v>465</v>
      </c>
      <c r="B2" s="1" t="s">
        <v>493</v>
      </c>
      <c r="C2" s="1" t="s">
        <v>494</v>
      </c>
      <c r="D2" s="1" t="s">
        <v>495</v>
      </c>
      <c r="E2" s="1" t="s">
        <v>496</v>
      </c>
      <c r="F2" s="1" t="s">
        <v>497</v>
      </c>
      <c r="G2" s="1" t="s">
        <v>498</v>
      </c>
      <c r="H2" s="1" t="s">
        <v>499</v>
      </c>
      <c r="I2" s="1" t="s">
        <v>310</v>
      </c>
      <c r="J2" s="1" t="s">
        <v>311</v>
      </c>
      <c r="K2" s="1">
        <v>1</v>
      </c>
      <c r="L2" s="1"/>
      <c r="M2" s="1"/>
      <c r="N2" s="1"/>
      <c r="O2" s="1"/>
      <c r="P2" s="1"/>
    </row>
    <row xmlns:x14ac="http://schemas.microsoft.com/office/spreadsheetml/2009/9/ac" r="3" x14ac:dyDescent="0.3">
      <c r="A3" s="3" t="s">
        <v>466</v>
      </c>
      <c r="B3" s="29">
        <v>0</v>
      </c>
      <c r="C3" s="29">
        <v>0</v>
      </c>
      <c r="D3" s="29">
        <v>0</v>
      </c>
      <c r="E3" s="29">
        <v>0</v>
      </c>
      <c r="F3" s="29">
        <v>0</v>
      </c>
      <c r="G3" s="29">
        <v>0</v>
      </c>
      <c r="H3" s="29">
        <v>0</v>
      </c>
      <c r="I3" s="29">
        <v>1</v>
      </c>
      <c r="J3" s="29">
        <v>1</v>
      </c>
      <c r="K3" s="29">
        <v>0</v>
      </c>
      <c r="L3" s="29"/>
      <c r="M3" s="29"/>
      <c r="N3" s="29"/>
      <c r="O3" s="29"/>
      <c r="P3" s="29"/>
    </row>
    <row xmlns:x14ac="http://schemas.microsoft.com/office/spreadsheetml/2009/9/ac" r="4" x14ac:dyDescent="0.3">
      <c r="A4" s="10" t="s">
        <v>467</v>
      </c>
      <c r="B4" s="30">
        <v>0</v>
      </c>
      <c r="C4" s="30">
        <v>0</v>
      </c>
      <c r="D4" s="30">
        <v>0</v>
      </c>
      <c r="E4" s="30">
        <v>0</v>
      </c>
      <c r="F4" s="30">
        <v>0</v>
      </c>
      <c r="G4" s="30">
        <v>0</v>
      </c>
      <c r="H4" s="30">
        <v>0</v>
      </c>
      <c r="I4" s="30">
        <v>0</v>
      </c>
      <c r="J4" s="30">
        <v>1</v>
      </c>
      <c r="K4" s="30">
        <v>1</v>
      </c>
      <c r="L4" s="30"/>
      <c r="M4" s="30"/>
      <c r="N4" s="30"/>
      <c r="O4" s="30"/>
      <c r="P4" s="30"/>
    </row>
    <row xmlns:x14ac="http://schemas.microsoft.com/office/spreadsheetml/2009/9/ac" r="5" x14ac:dyDescent="0.3">
      <c r="A5" s="10" t="s">
        <v>468</v>
      </c>
      <c r="B5" s="30">
        <v>0</v>
      </c>
      <c r="C5" s="30">
        <v>0</v>
      </c>
      <c r="D5" s="30">
        <v>0</v>
      </c>
      <c r="E5" s="30">
        <v>0</v>
      </c>
      <c r="F5" s="30">
        <v>0</v>
      </c>
      <c r="G5" s="30">
        <v>0</v>
      </c>
      <c r="H5" s="30">
        <v>0</v>
      </c>
      <c r="I5" s="30">
        <v>1</v>
      </c>
      <c r="J5" s="30">
        <v>0</v>
      </c>
      <c r="K5" s="30">
        <v>1</v>
      </c>
      <c r="L5" s="30"/>
      <c r="M5" s="30"/>
      <c r="N5" s="30"/>
      <c r="O5" s="30"/>
      <c r="P5" s="30"/>
    </row>
    <row xmlns:x14ac="http://schemas.microsoft.com/office/spreadsheetml/2009/9/ac" r="6" x14ac:dyDescent="0.3">
      <c r="A6" s="10" t="s">
        <v>469</v>
      </c>
      <c r="B6" s="30">
        <v>0</v>
      </c>
      <c r="C6" s="30">
        <v>0</v>
      </c>
      <c r="D6" s="30">
        <v>0</v>
      </c>
      <c r="E6" s="30">
        <v>0</v>
      </c>
      <c r="F6" s="30">
        <v>0</v>
      </c>
      <c r="G6" s="30">
        <v>0</v>
      </c>
      <c r="H6" s="30">
        <v>0</v>
      </c>
      <c r="I6" s="30">
        <v>1</v>
      </c>
      <c r="J6" s="30">
        <v>0</v>
      </c>
      <c r="K6" s="30">
        <v>1</v>
      </c>
      <c r="L6" s="30"/>
      <c r="M6" s="30"/>
      <c r="N6" s="30"/>
      <c r="O6" s="30"/>
      <c r="P6" s="30"/>
    </row>
    <row xmlns:x14ac="http://schemas.microsoft.com/office/spreadsheetml/2009/9/ac" r="7" x14ac:dyDescent="0.3">
      <c r="A7" s="10" t="s">
        <v>470</v>
      </c>
      <c r="B7" s="30">
        <v>0</v>
      </c>
      <c r="C7" s="30">
        <v>0</v>
      </c>
      <c r="D7" s="30">
        <v>0</v>
      </c>
      <c r="E7" s="30">
        <v>0</v>
      </c>
      <c r="F7" s="30">
        <v>0</v>
      </c>
      <c r="G7" s="30">
        <v>0</v>
      </c>
      <c r="H7" s="30">
        <v>0</v>
      </c>
      <c r="I7" s="30">
        <v>1</v>
      </c>
      <c r="J7" s="30">
        <v>1</v>
      </c>
      <c r="K7" s="30">
        <v>1</v>
      </c>
      <c r="L7" s="30"/>
      <c r="M7" s="30"/>
      <c r="N7" s="30"/>
      <c r="O7" s="30"/>
      <c r="P7" s="30"/>
    </row>
    <row xmlns:x14ac="http://schemas.microsoft.com/office/spreadsheetml/2009/9/ac" r="8" x14ac:dyDescent="0.3">
      <c r="A8" s="10" t="s">
        <v>471</v>
      </c>
      <c r="B8" s="30">
        <v>0</v>
      </c>
      <c r="C8" s="30">
        <v>0</v>
      </c>
      <c r="D8" s="30">
        <v>0</v>
      </c>
      <c r="E8" s="30">
        <v>0</v>
      </c>
      <c r="F8" s="30">
        <v>0</v>
      </c>
      <c r="G8" s="30">
        <v>0</v>
      </c>
      <c r="H8" s="30">
        <v>0</v>
      </c>
      <c r="I8" s="30">
        <v>1</v>
      </c>
      <c r="J8" s="30">
        <v>1</v>
      </c>
      <c r="K8" s="30">
        <v>1</v>
      </c>
      <c r="L8" s="30"/>
      <c r="M8" s="30"/>
      <c r="N8" s="30"/>
      <c r="O8" s="30"/>
      <c r="P8" s="30"/>
    </row>
    <row xmlns:x14ac="http://schemas.microsoft.com/office/spreadsheetml/2009/9/ac" r="9" x14ac:dyDescent="0.3">
      <c r="A9" s="10" t="s">
        <v>472</v>
      </c>
      <c r="B9" s="30">
        <v>0</v>
      </c>
      <c r="C9" s="30">
        <v>0</v>
      </c>
      <c r="D9" s="30">
        <v>0</v>
      </c>
      <c r="E9" s="30">
        <v>0</v>
      </c>
      <c r="F9" s="30">
        <v>0</v>
      </c>
      <c r="G9" s="30">
        <v>0</v>
      </c>
      <c r="H9" s="30">
        <v>0</v>
      </c>
      <c r="I9" s="30">
        <v>1</v>
      </c>
      <c r="J9" s="30">
        <v>1</v>
      </c>
      <c r="K9" s="30">
        <v>1</v>
      </c>
      <c r="L9" s="30"/>
      <c r="M9" s="30"/>
      <c r="N9" s="30"/>
      <c r="O9" s="30"/>
      <c r="P9" s="30"/>
    </row>
    <row xmlns:x14ac="http://schemas.microsoft.com/office/spreadsheetml/2009/9/ac" r="10" x14ac:dyDescent="0.3">
      <c r="A10" s="10" t="s">
        <v>473</v>
      </c>
      <c r="B10" s="30">
        <v>0</v>
      </c>
      <c r="C10" s="30">
        <v>0</v>
      </c>
      <c r="D10" s="30">
        <v>0</v>
      </c>
      <c r="E10" s="30">
        <v>0</v>
      </c>
      <c r="F10" s="30">
        <v>0</v>
      </c>
      <c r="G10" s="30">
        <v>0</v>
      </c>
      <c r="H10" s="30">
        <v>0</v>
      </c>
      <c r="I10" s="30">
        <v>1</v>
      </c>
      <c r="J10" s="30">
        <v>1</v>
      </c>
      <c r="K10" s="30">
        <v>1</v>
      </c>
      <c r="L10" s="30"/>
      <c r="M10" s="30"/>
      <c r="N10" s="30"/>
      <c r="O10" s="30"/>
      <c r="P10" s="30"/>
    </row>
    <row xmlns:x14ac="http://schemas.microsoft.com/office/spreadsheetml/2009/9/ac" r="11" x14ac:dyDescent="0.3">
      <c r="A11" s="10" t="s">
        <v>474</v>
      </c>
      <c r="B11" s="30">
        <v>0</v>
      </c>
      <c r="C11" s="30">
        <v>0</v>
      </c>
      <c r="D11" s="30">
        <v>0</v>
      </c>
      <c r="E11" s="30">
        <v>0</v>
      </c>
      <c r="F11" s="30">
        <v>0</v>
      </c>
      <c r="G11" s="30">
        <v>0</v>
      </c>
      <c r="H11" s="30">
        <v>0</v>
      </c>
      <c r="I11" s="30">
        <v>1</v>
      </c>
      <c r="J11" s="30">
        <v>1</v>
      </c>
      <c r="K11" s="30">
        <v>1</v>
      </c>
      <c r="L11" s="30"/>
      <c r="M11" s="30"/>
      <c r="N11" s="30"/>
      <c r="O11" s="30"/>
      <c r="P11" s="30"/>
    </row>
    <row xmlns:x14ac="http://schemas.microsoft.com/office/spreadsheetml/2009/9/ac" r="12" x14ac:dyDescent="0.3">
      <c r="A12" s="10" t="s">
        <v>475</v>
      </c>
      <c r="B12" s="30">
        <v>0</v>
      </c>
      <c r="C12" s="30">
        <v>0</v>
      </c>
      <c r="D12" s="30">
        <v>0</v>
      </c>
      <c r="E12" s="30">
        <v>0</v>
      </c>
      <c r="F12" s="30">
        <v>0</v>
      </c>
      <c r="G12" s="30">
        <v>0</v>
      </c>
      <c r="H12" s="30">
        <v>0</v>
      </c>
      <c r="I12" s="30">
        <v>1</v>
      </c>
      <c r="J12" s="30">
        <v>0</v>
      </c>
      <c r="K12" s="30">
        <v>1</v>
      </c>
      <c r="L12" s="30"/>
      <c r="M12" s="30"/>
      <c r="N12" s="30"/>
      <c r="O12" s="30"/>
      <c r="P12" s="30"/>
    </row>
    <row xmlns:x14ac="http://schemas.microsoft.com/office/spreadsheetml/2009/9/ac" r="13" x14ac:dyDescent="0.3">
      <c r="A13" s="10" t="s">
        <v>476</v>
      </c>
      <c r="B13" s="30">
        <v>0</v>
      </c>
      <c r="C13" s="30">
        <v>0</v>
      </c>
      <c r="D13" s="30">
        <v>0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1</v>
      </c>
      <c r="K13" s="30">
        <v>1</v>
      </c>
      <c r="L13" s="30"/>
      <c r="M13" s="30"/>
      <c r="N13" s="30"/>
      <c r="O13" s="30"/>
      <c r="P13" s="30"/>
    </row>
    <row xmlns:x14ac="http://schemas.microsoft.com/office/spreadsheetml/2009/9/ac" r="14" x14ac:dyDescent="0.3">
      <c r="A14" s="6" t="s">
        <v>477</v>
      </c>
      <c r="B14" s="31">
        <v>0</v>
      </c>
      <c r="C14" s="31">
        <v>0</v>
      </c>
      <c r="D14" s="31">
        <v>0</v>
      </c>
      <c r="E14" s="31">
        <v>0</v>
      </c>
      <c r="F14" s="31">
        <v>0</v>
      </c>
      <c r="G14" s="31">
        <v>0</v>
      </c>
      <c r="H14" s="31">
        <v>0</v>
      </c>
      <c r="I14" s="31">
        <v>1</v>
      </c>
      <c r="J14" s="31">
        <v>0</v>
      </c>
      <c r="K14" s="31"/>
      <c r="L14" s="31"/>
      <c r="M14" s="31"/>
      <c r="N14" s="31"/>
      <c r="O14" s="31"/>
      <c r="P14" s="31"/>
    </row>
  </sheetData>
  <mergeCells count="1">
    <mergeCell ref="A1:P1"/>
  </mergeCells>
  <conditionalFormatting sqref="B3:P14">
    <cfRule type="cellIs" dxfId="0" priority="1" operator="equal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14"/>
  <sheetViews>
    <sheetView workbookViewId="0">
      <selection activeCell="E22" sqref="E22"/>
    </sheetView>
  </sheetViews>
  <sheetFormatPr xmlns:x14ac="http://schemas.microsoft.com/office/spreadsheetml/2009/9/ac" defaultRowHeight="14.4" x14ac:dyDescent="0.3"/>
  <cols>
    <col min="1" max="1" width="8" style="14" bestFit="true" customWidth="true"/>
    <col min="2" max="2" width="18.6640625" style="14" customWidth="true"/>
    <col min="3" max="3" width="18.6640625" style="14" customWidth="true"/>
    <col min="4" max="4" width="18.6640625" style="14" customWidth="true"/>
    <col min="5" max="5" width="20.6640625" style="14" customWidth="true"/>
    <col min="6" max="6" width="15.44140625" style="14" customWidth="true"/>
    <col min="7" max="7" width="14.33203125" style="14" customWidth="true"/>
    <col min="9" max="9" width="14.37890625" style="14" customWidth="true"/>
    <col min="10" max="10" width="15.37890625" style="14" bestFit="true" customWidth="true"/>
    <col min="11" max="11" width="4" style="14" bestFit="true" customWidth="true"/>
    <col min="12" max="16384" width="8.88671875" style="14"/>
    <col min="8" max="8" width="13.44140625" style="14" customWidth="true"/>
  </cols>
  <sheetData>
    <row xmlns:x14ac="http://schemas.microsoft.com/office/spreadsheetml/2009/9/ac" r="1" ht="15" thickBot="true" x14ac:dyDescent="0.35">
      <c r="A1" s="28" t="s">
        <v>165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</row>
    <row xmlns:x14ac="http://schemas.microsoft.com/office/spreadsheetml/2009/9/ac" r="2" x14ac:dyDescent="0.3">
      <c r="A2" s="15" t="s">
        <v>465</v>
      </c>
      <c r="B2" s="15" t="s">
        <v>493</v>
      </c>
      <c r="C2" s="15" t="s">
        <v>494</v>
      </c>
      <c r="D2" s="15" t="s">
        <v>495</v>
      </c>
      <c r="E2" s="15" t="s">
        <v>496</v>
      </c>
      <c r="F2" s="15" t="s">
        <v>497</v>
      </c>
      <c r="G2" s="15" t="s">
        <v>498</v>
      </c>
      <c r="H2" s="15" t="s">
        <v>499</v>
      </c>
      <c r="I2" s="15" t="s">
        <v>332</v>
      </c>
      <c r="J2" s="15" t="s">
        <v>333</v>
      </c>
      <c r="K2" s="15">
        <v>9</v>
      </c>
      <c r="L2" s="15"/>
      <c r="M2" s="15"/>
      <c r="N2" s="15"/>
      <c r="O2" s="15"/>
      <c r="P2" s="15"/>
    </row>
    <row xmlns:x14ac="http://schemas.microsoft.com/office/spreadsheetml/2009/9/ac" r="3" x14ac:dyDescent="0.3">
      <c r="A3" s="16" t="s">
        <v>466</v>
      </c>
      <c r="B3" s="16">
        <v>6</v>
      </c>
      <c r="C3" s="16">
        <v>6</v>
      </c>
      <c r="D3" s="16">
        <v>6</v>
      </c>
      <c r="E3" s="16">
        <v>6</v>
      </c>
      <c r="F3" s="16">
        <v>6</v>
      </c>
      <c r="G3" s="16">
        <v>6</v>
      </c>
      <c r="H3" s="16">
        <v>6</v>
      </c>
      <c r="I3" s="16">
        <v>0</v>
      </c>
      <c r="J3" s="16">
        <v>0</v>
      </c>
      <c r="K3" s="16">
        <v>216</v>
      </c>
      <c r="L3" s="16"/>
      <c r="M3" s="16"/>
      <c r="N3" s="16"/>
      <c r="O3" s="16"/>
      <c r="P3" s="16"/>
    </row>
    <row xmlns:x14ac="http://schemas.microsoft.com/office/spreadsheetml/2009/9/ac" r="4" x14ac:dyDescent="0.3">
      <c r="A4" s="17" t="s">
        <v>467</v>
      </c>
      <c r="B4" s="17">
        <v>0</v>
      </c>
      <c r="C4" s="17">
        <v>6</v>
      </c>
      <c r="D4" s="17">
        <v>6</v>
      </c>
      <c r="E4" s="17">
        <v>6</v>
      </c>
      <c r="F4" s="17">
        <v>6</v>
      </c>
      <c r="G4" s="17">
        <v>6</v>
      </c>
      <c r="H4" s="17">
        <v>6</v>
      </c>
      <c r="I4" s="17">
        <v>171</v>
      </c>
      <c r="J4" s="17">
        <v>51</v>
      </c>
      <c r="K4" s="17">
        <v>0</v>
      </c>
      <c r="L4" s="17"/>
      <c r="M4" s="17"/>
      <c r="N4" s="17"/>
      <c r="O4" s="17"/>
      <c r="P4" s="17"/>
    </row>
    <row xmlns:x14ac="http://schemas.microsoft.com/office/spreadsheetml/2009/9/ac" r="5" x14ac:dyDescent="0.3">
      <c r="A5" s="17" t="s">
        <v>468</v>
      </c>
      <c r="B5" s="17">
        <v>2</v>
      </c>
      <c r="C5" s="17">
        <v>6</v>
      </c>
      <c r="D5" s="17">
        <v>6</v>
      </c>
      <c r="E5" s="17">
        <v>6</v>
      </c>
      <c r="F5" s="17">
        <v>6</v>
      </c>
      <c r="G5" s="17">
        <v>6</v>
      </c>
      <c r="H5" s="17">
        <v>6</v>
      </c>
      <c r="I5" s="17">
        <v>28</v>
      </c>
      <c r="J5" s="17">
        <v>236</v>
      </c>
      <c r="K5" s="17">
        <v>73</v>
      </c>
      <c r="L5" s="17"/>
      <c r="M5" s="17"/>
      <c r="N5" s="17"/>
      <c r="O5" s="17"/>
      <c r="P5" s="17"/>
    </row>
    <row xmlns:x14ac="http://schemas.microsoft.com/office/spreadsheetml/2009/9/ac" r="6" x14ac:dyDescent="0.3">
      <c r="A6" s="17" t="s">
        <v>469</v>
      </c>
      <c r="B6" s="17">
        <v>2</v>
      </c>
      <c r="C6" s="17">
        <v>1</v>
      </c>
      <c r="D6" s="17">
        <v>5</v>
      </c>
      <c r="E6" s="17">
        <v>5</v>
      </c>
      <c r="F6" s="17">
        <v>6</v>
      </c>
      <c r="G6" s="17">
        <v>6</v>
      </c>
      <c r="H6" s="17">
        <v>6</v>
      </c>
      <c r="I6" s="17">
        <v>365</v>
      </c>
      <c r="J6" s="17">
        <v>285</v>
      </c>
      <c r="K6" s="17">
        <v>0</v>
      </c>
      <c r="L6" s="17"/>
      <c r="M6" s="17"/>
      <c r="N6" s="17"/>
      <c r="O6" s="17"/>
      <c r="P6" s="17"/>
    </row>
    <row xmlns:x14ac="http://schemas.microsoft.com/office/spreadsheetml/2009/9/ac" r="7" x14ac:dyDescent="0.3">
      <c r="A7" s="17" t="s">
        <v>470</v>
      </c>
      <c r="B7" s="17">
        <v>3</v>
      </c>
      <c r="C7" s="17">
        <v>4</v>
      </c>
      <c r="D7" s="17">
        <v>4</v>
      </c>
      <c r="E7" s="17">
        <v>4</v>
      </c>
      <c r="F7" s="17">
        <v>6</v>
      </c>
      <c r="G7" s="17">
        <v>6</v>
      </c>
      <c r="H7" s="17">
        <v>5</v>
      </c>
      <c r="I7" s="17">
        <v>35</v>
      </c>
      <c r="J7" s="17">
        <v>385</v>
      </c>
      <c r="K7" s="17">
        <v>0</v>
      </c>
      <c r="L7" s="17"/>
      <c r="M7" s="17"/>
      <c r="N7" s="17"/>
      <c r="O7" s="17"/>
      <c r="P7" s="17"/>
    </row>
    <row xmlns:x14ac="http://schemas.microsoft.com/office/spreadsheetml/2009/9/ac" r="8" x14ac:dyDescent="0.3">
      <c r="A8" s="17" t="s">
        <v>471</v>
      </c>
      <c r="B8" s="17">
        <v>5</v>
      </c>
      <c r="C8" s="17">
        <v>6</v>
      </c>
      <c r="D8" s="17">
        <v>6</v>
      </c>
      <c r="E8" s="17">
        <v>6</v>
      </c>
      <c r="F8" s="17">
        <v>6</v>
      </c>
      <c r="G8" s="17">
        <v>6</v>
      </c>
      <c r="H8" s="17">
        <v>6</v>
      </c>
      <c r="I8" s="17">
        <v>3</v>
      </c>
      <c r="J8" s="17">
        <v>0</v>
      </c>
      <c r="K8" s="17">
        <v>0</v>
      </c>
      <c r="L8" s="17"/>
      <c r="M8" s="17"/>
      <c r="N8" s="17"/>
      <c r="O8" s="17"/>
      <c r="P8" s="17"/>
    </row>
    <row xmlns:x14ac="http://schemas.microsoft.com/office/spreadsheetml/2009/9/ac" r="9" x14ac:dyDescent="0.3">
      <c r="A9" s="17" t="s">
        <v>472</v>
      </c>
      <c r="B9" s="17">
        <v>2</v>
      </c>
      <c r="C9" s="17">
        <v>6</v>
      </c>
      <c r="D9" s="17">
        <v>6</v>
      </c>
      <c r="E9" s="17">
        <v>6</v>
      </c>
      <c r="F9" s="17">
        <v>6</v>
      </c>
      <c r="G9" s="17">
        <v>6</v>
      </c>
      <c r="H9" s="17">
        <v>6</v>
      </c>
      <c r="I9" s="17">
        <v>85</v>
      </c>
      <c r="J9" s="17">
        <v>90</v>
      </c>
      <c r="K9" s="17">
        <v>0</v>
      </c>
      <c r="L9" s="17"/>
      <c r="M9" s="17"/>
      <c r="N9" s="17"/>
      <c r="O9" s="17"/>
      <c r="P9" s="17"/>
    </row>
    <row xmlns:x14ac="http://schemas.microsoft.com/office/spreadsheetml/2009/9/ac" r="10" x14ac:dyDescent="0.3">
      <c r="A10" s="17" t="s">
        <v>473</v>
      </c>
      <c r="B10" s="17">
        <v>0</v>
      </c>
      <c r="C10" s="17">
        <v>6</v>
      </c>
      <c r="D10" s="17">
        <v>6</v>
      </c>
      <c r="E10" s="17">
        <v>6</v>
      </c>
      <c r="F10" s="17">
        <v>6</v>
      </c>
      <c r="G10" s="17">
        <v>6</v>
      </c>
      <c r="H10" s="17">
        <v>6</v>
      </c>
      <c r="I10" s="17">
        <v>94</v>
      </c>
      <c r="J10" s="17">
        <v>113</v>
      </c>
      <c r="K10" s="17">
        <v>0</v>
      </c>
      <c r="L10" s="17"/>
      <c r="M10" s="17"/>
      <c r="N10" s="17"/>
      <c r="O10" s="17"/>
      <c r="P10" s="17"/>
    </row>
    <row xmlns:x14ac="http://schemas.microsoft.com/office/spreadsheetml/2009/9/ac" r="11" x14ac:dyDescent="0.3">
      <c r="A11" s="17" t="s">
        <v>474</v>
      </c>
      <c r="B11" s="17">
        <v>3</v>
      </c>
      <c r="C11" s="17">
        <v>6</v>
      </c>
      <c r="D11" s="17">
        <v>6</v>
      </c>
      <c r="E11" s="17">
        <v>6</v>
      </c>
      <c r="F11" s="17">
        <v>6</v>
      </c>
      <c r="G11" s="17">
        <v>6</v>
      </c>
      <c r="H11" s="17">
        <v>6</v>
      </c>
      <c r="I11" s="17">
        <v>0</v>
      </c>
      <c r="J11" s="17">
        <v>0</v>
      </c>
      <c r="K11" s="17">
        <v>1</v>
      </c>
      <c r="L11" s="17"/>
      <c r="M11" s="17"/>
      <c r="N11" s="17"/>
      <c r="O11" s="17"/>
      <c r="P11" s="17"/>
    </row>
    <row xmlns:x14ac="http://schemas.microsoft.com/office/spreadsheetml/2009/9/ac" r="12" x14ac:dyDescent="0.3">
      <c r="A12" s="17" t="s">
        <v>475</v>
      </c>
      <c r="B12" s="17">
        <v>4</v>
      </c>
      <c r="C12" s="17">
        <v>6</v>
      </c>
      <c r="D12" s="17">
        <v>6</v>
      </c>
      <c r="E12" s="17">
        <v>6</v>
      </c>
      <c r="F12" s="17">
        <v>6</v>
      </c>
      <c r="G12" s="17">
        <v>6</v>
      </c>
      <c r="H12" s="17">
        <v>6</v>
      </c>
      <c r="I12" s="17">
        <v>105</v>
      </c>
      <c r="J12" s="17">
        <v>272</v>
      </c>
      <c r="K12" s="17">
        <v>0</v>
      </c>
      <c r="L12" s="17"/>
      <c r="M12" s="17"/>
      <c r="N12" s="17"/>
      <c r="O12" s="17"/>
      <c r="P12" s="17"/>
    </row>
    <row xmlns:x14ac="http://schemas.microsoft.com/office/spreadsheetml/2009/9/ac" r="13" x14ac:dyDescent="0.3">
      <c r="A13" s="17" t="s">
        <v>476</v>
      </c>
      <c r="B13" s="17">
        <v>5</v>
      </c>
      <c r="C13" s="17">
        <v>6</v>
      </c>
      <c r="D13" s="17">
        <v>6</v>
      </c>
      <c r="E13" s="17">
        <v>6</v>
      </c>
      <c r="F13" s="17">
        <v>6</v>
      </c>
      <c r="G13" s="17">
        <v>6</v>
      </c>
      <c r="H13" s="17">
        <v>6</v>
      </c>
      <c r="I13" s="17">
        <v>221</v>
      </c>
      <c r="J13" s="17">
        <v>101</v>
      </c>
      <c r="K13" s="17">
        <v>69</v>
      </c>
      <c r="L13" s="17"/>
      <c r="M13" s="17"/>
      <c r="N13" s="17"/>
      <c r="O13" s="17"/>
      <c r="P13" s="17"/>
    </row>
    <row xmlns:x14ac="http://schemas.microsoft.com/office/spreadsheetml/2009/9/ac" r="14" x14ac:dyDescent="0.3">
      <c r="A14" s="18" t="s">
        <v>477</v>
      </c>
      <c r="B14" s="18">
        <v>4</v>
      </c>
      <c r="C14" s="18">
        <v>6</v>
      </c>
      <c r="D14" s="18">
        <v>6</v>
      </c>
      <c r="E14" s="18">
        <v>6</v>
      </c>
      <c r="F14" s="18">
        <v>6</v>
      </c>
      <c r="G14" s="18">
        <v>6</v>
      </c>
      <c r="H14" s="18">
        <v>6</v>
      </c>
      <c r="I14" s="18">
        <v>1</v>
      </c>
      <c r="J14" s="18">
        <v>265</v>
      </c>
      <c r="K14" s="18"/>
      <c r="L14" s="18"/>
      <c r="M14" s="18"/>
      <c r="N14" s="18"/>
      <c r="O14" s="18"/>
      <c r="P14" s="18"/>
    </row>
  </sheetData>
  <mergeCells count="1">
    <mergeCell ref="A1:P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5"/>
  <sheetViews>
    <sheetView workbookViewId="0"/>
  </sheetViews>
  <sheetFormatPr xmlns:x14ac="http://schemas.microsoft.com/office/spreadsheetml/2009/9/ac" defaultRowHeight="14.4" x14ac:dyDescent="0.3"/>
  <cols>
    <col min="1" max="1" width="46.109375" customWidth="true"/>
  </cols>
  <sheetData>
    <row xmlns:x14ac="http://schemas.microsoft.com/office/spreadsheetml/2009/9/ac" r="1" x14ac:dyDescent="0.3">
      <c r="A1" s="0" t="s">
        <v>483</v>
      </c>
    </row>
    <row xmlns:x14ac="http://schemas.microsoft.com/office/spreadsheetml/2009/9/ac" r="2" x14ac:dyDescent="0.3">
      <c r="A2" s="0" t="s">
        <v>484</v>
      </c>
    </row>
    <row xmlns:x14ac="http://schemas.microsoft.com/office/spreadsheetml/2009/9/ac" r="3" x14ac:dyDescent="0.3">
      <c r="A3" s="0" t="s">
        <v>485</v>
      </c>
    </row>
    <row xmlns:x14ac="http://schemas.microsoft.com/office/spreadsheetml/2009/9/ac" r="4" x14ac:dyDescent="0.3">
      <c r="A4" s="0" t="s">
        <v>486</v>
      </c>
    </row>
    <row xmlns:x14ac="http://schemas.microsoft.com/office/spreadsheetml/2009/9/ac" r="5" x14ac:dyDescent="0.3">
      <c r="A5" s="0" t="s">
        <v>487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Conclusions</vt:lpstr>
      <vt:lpstr>TTest_p</vt:lpstr>
      <vt:lpstr>TTest_h</vt:lpstr>
      <vt:lpstr>Wilcoxon_p</vt:lpstr>
      <vt:lpstr>Wilcoxon_h</vt:lpstr>
      <vt:lpstr>Wilcoxon_stat</vt:lpstr>
      <vt:lpstr>Explanation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Seyed Mohammad Mahdi Hashemi</cp:lastModifiedBy>
  <dcterms:modified xsi:type="dcterms:W3CDTF">2025-08-15T20:12:22Z</dcterms:modified>
</cp:coreProperties>
</file>