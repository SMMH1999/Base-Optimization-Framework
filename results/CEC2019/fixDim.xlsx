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onh\Desktop\New folder\CEC2019\"/>
    </mc:Choice>
  </mc:AlternateContent>
  <xr:revisionPtr revIDLastSave="0" documentId="13_ncr:1_{B0FC76C2-27CB-4F19-9933-58A3499383E3}" xr6:coauthVersionLast="47" xr6:coauthVersionMax="47" xr10:uidLastSave="{00000000-0000-0000-0000-000000000000}"/>
  <bookViews>
    <workbookView xWindow="-108" yWindow="-108" windowWidth="23256" windowHeight="12456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<sst xmlns="http://schemas.openxmlformats.org/spreadsheetml/2006/main" xmlns:r="http://schemas.openxmlformats.org/officeDocument/2006/relationships" xmlns:xdr="http://schemas.openxmlformats.org/drawingml/2006/spreadsheetDrawing" count="870" uniqueCount="471">
  <si>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</si>
  <si>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</si>
  <si>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</si>
  <si>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</si>
  <si>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</si>
  <si>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</si>
  <si>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</si>
  <si>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</si>
  <si>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</si>
  <si>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</si>
  <si>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</si>
  <si>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</si>
  <si>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</si>
  <si>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Functions</t>
  </si>
  <si>
    <t>Column1</t>
  </si>
  <si>
    <t>Column2</t>
  </si>
  <si>
    <t>Multimodal
Functions</t>
  </si>
  <si>
    <t>Comparison of optimization results for the CEC benchmark functions 2019 (Fix Dim)</t>
  </si>
  <si>
    <t>Total number of 
best answers</t>
  </si>
  <si>
    <t>Rank by total number of 
best answers</t>
  </si>
  <si>
    <t>Average rating in the set</t>
  </si>
  <si>
    <t>Rank based on 
the average in the set</t>
  </si>
  <si>
    <t>Function</t>
  </si>
  <si>
    <t>F1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</si>
  <si>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</si>
  <si>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</si>
  <si>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</si>
  <si>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</si>
  <si>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</si>
  <si>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</si>
  <si>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</si>
  <si>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</si>
  <si>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</si>
  <si>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</si>
  <si>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</si>
  <si>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</si>
  <si>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</si>
  <si>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</si>
  <si>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</si>
  <si>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</si>
  <si>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</si>
  <si>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</si>
  <si>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</si>
  <si>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</si>
  <si>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</si>
  <si>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</si>
  <si>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</si>
  <si>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</si>
  <si>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</si>
  <si>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</si>
  <si>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</si>
  <si>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</si>
  <si>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</si>
  <si>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</si>
  <si>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</si>
  <si>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</si>
  <si>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</si>
  <si>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</si>
  <si>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</si>
  <si>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</si>
  <si>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</si>
  <si>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</si>
  <si>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</si>
  <si>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</si>
  <si>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</si>
  <si>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</si>
  <si>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</si>
  <si>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</si>
  <si>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</si>
  <si>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</si>
  <si>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</si>
  <si>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</si>
  <si>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</si>
  <si>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</si>
  <si>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</si>
  <si>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</si>
  <si>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</si>
  <si>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</si>
  <si>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</si>
  <si>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</si>
  <si>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</si>
  <si>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</si>
  <si>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</si>
  <si>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</si>
  <si>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</si>
  <si>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</si>
  <si>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</si>
  <si>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</si>
  <si>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</si>
  <si>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</si>
  <si>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</si>
  <si>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</si>
  <si>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</si>
  <si>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</si>
  <si>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</si>
  <si>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</si>
  <si>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</si>
  <si>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</si>
  <si>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</si>
  <si>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</si>
  <si>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</si>
  <si>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</si>
  <si>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</si>
  <si>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</si>
  <si>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</si>
  <si>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</si>
  <si>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</si>
  <si>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</si>
  <si>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</si>
  <si>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</si>
  <si>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</si>
  <si>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</si>
  <si>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</si>
  <si>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</si>
  <si>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</si>
  <si>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</si>
  <si>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</si>
  <si>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</si>
  <si>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</si>
  <si>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</si>
  <si>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</si>
  <si>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</si>
  <si>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</si>
  <si>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</si>
  <si>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</si>
  <si>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</si>
  <si>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</si>
  <si>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</si>
  <si>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</si>
  <si>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</si>
  <si>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</si>
  <si>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</si>
  <si>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</si>
  <si>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</si>
  <si>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</si>
  <si>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</si>
  <si>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</si>
  <si>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</si>
  <si>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</si>
  <si>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</si>
  <si>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</si>
  <si>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</si>
  <si>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</si>
  <si>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</si>
  <si>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</si>
  <si>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MADFOA vs WHO</t>
  </si>
  <si>
    <t>MADFOA vs SBO</t>
  </si>
  <si>
    <t>MADFOA vs CSA</t>
  </si>
  <si>
    <t>MADFOA vs LEA</t>
  </si>
  <si>
    <t>MADFOA vs SSA</t>
  </si>
  <si>
    <t>MADFOA vs GSA</t>
  </si>
  <si>
    <t>MADFOA vs PSO</t>
  </si>
  <si>
    <t>MADFOA vs GA</t>
  </si>
  <si>
    <t>P-value of the Wilcoxon analysis for the CEC benchmark functions 2019 (fix Dim)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</si>
  <si>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</si>
  <si>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</si>
  <si>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</si>
  <si>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</si>
  <si>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</si>
  <si>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</si>
  <si>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</si>
  <si>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</si>
  <si>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</si>
  <si>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</si>
  <si>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</si>
  <si>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</si>
  <si>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</si>
  <si>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</si>
  <si>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</si>
  <si>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P-value of the T-test analysis for the CEC benchmark functions 2019 (fix Dim)</t>
  </si>
  <si>
    <t>H-value of the T-test analysis for the CEC benchmark functions 2019 (fix Dim)</t>
  </si>
  <si>
    <t>H-value of the Wilcoxon analysis for the CEC benchmark functions 2019 (fix Dim)</t>
  </si>
  <si>
    <t>State of the Wilcoxon analysis for the CEC benchmark functions 2019 (fix Dim)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</si>
  <si>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</si>
  <si>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</si>
  <si>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</si>
  <si>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</si>
  <si>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</si>
  <si>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</si>
  <si>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</si>
  <si>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</si>
  <si>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</si>
  <si>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</si>
  <si>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</si>
  <si>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</si>
  <si>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</si>
  <si>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</si>
  <si>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</si>
  <si>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</si>
  <si>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</si>
  <si>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</si>
  <si>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</si>
  <si>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</si>
  <si>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</si>
  <si>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</si>
  <si>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</si>
  <si>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</si>
  <si>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</si>
  <si>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</si>
  <si>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</si>
  <si>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</si>
  <si>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</si>
  <si>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</si>
  <si>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</si>
  <si>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</si>
  <si>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</si>
  <si>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</si>
  <si>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</si>
  <si>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</si>
  <si>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</si>
  <si>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</si>
  <si>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</si>
  <si>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</si>
  <si>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</si>
  <si>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</si>
  <si>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</si>
  <si>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</si>
  <si>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</si>
  <si>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</si>
  <si>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</si>
  <si>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</si>
  <si>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</si>
  <si>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</si>
  <si>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</si>
  <si>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</si>
  <si>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</si>
  <si>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</si>
  <si>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</si>
  <si>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</si>
  <si>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</si>
  <si>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</si>
  <si>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</si>
  <si>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</si>
  <si>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</si>
  <si>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</si>
  <si>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</si>
  <si>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</si>
  <si>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</si>
  <si>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</si>
  <si>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</si>
  <si>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</si>
  <si>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</si>
  <si>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</si>
  <si>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</si>
  <si>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</si>
  <si>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</si>
  <si>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</si>
  <si>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</si>
  <si>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</si>
  <si>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</si>
  <si>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</si>
  <si>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</si>
  <si>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</si>
  <si>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</si>
  <si>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</si>
  <si>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</si>
  <si>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</si>
  <si>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</si>
  <si>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</si>
  <si>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</si>
  <si>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</si>
  <si>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</si>
  <si>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</si>
  <si>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</si>
  <si>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</si>
  <si>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</si>
  <si>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</si>
  <si>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</si>
  <si>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</si>
  <si>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</si>
  <si>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</si>
  <si>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</si>
  <si>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</si>
  <si>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</si>
  <si>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</si>
  <si>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</si>
  <si>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</si>
  <si>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</si>
  <si>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</si>
  <si>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</si>
  <si>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</si>
  <si>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</si>
  <si>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</si>
  <si>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</si>
  <si>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</si>
  <si>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</si>
  <si>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</si>
  <si>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</si>
  <si>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</si>
  <si>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</si>
  <si>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</si>
  <si>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</si>
  <si>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</si>
  <si>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</si>
  <si>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</si>
  <si>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</si>
  <si>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</si>
  <si>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</si>
  <si>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</si>
  <si>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</si>
  <si>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</si>
  <si>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</si>
  <si>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</si>
  <si>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</si>
  <si>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</si>
  <si>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</si>
  <si>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</si>
  <si>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</si>
  <si>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</si>
  <si>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</si>
  <si>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</si>
  <si>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</si>
  <si>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</si>
  <si>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</si>
  <si>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</si>
  <si>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</si>
  <si>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</si>
  <si>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</si>
  <si>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</si>
  <si>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</si>
  <si>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</si>
  <si>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</si>
  <si>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</si>
  <si>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</si>
  <si>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</si>
  <si>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</si>
  <si>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</si>
  <si>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</si>
  <si>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</si>
  <si>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</si>
  <si>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</si>
  <si>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</si>
  <si>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</si>
  <si>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</si>
  <si>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</si>
  <si>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</si>
  <si>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</si>
  <si>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</si>
  <si>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</si>
  <si>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</si>
  <si>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</si>
  <si>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</si>
  <si>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</si>
  <si>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</si>
  <si>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</si>
  <si>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</si>
  <si>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</si>
  <si>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</si>
  <si>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</si>
  <si>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</si>
  <si>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</si>
  <si>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</si>
  <si>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</si>
  <si>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</si>
  <si>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</si>
  <si>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</si>
  <si>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</si>
  <si>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</si>
  <si>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</si>
  <si>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</si>
  <si>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</si>
  <si>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</si>
  <si>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</si>
  <si>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</si>
  <si>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</si>
  <si>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</si>
  <si>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</si>
  <si>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</si>
  <si>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SFOOLMBES</t>
  </si>
  <si>
    <t>SFO</t>
  </si>
  <si>
    <t>HHO</t>
  </si>
  <si>
    <t>GWO</t>
  </si>
  <si>
    <t>PSO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</si>
  <si>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</si>
  <si>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</si>
  <si>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</si>
  <si>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</si>
  <si>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</si>
  <si>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</si>
  <si>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</si>
  <si>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</si>
  <si>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</si>
  <si>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</si>
  <si>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</si>
  <si>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</si>
  <si>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</si>
  <si>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</si>
  <si>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</si>
  <si>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</si>
  <si>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</si>
  <si>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</si>
  <si>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</si>
  <si>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</si>
  <si>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</si>
  <si>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</si>
  <si>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</si>
  <si>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</si>
  <si>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</si>
  <si>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</si>
  <si>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</si>
  <si>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</si>
  <si>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</si>
  <si>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</si>
  <si>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</si>
  <si>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</si>
  <si>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</si>
  <si>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</si>
  <si>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</si>
  <si>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</si>
  <si>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</si>
  <si>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</si>
  <si>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</si>
  <si>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</si>
  <si>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</si>
  <si>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</si>
  <si>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</si>
  <si>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</si>
  <si>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</si>
  <si>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</si>
  <si>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</si>
  <si>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</si>
  <si>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</si>
  <si>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</si>
  <si>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</si>
  <si>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</si>
  <si>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</si>
  <si>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</si>
  <si>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</si>
  <si>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</si>
  <si>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</si>
  <si>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</si>
  <si>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</si>
  <si>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</si>
  <si>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</si>
  <si>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</si>
  <si>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</si>
  <si>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</si>
  <si>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</si>
  <si>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</si>
  <si>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</si>
  <si>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</si>
  <si>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</si>
  <si>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</si>
  <si>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</si>
  <si>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</si>
  <si>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</si>
  <si>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</si>
  <si>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</si>
  <si>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</si>
  <si>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</si>
  <si>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</si>
  <si>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</si>
  <si>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</si>
  <si>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</si>
  <si>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</si>
  <si>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</si>
  <si>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</si>
  <si>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</si>
  <si>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</si>
  <si>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ORCAS_1</t>
  </si>
  <si>
    <t>ORCAS_2</t>
  </si>
  <si>
    <t>ORCAS_3</t>
  </si>
  <si>
    <t>ORCAS_4</t>
  </si>
  <si>
    <t>ORCAS_1 vs ORCAS_2</t>
  </si>
  <si>
    <t>ORCAS_1 vs ORCAS_3</t>
  </si>
  <si>
    <t>ORCAS_1 vs ORCAS_4</t>
  </si>
  <si>
    <t>ORCAS_1 vs GWO</t>
  </si>
  <si>
    <t>ORCAS_1 vs PSO</t>
  </si>
  <si>
    <t>ORCAS_1 vs GA</t>
  </si>
  <si>
    <t>ORCAS_4_1</t>
  </si>
  <si>
    <t>ORCAS_1 vs ORCAS_4_1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</si>
</sst>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"/>
  </numFmts>
  <fonts count="4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/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true" applyBorder="true" applyAlignment="true">
      <alignment horizontal="left" vertical="top"/>
    </xf>
    <xf numFmtId="0" fontId="0" fillId="0" borderId="3" xfId="0" applyBorder="true" applyAlignment="true">
      <alignment horizontal="left" vertical="top"/>
    </xf>
    <xf numFmtId="11" fontId="0" fillId="0" borderId="3" xfId="0" applyNumberFormat="true" applyBorder="true" applyAlignment="true">
      <alignment horizontal="left" vertical="top"/>
    </xf>
    <xf numFmtId="0" fontId="0" fillId="0" borderId="1" xfId="0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164" fontId="0" fillId="0" borderId="4" xfId="0" applyNumberFormat="true" applyBorder="true" applyAlignment="true">
      <alignment horizontal="left" vertical="top"/>
    </xf>
    <xf numFmtId="0" fontId="0" fillId="0" borderId="0" xfId="0" applyAlignment="true">
      <alignment horizontal="left" vertical="top"/>
    </xf>
    <xf numFmtId="2" fontId="0" fillId="0" borderId="0" xfId="0" applyNumberFormat="true" applyAlignment="true">
      <alignment horizontal="left" vertical="top"/>
    </xf>
    <xf numFmtId="11" fontId="0" fillId="0" borderId="5" xfId="0" applyNumberFormat="true" applyBorder="true" applyAlignment="true">
      <alignment horizontal="left" vertical="top"/>
    </xf>
    <xf numFmtId="0" fontId="0" fillId="0" borderId="5" xfId="0" applyBorder="true" applyAlignment="true">
      <alignment horizontal="left" vertical="top"/>
    </xf>
    <xf numFmtId="11" fontId="0" fillId="0" borderId="4" xfId="0" applyNumberFormat="true" applyBorder="true" applyAlignment="true">
      <alignment horizontal="left" vertical="top"/>
    </xf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3" xfId="0" applyBorder="true" applyAlignment="true">
      <alignment horizontal="left" vertical="top"/>
    </xf>
    <xf numFmtId="0" fontId="0" fillId="0" borderId="5" xfId="0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0" fontId="1" fillId="0" borderId="2" xfId="0" applyFont="true" applyBorder="true" applyAlignment="true">
      <alignment horizontal="left" vertical="top"/>
    </xf>
    <xf numFmtId="11" fontId="2" fillId="0" borderId="6" xfId="0" applyNumberFormat="true" applyFont="true" applyBorder="true" applyAlignment="true">
      <alignment horizontal="left" vertical="top"/>
    </xf>
    <xf numFmtId="0" fontId="1" fillId="0" borderId="4" xfId="0" applyFont="true" applyBorder="true" applyAlignment="true">
      <alignment horizontal="left" vertical="top" wrapText="true"/>
    </xf>
    <xf numFmtId="0" fontId="1" fillId="0" borderId="3" xfId="0" applyFont="true" applyBorder="true" applyAlignment="true">
      <alignment horizontal="left" vertical="top" wrapText="true"/>
    </xf>
    <xf numFmtId="0" fontId="1" fillId="0" borderId="1" xfId="0" applyFont="true" applyBorder="true" applyAlignment="true">
      <alignment horizontal="left" vertical="top" wrapText="true"/>
    </xf>
    <xf numFmtId="0" fontId="1" fillId="0" borderId="5" xfId="0" applyFont="true" applyBorder="true" applyAlignment="true">
      <alignment horizontal="left" vertical="top" wrapText="true"/>
    </xf>
    <xf numFmtId="0" fontId="1" fillId="0" borderId="5" xfId="0" applyFont="true" applyBorder="true" applyAlignment="true">
      <alignment horizontal="left" vertical="top"/>
    </xf>
    <xf numFmtId="0" fontId="2" fillId="0" borderId="6" xfId="0" applyFont="true" applyBorder="true" applyAlignment="true">
      <alignment horizontal="left" vertical="top"/>
    </xf>
    <xf numFmtId="1" fontId="0" fillId="0" borderId="3" xfId="0" applyNumberFormat="true" applyBorder="true" applyAlignment="true">
      <alignment horizontal="left" vertical="top"/>
    </xf>
    <xf numFmtId="1" fontId="0" fillId="0" borderId="5" xfId="0" applyNumberFormat="true" applyBorder="true" applyAlignment="true">
      <alignment horizontal="left" vertical="top"/>
    </xf>
    <xf numFmtId="1" fontId="0" fillId="0" borderId="4" xfId="0" applyNumberFormat="true" applyBorder="true" applyAlignment="true">
      <alignment horizontal="left" vertical="top"/>
    </xf>
    <xf numFmtId="22" fontId="0" fillId="0" borderId="7" xfId="0" applyNumberFormat="true"/>
  </cellXfs>
  <cellStyles count="1">
    <cellStyle name="Normal" xfId="0" builtinId="0"/>
  </cellStyles>
  <dxfs count="19"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alignment horizontal="left" vertical="top" textRotation="0" wrapText="false" indent="0" justifyLastLine="false" shrinkToFit="false" readingOrder="0"/>
    </dxf>
    <dxf>
      <alignment horizontal="left" vertical="top" textRotation="0" wrapText="false" indent="0" justifyLastLine="false" shrinkToFit="false" readingOrder="0"/>
    </dxf>
    <dxf>
      <border outline="false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false" shrinkToFit="false" readingOrder="0"/>
    </dxf>
    <dxf>
      <alignment horizontal="left" vertical="top" textRotation="0" indent="0" justifyLastLine="false" shrinkToFit="false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ables/table1.xml><?xml version="1.0" encoding="utf-8"?>
<table xmlns="http://schemas.openxmlformats.org/spreadsheetml/2006/main" xmlns:r="http://schemas.openxmlformats.org/officeDocument/2006/relationships" xmlns:xdr="http://schemas.openxmlformats.org/drawingml/2006/spreadsheetDrawing" id="1" name="Table1" displayName="Table1" ref="S2:T32" totalsRowShown="false" headerRowDxfId="18" dataDxfId="17" tableBorderDxfId="16">
  <autoFilter ref="S2:T32"/>
  <tableColumns count="2">
    <tableColumn id="1" name="Column1" dataDxfId="15"/>
    <tableColumn id="2" name="Column2" dataDxfId="14"/>
  </tableColumns>
  <tableStyleInfo name="TableStyleMedium2" showFirstColumn="false" showLastColumn="false" showRowStripes="true" showColumnStripes="false"/>
</table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2"/>
  <sheetViews>
    <sheetView tabSelected="true" workbookViewId="0">
      <selection activeCell="N34" sqref="N34"/>
    </sheetView>
  </sheetViews>
  <sheetFormatPr xmlns:x14ac="http://schemas.microsoft.com/office/spreadsheetml/2009/9/ac" defaultRowHeight="14.4" x14ac:dyDescent="0.3"/>
  <cols>
    <col min="1" max="1" width="10.33203125" style="7" bestFit="true" customWidth="true"/>
    <col min="2" max="2" width="3.88671875" style="7" bestFit="true" customWidth="true"/>
    <col min="3" max="3" width="5.6640625" style="7" bestFit="true" customWidth="true"/>
    <col min="4" max="4" width="8.5546875" style="7" bestFit="true" customWidth="true"/>
    <col min="13" max="13" width="8.7109375" style="7" bestFit="true" customWidth="true"/>
    <col min="19" max="20" width="10.44140625" style="7" customWidth="true"/>
    <col min="21" max="22" width="8.88671875" style="7"/>
    <col min="23" max="31" width="10.33203125" bestFit="true" customWidth="true"/>
    <col min="32" max="33" width="11.33203125" bestFit="true" customWidth="true"/>
    <col min="34" max="37" width="11.33203125" style="7" bestFit="true" customWidth="true"/>
    <col min="38" max="16384" width="8.88671875" style="7"/>
    <col min="5" max="5" width="8.5546875" style="7" bestFit="true" customWidth="true"/>
    <col min="6" max="6" width="8.5546875" style="7" bestFit="true" customWidth="true"/>
    <col min="7" max="7" width="8.5546875" style="7" bestFit="true" customWidth="true"/>
    <col min="8" max="8" width="10.5546875" style="7" bestFit="true" customWidth="true"/>
    <col min="9" max="9" width="8.5546875" style="7" bestFit="true" customWidth="true"/>
    <col min="10" max="10" width="8.5546875" style="7" bestFit="true" customWidth="true"/>
    <col min="11" max="11" width="8.5546875" style="7" bestFit="true" customWidth="true"/>
    <col min="12" max="12" width="8.7109375" style="7" bestFit="true" customWidth="true"/>
    <col min="14" max="18" width="11.33203125" style="7" bestFit="true" customWidth="true"/>
  </cols>
  <sheetData>
    <row xmlns:x14ac="http://schemas.microsoft.com/office/spreadsheetml/2009/9/ac" r="1" ht="15" thickBot="true" x14ac:dyDescent="0.35">
      <c r="A1" s="19" t="s">
        <v>17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xmlns:x14ac="http://schemas.microsoft.com/office/spreadsheetml/2009/9/ac" r="2" x14ac:dyDescent="0.3">
      <c r="A2" s="18" t="s">
        <v>13</v>
      </c>
      <c r="B2" s="18"/>
      <c r="C2" s="18"/>
      <c r="D2" s="1" t="s">
        <v>459</v>
      </c>
      <c r="E2" s="1" t="s">
        <v>460</v>
      </c>
      <c r="F2" s="1" t="s">
        <v>461</v>
      </c>
      <c r="G2" s="1" t="s">
        <v>462</v>
      </c>
      <c r="H2" s="1" t="s">
        <v>469</v>
      </c>
      <c r="I2" s="1" t="s">
        <v>371</v>
      </c>
      <c r="J2" s="1" t="s">
        <v>372</v>
      </c>
      <c r="K2" s="1" t="s">
        <v>373</v>
      </c>
      <c r="L2" s="1" t="s">
        <v>221</v>
      </c>
      <c r="M2" s="1" t="s">
        <v>222</v>
      </c>
      <c r="N2" s="1" t="s">
        <v>164</v>
      </c>
      <c r="O2" s="1" t="s">
        <v>165</v>
      </c>
      <c r="P2" s="1" t="s">
        <v>166</v>
      </c>
      <c r="Q2" s="1" t="s">
        <v>167</v>
      </c>
      <c r="R2" s="1" t="s">
        <v>168</v>
      </c>
      <c r="S2" s="4" t="s">
        <v>14</v>
      </c>
      <c r="T2" s="4" t="s">
        <v>15</v>
      </c>
      <c r="W2" s="1" t="s">
        <v>154</v>
      </c>
      <c r="X2" s="1" t="s">
        <v>155</v>
      </c>
      <c r="Y2" s="1" t="s">
        <v>156</v>
      </c>
      <c r="Z2" s="1" t="s">
        <v>157</v>
      </c>
      <c r="AA2" s="1" t="s">
        <v>158</v>
      </c>
      <c r="AB2" s="1" t="s">
        <v>159</v>
      </c>
      <c r="AC2" s="1" t="s">
        <v>160</v>
      </c>
      <c r="AD2" s="1" t="s">
        <v>161</v>
      </c>
      <c r="AE2" s="1" t="s">
        <v>162</v>
      </c>
      <c r="AF2" s="1" t="s">
        <v>163</v>
      </c>
      <c r="AG2" s="1" t="s">
        <v>164</v>
      </c>
      <c r="AH2" s="1" t="s">
        <v>165</v>
      </c>
      <c r="AI2" s="1" t="s">
        <v>166</v>
      </c>
      <c r="AJ2" s="1" t="s">
        <v>167</v>
      </c>
      <c r="AK2" s="1" t="s">
        <v>168</v>
      </c>
    </row>
    <row xmlns:x14ac="http://schemas.microsoft.com/office/spreadsheetml/2009/9/ac" r="3" ht="14.4" customHeight="true" x14ac:dyDescent="0.3">
      <c r="A3" s="21" t="s">
        <v>16</v>
      </c>
      <c r="B3" s="15" t="s">
        <v>439</v>
      </c>
      <c r="C3" s="2" t="s">
        <v>365</v>
      </c>
      <c r="D3" s="3">
        <v>5718141471.144352</v>
      </c>
      <c r="E3" s="3">
        <v>6350742305.3416147</v>
      </c>
      <c r="F3" s="3">
        <v>1.0000000123363895</v>
      </c>
      <c r="G3" s="3">
        <v>1</v>
      </c>
      <c r="H3" s="3">
        <v>1</v>
      </c>
      <c r="I3" s="3">
        <v>40.169240491565816</v>
      </c>
      <c r="J3" s="3">
        <v>1353787.961198936</v>
      </c>
      <c r="K3" s="3">
        <v>75625105.574166998</v>
      </c>
      <c r="L3" s="3">
        <v>3301212.339694595</v>
      </c>
      <c r="M3" s="3">
        <v>28083.29621569845</v>
      </c>
      <c r="N3" s="3"/>
      <c r="O3" s="3"/>
      <c r="P3" s="3"/>
      <c r="Q3" s="3"/>
      <c r="R3" s="3"/>
      <c r="S3" s="2" t="s">
        <v>0</v>
      </c>
      <c r="T3" s="2" t="s">
        <v>10</v>
      </c>
      <c r="W3" s="7">
        <f>_xlfn.RANK.EQ(D3,$D3:$R3,1)</f>
        <v>1</v>
      </c>
      <c r="X3" s="7">
        <f t="shared" ref="X3:AK3" si="0">_xlfn.RANK.EQ(E3,$D3:$R3,1)</f>
        <v>2</v>
      </c>
      <c r="Y3" s="7">
        <f t="shared" si="0"/>
        <v>5</v>
      </c>
      <c r="Z3" s="7">
        <f t="shared" si="0"/>
        <v>6</v>
      </c>
      <c r="AA3" s="7">
        <f t="shared" si="0"/>
        <v>8</v>
      </c>
      <c r="AB3" s="7">
        <f t="shared" si="0"/>
        <v>4</v>
      </c>
      <c r="AC3" s="7">
        <f t="shared" si="0"/>
        <v>9</v>
      </c>
      <c r="AD3" s="7">
        <f t="shared" si="0"/>
        <v>3</v>
      </c>
      <c r="AE3" s="7">
        <f t="shared" si="0"/>
        <v>7</v>
      </c>
      <c r="AF3" s="7" t="e">
        <f t="shared" si="0"/>
        <v>#N/A</v>
      </c>
      <c r="AG3" s="7" t="e">
        <f t="shared" si="0"/>
        <v>#N/A</v>
      </c>
      <c r="AH3" s="7" t="e">
        <f t="shared" si="0"/>
        <v>#N/A</v>
      </c>
      <c r="AI3" s="7" t="e">
        <f t="shared" si="0"/>
        <v>#N/A</v>
      </c>
      <c r="AJ3" s="7" t="e">
        <f t="shared" si="0"/>
        <v>#N/A</v>
      </c>
      <c r="AK3" s="7" t="e">
        <f t="shared" si="0"/>
        <v>#N/A</v>
      </c>
    </row>
    <row xmlns:x14ac="http://schemas.microsoft.com/office/spreadsheetml/2009/9/ac" r="4" x14ac:dyDescent="0.3">
      <c r="A4" s="22"/>
      <c r="B4" s="16" t="s">
        <v>439</v>
      </c>
      <c r="C4" s="4" t="s">
        <v>366</v>
      </c>
      <c r="D4" s="9">
        <v>4690638854.1598806</v>
      </c>
      <c r="E4" s="9">
        <v>4350828393.8514528</v>
      </c>
      <c r="F4" s="9">
        <v>1.252652366937027e-08</v>
      </c>
      <c r="G4" s="9">
        <v>0</v>
      </c>
      <c r="H4" s="9">
        <v>0</v>
      </c>
      <c r="I4" s="9">
        <v>32.063203737966433</v>
      </c>
      <c r="J4" s="9">
        <v>702603.36139731144</v>
      </c>
      <c r="K4" s="9">
        <v>42250619.255206779</v>
      </c>
      <c r="L4" s="9">
        <v>2623342.520874578</v>
      </c>
      <c r="M4" s="9">
        <v>55290.085292195443</v>
      </c>
      <c r="N4" s="9"/>
      <c r="O4" s="9"/>
      <c r="P4" s="9"/>
      <c r="Q4" s="9"/>
      <c r="R4" s="9"/>
      <c r="S4" s="4"/>
      <c r="T4" s="4" t="s">
        <v>11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xmlns:x14ac="http://schemas.microsoft.com/office/spreadsheetml/2009/9/ac" r="5" x14ac:dyDescent="0.3">
      <c r="A5" s="22"/>
      <c r="B5" s="17" t="s">
        <v>439</v>
      </c>
      <c r="C5" s="5" t="s">
        <v>367</v>
      </c>
      <c r="D5" s="6">
        <v>0.61979166666666663</v>
      </c>
      <c r="E5" s="6">
        <v>0.48958333333333331</v>
      </c>
      <c r="F5" s="6">
        <v>0.96875</v>
      </c>
      <c r="G5" s="6">
        <v>0.93229166666666663</v>
      </c>
      <c r="H5" s="6">
        <v>0.68229166666666663</v>
      </c>
      <c r="I5" s="6">
        <v>0.30208333333333331</v>
      </c>
      <c r="J5" s="6">
        <v>0.40625</v>
      </c>
      <c r="K5" s="6">
        <v>0.59375</v>
      </c>
      <c r="L5" s="6">
        <v>0.42031249999999998</v>
      </c>
      <c r="M5" s="6">
        <v>0.15781249999999999</v>
      </c>
      <c r="N5" s="6"/>
      <c r="O5" s="6"/>
      <c r="P5" s="6"/>
      <c r="Q5" s="6"/>
      <c r="R5" s="6"/>
      <c r="S5" s="5"/>
      <c r="T5" s="5" t="s">
        <v>12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xmlns:x14ac="http://schemas.microsoft.com/office/spreadsheetml/2009/9/ac" r="6" x14ac:dyDescent="0.3">
      <c r="A6" s="22"/>
      <c r="B6" s="15" t="s">
        <v>440</v>
      </c>
      <c r="C6" s="2" t="s">
        <v>365</v>
      </c>
      <c r="D6" s="3">
        <v>76258.584734486474</v>
      </c>
      <c r="E6" s="3">
        <v>69508.761077886229</v>
      </c>
      <c r="F6" s="3">
        <v>5.0000502881536306</v>
      </c>
      <c r="G6" s="3">
        <v>5</v>
      </c>
      <c r="H6" s="3">
        <v>5</v>
      </c>
      <c r="I6" s="3">
        <v>388.20937491451235</v>
      </c>
      <c r="J6" s="3">
        <v>959.03577437983643</v>
      </c>
      <c r="K6" s="3">
        <v>5287.2537585700084</v>
      </c>
      <c r="L6" s="3">
        <v>1283.0027541809839</v>
      </c>
      <c r="M6" s="3">
        <v>426.64251261907492</v>
      </c>
      <c r="N6" s="3"/>
      <c r="O6" s="3"/>
      <c r="P6" s="3"/>
      <c r="Q6" s="3"/>
      <c r="R6" s="3"/>
      <c r="S6" s="2" t="s">
        <v>1</v>
      </c>
      <c r="T6" s="2" t="s">
        <v>10</v>
      </c>
      <c r="W6" s="7">
        <f t="shared" ref="W6" si="1">_xlfn.RANK.EQ(D6,$D6:$R6,1)</f>
        <v>1</v>
      </c>
      <c r="X6" s="7">
        <f t="shared" ref="X6" si="2">_xlfn.RANK.EQ(E6,$D6:$R6,1)</f>
        <v>2</v>
      </c>
      <c r="Y6" s="7">
        <f t="shared" ref="Y6" si="3">_xlfn.RANK.EQ(F6,$D6:$R6,1)</f>
        <v>4</v>
      </c>
      <c r="Z6" s="7">
        <f t="shared" ref="Z6" si="4">_xlfn.RANK.EQ(G6,$D6:$R6,1)</f>
        <v>6</v>
      </c>
      <c r="AA6" s="7">
        <f t="shared" ref="AA6" si="5">_xlfn.RANK.EQ(H6,$D6:$R6,1)</f>
        <v>8</v>
      </c>
      <c r="AB6" s="7">
        <f t="shared" ref="AB6" si="6">_xlfn.RANK.EQ(I6,$D6:$R6,1)</f>
        <v>5</v>
      </c>
      <c r="AC6" s="7">
        <f t="shared" ref="AC6" si="7">_xlfn.RANK.EQ(J6,$D6:$R6,1)</f>
        <v>9</v>
      </c>
      <c r="AD6" s="7">
        <f t="shared" ref="AD6" si="8">_xlfn.RANK.EQ(K6,$D6:$R6,1)</f>
        <v>3</v>
      </c>
      <c r="AE6" s="7">
        <f t="shared" ref="AE6" si="9">_xlfn.RANK.EQ(L6,$D6:$R6,1)</f>
        <v>7</v>
      </c>
      <c r="AF6" s="7" t="e">
        <f t="shared" ref="AF6" si="10">_xlfn.RANK.EQ(M6,$D6:$R6,1)</f>
        <v>#N/A</v>
      </c>
      <c r="AG6" s="7" t="e">
        <f t="shared" ref="AG6" si="11">_xlfn.RANK.EQ(N6,$D6:$R6,1)</f>
        <v>#N/A</v>
      </c>
      <c r="AH6" s="7" t="e">
        <f t="shared" ref="AH6" si="12">_xlfn.RANK.EQ(O6,$D6:$R6,1)</f>
        <v>#N/A</v>
      </c>
      <c r="AI6" s="7" t="e">
        <f t="shared" ref="AI6" si="13">_xlfn.RANK.EQ(P6,$D6:$R6,1)</f>
        <v>#N/A</v>
      </c>
      <c r="AJ6" s="7" t="e">
        <f t="shared" ref="AJ6" si="14">_xlfn.RANK.EQ(Q6,$D6:$R6,1)</f>
        <v>#N/A</v>
      </c>
      <c r="AK6" s="7" t="e">
        <f t="shared" ref="AK6" si="15">_xlfn.RANK.EQ(R6,$D6:$R6,1)</f>
        <v>#N/A</v>
      </c>
    </row>
    <row xmlns:x14ac="http://schemas.microsoft.com/office/spreadsheetml/2009/9/ac" r="7" x14ac:dyDescent="0.3">
      <c r="A7" s="22"/>
      <c r="B7" s="16" t="s">
        <v>440</v>
      </c>
      <c r="C7" s="4" t="s">
        <v>366</v>
      </c>
      <c r="D7" s="9">
        <v>8775.6682528714482</v>
      </c>
      <c r="E7" s="9">
        <v>5734.2443115702808</v>
      </c>
      <c r="F7" s="9">
        <v>4.6158019353377503e-05</v>
      </c>
      <c r="G7" s="9">
        <v>0</v>
      </c>
      <c r="H7" s="9">
        <v>0</v>
      </c>
      <c r="I7" s="9">
        <v>325.8162451933689</v>
      </c>
      <c r="J7" s="9">
        <v>95.813786838288749</v>
      </c>
      <c r="K7" s="9">
        <v>4594.5761909367375</v>
      </c>
      <c r="L7" s="9">
        <v>836.61660444044901</v>
      </c>
      <c r="M7" s="9">
        <v>218.29669889953863</v>
      </c>
      <c r="N7" s="9"/>
      <c r="O7" s="9"/>
      <c r="P7" s="9"/>
      <c r="Q7" s="9"/>
      <c r="R7" s="9"/>
      <c r="S7" s="4"/>
      <c r="T7" s="4" t="s">
        <v>11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xmlns:x14ac="http://schemas.microsoft.com/office/spreadsheetml/2009/9/ac" r="8" x14ac:dyDescent="0.3">
      <c r="A8" s="22"/>
      <c r="B8" s="17" t="s">
        <v>440</v>
      </c>
      <c r="C8" s="5" t="s">
        <v>367</v>
      </c>
      <c r="D8" s="6">
        <v>0.33854166666666669</v>
      </c>
      <c r="E8" s="6">
        <v>0.171875</v>
      </c>
      <c r="F8" s="6">
        <v>0.36979166666666669</v>
      </c>
      <c r="G8" s="6">
        <v>0.40104166666666669</v>
      </c>
      <c r="H8" s="6">
        <v>0.42708333333333331</v>
      </c>
      <c r="I8" s="6">
        <v>0.203125</v>
      </c>
      <c r="J8" s="6">
        <v>0.171875</v>
      </c>
      <c r="K8" s="6">
        <v>0.15625</v>
      </c>
      <c r="L8" s="6">
        <v>0.46562500000000001</v>
      </c>
      <c r="M8" s="6">
        <v>0.13593749999999999</v>
      </c>
      <c r="N8" s="6"/>
      <c r="O8" s="6"/>
      <c r="P8" s="6"/>
      <c r="Q8" s="6"/>
      <c r="R8" s="6"/>
      <c r="S8" s="5"/>
      <c r="T8" s="5" t="s">
        <v>12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xmlns:x14ac="http://schemas.microsoft.com/office/spreadsheetml/2009/9/ac" r="9" ht="14.4" customHeight="true" x14ac:dyDescent="0.3">
      <c r="A9" s="22"/>
      <c r="B9" s="15" t="s">
        <v>441</v>
      </c>
      <c r="C9" s="2" t="s">
        <v>365</v>
      </c>
      <c r="D9" s="3">
        <v>11.178705355863903</v>
      </c>
      <c r="E9" s="3">
        <v>10.739655397470882</v>
      </c>
      <c r="F9" s="3">
        <v>10.427873058736395</v>
      </c>
      <c r="G9" s="3">
        <v>9.0371818665180843</v>
      </c>
      <c r="H9" s="3">
        <v>7.5509397647401011</v>
      </c>
      <c r="I9" s="3">
        <v>3.3612295286353855</v>
      </c>
      <c r="J9" s="3">
        <v>6.2176363530599685</v>
      </c>
      <c r="K9" s="3">
        <v>6.4908367382813408</v>
      </c>
      <c r="L9" s="3">
        <v>4.1300777007677967</v>
      </c>
      <c r="M9" s="3">
        <v>2.4464664287932467</v>
      </c>
      <c r="N9" s="3"/>
      <c r="O9" s="3"/>
      <c r="P9" s="3"/>
      <c r="Q9" s="3"/>
      <c r="R9" s="3"/>
      <c r="S9" s="2" t="s">
        <v>2</v>
      </c>
      <c r="T9" s="2" t="s">
        <v>10</v>
      </c>
      <c r="W9" s="7">
        <f t="shared" ref="W9" si="16">_xlfn.RANK.EQ(D9,$D9:$R9,1)</f>
        <v>1</v>
      </c>
      <c r="X9" s="7">
        <f t="shared" ref="X9" si="17">_xlfn.RANK.EQ(E9,$D9:$R9,1)</f>
        <v>2</v>
      </c>
      <c r="Y9" s="7">
        <f t="shared" ref="Y9" si="18">_xlfn.RANK.EQ(F9,$D9:$R9,1)</f>
        <v>3</v>
      </c>
      <c r="Z9" s="7">
        <f t="shared" ref="Z9" si="19">_xlfn.RANK.EQ(G9,$D9:$R9,1)</f>
        <v>7</v>
      </c>
      <c r="AA9" s="7">
        <f t="shared" ref="AA9" si="20">_xlfn.RANK.EQ(H9,$D9:$R9,1)</f>
        <v>8</v>
      </c>
      <c r="AB9" s="7">
        <f t="shared" ref="AB9" si="21">_xlfn.RANK.EQ(I9,$D9:$R9,1)</f>
        <v>4</v>
      </c>
      <c r="AC9" s="7">
        <f t="shared" ref="AC9" si="22">_xlfn.RANK.EQ(J9,$D9:$R9,1)</f>
        <v>9</v>
      </c>
      <c r="AD9" s="7">
        <f t="shared" ref="AD9" si="23">_xlfn.RANK.EQ(K9,$D9:$R9,1)</f>
        <v>5</v>
      </c>
      <c r="AE9" s="7">
        <f t="shared" ref="AE9" si="24">_xlfn.RANK.EQ(L9,$D9:$R9,1)</f>
        <v>6</v>
      </c>
      <c r="AF9" s="7" t="e">
        <f t="shared" ref="AF9" si="25">_xlfn.RANK.EQ(M9,$D9:$R9,1)</f>
        <v>#N/A</v>
      </c>
      <c r="AG9" s="7" t="e">
        <f t="shared" ref="AG9" si="26">_xlfn.RANK.EQ(N9,$D9:$R9,1)</f>
        <v>#N/A</v>
      </c>
      <c r="AH9" s="7" t="e">
        <f t="shared" ref="AH9" si="27">_xlfn.RANK.EQ(O9,$D9:$R9,1)</f>
        <v>#N/A</v>
      </c>
      <c r="AI9" s="7" t="e">
        <f t="shared" ref="AI9" si="28">_xlfn.RANK.EQ(P9,$D9:$R9,1)</f>
        <v>#N/A</v>
      </c>
      <c r="AJ9" s="7" t="e">
        <f t="shared" ref="AJ9" si="29">_xlfn.RANK.EQ(Q9,$D9:$R9,1)</f>
        <v>#N/A</v>
      </c>
      <c r="AK9" s="7" t="e">
        <f t="shared" ref="AK9" si="30">_xlfn.RANK.EQ(R9,$D9:$R9,1)</f>
        <v>#N/A</v>
      </c>
    </row>
    <row xmlns:x14ac="http://schemas.microsoft.com/office/spreadsheetml/2009/9/ac" r="10" x14ac:dyDescent="0.3">
      <c r="A10" s="22"/>
      <c r="B10" s="16" t="s">
        <v>441</v>
      </c>
      <c r="C10" s="4" t="s">
        <v>366</v>
      </c>
      <c r="D10" s="9">
        <v>0.52496344359766056</v>
      </c>
      <c r="E10" s="9">
        <v>1.453950773238454</v>
      </c>
      <c r="F10" s="9">
        <v>1.3036780722598613</v>
      </c>
      <c r="G10" s="9">
        <v>0.44000960257254995</v>
      </c>
      <c r="H10" s="9">
        <v>1.6259598566619129</v>
      </c>
      <c r="I10" s="9">
        <v>1.860913821358505</v>
      </c>
      <c r="J10" s="9">
        <v>1.3001586256004487</v>
      </c>
      <c r="K10" s="9">
        <v>2.2891016672330555</v>
      </c>
      <c r="L10" s="9">
        <v>2.1458181319334413</v>
      </c>
      <c r="M10" s="9">
        <v>1.4752330572580554</v>
      </c>
      <c r="N10" s="9"/>
      <c r="O10" s="9"/>
      <c r="P10" s="9"/>
      <c r="Q10" s="9"/>
      <c r="R10" s="9"/>
      <c r="S10" s="4"/>
      <c r="T10" s="4" t="s">
        <v>11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xmlns:x14ac="http://schemas.microsoft.com/office/spreadsheetml/2009/9/ac" r="11" x14ac:dyDescent="0.3">
      <c r="A11" s="22"/>
      <c r="B11" s="17" t="s">
        <v>441</v>
      </c>
      <c r="C11" s="5" t="s">
        <v>367</v>
      </c>
      <c r="D11" s="6">
        <v>0.18229166666666666</v>
      </c>
      <c r="E11" s="6">
        <v>0.1875</v>
      </c>
      <c r="F11" s="6">
        <v>0.390625</v>
      </c>
      <c r="G11" s="6">
        <v>0.359375</v>
      </c>
      <c r="H11" s="6">
        <v>0.34375</v>
      </c>
      <c r="I11" s="6">
        <v>0.13541666666666666</v>
      </c>
      <c r="J11" s="6">
        <v>0.16666666666666666</v>
      </c>
      <c r="K11" s="6">
        <v>0.13541666666666666</v>
      </c>
      <c r="L11" s="6">
        <v>0.4609375</v>
      </c>
      <c r="M11" s="6">
        <v>0.14635416666666667</v>
      </c>
      <c r="N11" s="6"/>
      <c r="O11" s="6"/>
      <c r="P11" s="6"/>
      <c r="Q11" s="6"/>
      <c r="R11" s="6"/>
      <c r="S11" s="5"/>
      <c r="T11" s="5" t="s">
        <v>12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xmlns:x14ac="http://schemas.microsoft.com/office/spreadsheetml/2009/9/ac" r="12" ht="14.4" customHeight="true" x14ac:dyDescent="0.3">
      <c r="A12" s="22"/>
      <c r="B12" s="15" t="s">
        <v>442</v>
      </c>
      <c r="C12" s="2" t="s">
        <v>365</v>
      </c>
      <c r="D12" s="3">
        <v>138.44845009065276</v>
      </c>
      <c r="E12" s="3">
        <v>147.68650206440284</v>
      </c>
      <c r="F12" s="3">
        <v>138.35802571147138</v>
      </c>
      <c r="G12" s="3">
        <v>123.58524892900158</v>
      </c>
      <c r="H12" s="3">
        <v>117.31054147248723</v>
      </c>
      <c r="I12" s="3">
        <v>15.044159004978239</v>
      </c>
      <c r="J12" s="3">
        <v>10.184050067552603</v>
      </c>
      <c r="K12" s="3">
        <v>27.12736723877606</v>
      </c>
      <c r="L12" s="3">
        <v>33.13193121533191</v>
      </c>
      <c r="M12" s="3">
        <v>22.696283988313485</v>
      </c>
      <c r="N12" s="3"/>
      <c r="O12" s="3"/>
      <c r="P12" s="3"/>
      <c r="Q12" s="3"/>
      <c r="R12" s="3"/>
      <c r="S12" s="2" t="s">
        <v>3</v>
      </c>
      <c r="T12" s="2" t="s">
        <v>10</v>
      </c>
      <c r="W12" s="7">
        <f t="shared" ref="W12" si="31">_xlfn.RANK.EQ(D12,$D12:$R12,1)</f>
        <v>6</v>
      </c>
      <c r="X12" s="7">
        <f t="shared" ref="X12" si="32">_xlfn.RANK.EQ(E12,$D12:$R12,1)</f>
        <v>2</v>
      </c>
      <c r="Y12" s="7">
        <f t="shared" ref="Y12" si="33">_xlfn.RANK.EQ(F12,$D12:$R12,1)</f>
        <v>7</v>
      </c>
      <c r="Z12" s="7">
        <f t="shared" ref="Z12" si="34">_xlfn.RANK.EQ(G12,$D12:$R12,1)</f>
        <v>3</v>
      </c>
      <c r="AA12" s="7">
        <f t="shared" ref="AA12" si="35">_xlfn.RANK.EQ(H12,$D12:$R12,1)</f>
        <v>8</v>
      </c>
      <c r="AB12" s="7">
        <f t="shared" ref="AB12" si="36">_xlfn.RANK.EQ(I12,$D12:$R12,1)</f>
        <v>5</v>
      </c>
      <c r="AC12" s="7">
        <f t="shared" ref="AC12" si="37">_xlfn.RANK.EQ(J12,$D12:$R12,1)</f>
        <v>9</v>
      </c>
      <c r="AD12" s="7">
        <f t="shared" ref="AD12" si="38">_xlfn.RANK.EQ(K12,$D12:$R12,1)</f>
        <v>1</v>
      </c>
      <c r="AE12" s="7">
        <f t="shared" ref="AE12" si="39">_xlfn.RANK.EQ(L12,$D12:$R12,1)</f>
        <v>4</v>
      </c>
      <c r="AF12" s="7" t="e">
        <f t="shared" ref="AF12" si="40">_xlfn.RANK.EQ(M12,$D12:$R12,1)</f>
        <v>#N/A</v>
      </c>
      <c r="AG12" s="7" t="e">
        <f t="shared" ref="AG12" si="41">_xlfn.RANK.EQ(N12,$D12:$R12,1)</f>
        <v>#N/A</v>
      </c>
      <c r="AH12" s="7" t="e">
        <f t="shared" ref="AH12" si="42">_xlfn.RANK.EQ(O12,$D12:$R12,1)</f>
        <v>#N/A</v>
      </c>
      <c r="AI12" s="7" t="e">
        <f t="shared" ref="AI12" si="43">_xlfn.RANK.EQ(P12,$D12:$R12,1)</f>
        <v>#N/A</v>
      </c>
      <c r="AJ12" s="7" t="e">
        <f t="shared" ref="AJ12" si="44">_xlfn.RANK.EQ(Q12,$D12:$R12,1)</f>
        <v>#N/A</v>
      </c>
      <c r="AK12" s="7" t="e">
        <f t="shared" ref="AK12" si="45">_xlfn.RANK.EQ(R12,$D12:$R12,1)</f>
        <v>#N/A</v>
      </c>
    </row>
    <row xmlns:x14ac="http://schemas.microsoft.com/office/spreadsheetml/2009/9/ac" r="13" x14ac:dyDescent="0.3">
      <c r="A13" s="22"/>
      <c r="B13" s="16" t="s">
        <v>442</v>
      </c>
      <c r="C13" s="4" t="s">
        <v>366</v>
      </c>
      <c r="D13" s="9">
        <v>16.176633682806308</v>
      </c>
      <c r="E13" s="9">
        <v>7.6582978805876412</v>
      </c>
      <c r="F13" s="9">
        <v>3.1436760586490853</v>
      </c>
      <c r="G13" s="9">
        <v>33.230996854242292</v>
      </c>
      <c r="H13" s="9">
        <v>6.2225199695565019</v>
      </c>
      <c r="I13" s="9">
        <v>9.6827777042196264</v>
      </c>
      <c r="J13" s="9">
        <v>3.8086333238610792</v>
      </c>
      <c r="K13" s="9">
        <v>6.1780052421126905</v>
      </c>
      <c r="L13" s="9">
        <v>11.837415731185736</v>
      </c>
      <c r="M13" s="9">
        <v>9.6950973298288048</v>
      </c>
      <c r="N13" s="9"/>
      <c r="O13" s="9"/>
      <c r="P13" s="9"/>
      <c r="Q13" s="9"/>
      <c r="R13" s="9"/>
      <c r="S13" s="4"/>
      <c r="T13" s="4" t="s">
        <v>11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xmlns:x14ac="http://schemas.microsoft.com/office/spreadsheetml/2009/9/ac" r="14" x14ac:dyDescent="0.3">
      <c r="A14" s="22"/>
      <c r="B14" s="17" t="s">
        <v>442</v>
      </c>
      <c r="C14" s="5" t="s">
        <v>367</v>
      </c>
      <c r="D14" s="6">
        <v>0.203125</v>
      </c>
      <c r="E14" s="6">
        <v>0.16145833333333334</v>
      </c>
      <c r="F14" s="6">
        <v>0.35416666666666669</v>
      </c>
      <c r="G14" s="6">
        <v>0.359375</v>
      </c>
      <c r="H14" s="6">
        <v>0.359375</v>
      </c>
      <c r="I14" s="6">
        <v>0.11979166666666667</v>
      </c>
      <c r="J14" s="6">
        <v>0.16666666666666666</v>
      </c>
      <c r="K14" s="6">
        <v>0.140625</v>
      </c>
      <c r="L14" s="6">
        <v>0.34531250000000002</v>
      </c>
      <c r="M14" s="6">
        <v>0.10416666666666667</v>
      </c>
      <c r="N14" s="6"/>
      <c r="O14" s="6"/>
      <c r="P14" s="6"/>
      <c r="Q14" s="6"/>
      <c r="R14" s="6"/>
      <c r="S14" s="5"/>
      <c r="T14" s="5" t="s">
        <v>12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xmlns:x14ac="http://schemas.microsoft.com/office/spreadsheetml/2009/9/ac" r="15" x14ac:dyDescent="0.3">
      <c r="A15" s="22"/>
      <c r="B15" s="15" t="s">
        <v>443</v>
      </c>
      <c r="C15" s="2" t="s">
        <v>365</v>
      </c>
      <c r="D15" s="3">
        <v>212.02613417655144</v>
      </c>
      <c r="E15" s="3">
        <v>205.61117531547018</v>
      </c>
      <c r="F15" s="3">
        <v>198.9175301100945</v>
      </c>
      <c r="G15" s="3">
        <v>146.47412352473449</v>
      </c>
      <c r="H15" s="3">
        <v>124.98659961619224</v>
      </c>
      <c r="I15" s="3">
        <v>1.8718449769812278</v>
      </c>
      <c r="J15" s="3">
        <v>1.0705145141643577</v>
      </c>
      <c r="K15" s="3">
        <v>2.516394714274742</v>
      </c>
      <c r="L15" s="3">
        <v>1.3103335231054236</v>
      </c>
      <c r="M15" s="3">
        <v>2.4454423303035058</v>
      </c>
      <c r="N15" s="3"/>
      <c r="O15" s="3"/>
      <c r="P15" s="3"/>
      <c r="Q15" s="3"/>
      <c r="R15" s="3"/>
      <c r="S15" s="2" t="s">
        <v>4</v>
      </c>
      <c r="T15" s="2" t="s">
        <v>10</v>
      </c>
      <c r="W15" s="7">
        <f t="shared" ref="W15" si="46">_xlfn.RANK.EQ(D15,$D15:$R15,1)</f>
        <v>4</v>
      </c>
      <c r="X15" s="7">
        <f t="shared" ref="X15" si="47">_xlfn.RANK.EQ(E15,$D15:$R15,1)</f>
        <v>2</v>
      </c>
      <c r="Y15" s="7">
        <f t="shared" ref="Y15" si="48">_xlfn.RANK.EQ(F15,$D15:$R15,1)</f>
        <v>6</v>
      </c>
      <c r="Z15" s="7">
        <f t="shared" ref="Z15" si="49">_xlfn.RANK.EQ(G15,$D15:$R15,1)</f>
        <v>7</v>
      </c>
      <c r="AA15" s="7">
        <f t="shared" ref="AA15" si="50">_xlfn.RANK.EQ(H15,$D15:$R15,1)</f>
        <v>9</v>
      </c>
      <c r="AB15" s="7">
        <f t="shared" ref="AB15" si="51">_xlfn.RANK.EQ(I15,$D15:$R15,1)</f>
        <v>5</v>
      </c>
      <c r="AC15" s="7">
        <f t="shared" ref="AC15" si="52">_xlfn.RANK.EQ(J15,$D15:$R15,1)</f>
        <v>1</v>
      </c>
      <c r="AD15" s="7">
        <f t="shared" ref="AD15" si="53">_xlfn.RANK.EQ(K15,$D15:$R15,1)</f>
        <v>3</v>
      </c>
      <c r="AE15" s="7">
        <f t="shared" ref="AE15" si="54">_xlfn.RANK.EQ(L15,$D15:$R15,1)</f>
        <v>8</v>
      </c>
      <c r="AF15" s="7" t="e">
        <f t="shared" ref="AF15" si="55">_xlfn.RANK.EQ(M15,$D15:$R15,1)</f>
        <v>#N/A</v>
      </c>
      <c r="AG15" s="7" t="e">
        <f t="shared" ref="AG15" si="56">_xlfn.RANK.EQ(N15,$D15:$R15,1)</f>
        <v>#N/A</v>
      </c>
      <c r="AH15" s="7" t="e">
        <f t="shared" ref="AH15" si="57">_xlfn.RANK.EQ(O15,$D15:$R15,1)</f>
        <v>#N/A</v>
      </c>
      <c r="AI15" s="7" t="e">
        <f t="shared" ref="AI15" si="58">_xlfn.RANK.EQ(P15,$D15:$R15,1)</f>
        <v>#N/A</v>
      </c>
      <c r="AJ15" s="7" t="e">
        <f t="shared" ref="AJ15" si="59">_xlfn.RANK.EQ(Q15,$D15:$R15,1)</f>
        <v>#N/A</v>
      </c>
      <c r="AK15" s="7" t="e">
        <f t="shared" ref="AK15" si="60">_xlfn.RANK.EQ(R15,$D15:$R15,1)</f>
        <v>#N/A</v>
      </c>
    </row>
    <row xmlns:x14ac="http://schemas.microsoft.com/office/spreadsheetml/2009/9/ac" r="16" x14ac:dyDescent="0.3">
      <c r="A16" s="22"/>
      <c r="B16" s="16" t="s">
        <v>443</v>
      </c>
      <c r="C16" s="4" t="s">
        <v>366</v>
      </c>
      <c r="D16" s="9">
        <v>15.102216591665051</v>
      </c>
      <c r="E16" s="9">
        <v>27.646415426604737</v>
      </c>
      <c r="F16" s="9">
        <v>1.7355057250749857</v>
      </c>
      <c r="G16" s="9">
        <v>19.427266854154272</v>
      </c>
      <c r="H16" s="9">
        <v>48.96753978148417</v>
      </c>
      <c r="I16" s="9">
        <v>0.088053945511128509</v>
      </c>
      <c r="J16" s="9">
        <v>0.028273097254731764</v>
      </c>
      <c r="K16" s="9">
        <v>0.39844465288728592</v>
      </c>
      <c r="L16" s="9">
        <v>0.17087579462473496</v>
      </c>
      <c r="M16" s="9">
        <v>2.6025656175920737</v>
      </c>
      <c r="N16" s="9"/>
      <c r="O16" s="9"/>
      <c r="P16" s="9"/>
      <c r="Q16" s="9"/>
      <c r="R16" s="9"/>
      <c r="S16" s="4"/>
      <c r="T16" s="4" t="s">
        <v>11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xmlns:x14ac="http://schemas.microsoft.com/office/spreadsheetml/2009/9/ac" r="17" x14ac:dyDescent="0.3">
      <c r="A17" s="22"/>
      <c r="B17" s="17" t="s">
        <v>443</v>
      </c>
      <c r="C17" s="5" t="s">
        <v>367</v>
      </c>
      <c r="D17" s="6">
        <v>0.203125</v>
      </c>
      <c r="E17" s="6">
        <v>0.30729166666666669</v>
      </c>
      <c r="F17" s="6">
        <v>0.38020833333333331</v>
      </c>
      <c r="G17" s="6">
        <v>0.36979166666666669</v>
      </c>
      <c r="H17" s="6">
        <v>0.35416666666666669</v>
      </c>
      <c r="I17" s="6">
        <v>0.125</v>
      </c>
      <c r="J17" s="6">
        <v>0.14583333333333334</v>
      </c>
      <c r="K17" s="6">
        <v>0.13020833333333334</v>
      </c>
      <c r="L17" s="6">
        <v>0.34687499999999999</v>
      </c>
      <c r="M17" s="6">
        <v>0.10989583333333333</v>
      </c>
      <c r="N17" s="6"/>
      <c r="O17" s="6"/>
      <c r="P17" s="6"/>
      <c r="Q17" s="6"/>
      <c r="R17" s="6"/>
      <c r="S17" s="5"/>
      <c r="T17" s="5" t="s">
        <v>12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xmlns:x14ac="http://schemas.microsoft.com/office/spreadsheetml/2009/9/ac" r="18" x14ac:dyDescent="0.3">
      <c r="A18" s="22"/>
      <c r="B18" s="15" t="s">
        <v>444</v>
      </c>
      <c r="C18" s="2" t="s">
        <v>365</v>
      </c>
      <c r="D18" s="3">
        <v>15.535356699180559</v>
      </c>
      <c r="E18" s="3">
        <v>15.666113574744633</v>
      </c>
      <c r="F18" s="3">
        <v>14.156270753488629</v>
      </c>
      <c r="G18" s="3">
        <v>13.16182882445384</v>
      </c>
      <c r="H18" s="3">
        <v>11.640732596127727</v>
      </c>
      <c r="I18" s="3">
        <v>3.4454231934940354</v>
      </c>
      <c r="J18" s="3">
        <v>1.7083849163876472</v>
      </c>
      <c r="K18" s="3">
        <v>6.3109709416667528</v>
      </c>
      <c r="L18" s="3">
        <v>6.2737692465647505</v>
      </c>
      <c r="M18" s="3">
        <v>2.5342161572352446</v>
      </c>
      <c r="N18" s="3"/>
      <c r="O18" s="3"/>
      <c r="P18" s="3"/>
      <c r="Q18" s="3"/>
      <c r="R18" s="3"/>
      <c r="S18" s="2" t="s">
        <v>5</v>
      </c>
      <c r="T18" s="2" t="s">
        <v>10</v>
      </c>
      <c r="W18" s="7">
        <f t="shared" ref="W18" si="61">_xlfn.RANK.EQ(D18,$D18:$R18,1)</f>
        <v>4</v>
      </c>
      <c r="X18" s="7">
        <f t="shared" ref="X18" si="62">_xlfn.RANK.EQ(E18,$D18:$R18,1)</f>
        <v>3</v>
      </c>
      <c r="Y18" s="7">
        <f t="shared" ref="Y18" si="63">_xlfn.RANK.EQ(F18,$D18:$R18,1)</f>
        <v>8</v>
      </c>
      <c r="Z18" s="7">
        <f t="shared" ref="Z18" si="64">_xlfn.RANK.EQ(G18,$D18:$R18,1)</f>
        <v>1</v>
      </c>
      <c r="AA18" s="7">
        <f t="shared" ref="AA18" si="65">_xlfn.RANK.EQ(H18,$D18:$R18,1)</f>
        <v>9</v>
      </c>
      <c r="AB18" s="7">
        <f t="shared" ref="AB18" si="66">_xlfn.RANK.EQ(I18,$D18:$R18,1)</f>
        <v>5</v>
      </c>
      <c r="AC18" s="7">
        <f t="shared" ref="AC18" si="67">_xlfn.RANK.EQ(J18,$D18:$R18,1)</f>
        <v>6</v>
      </c>
      <c r="AD18" s="7">
        <f t="shared" ref="AD18" si="68">_xlfn.RANK.EQ(K18,$D18:$R18,1)</f>
        <v>2</v>
      </c>
      <c r="AE18" s="7">
        <f t="shared" ref="AE18" si="69">_xlfn.RANK.EQ(L18,$D18:$R18,1)</f>
        <v>7</v>
      </c>
      <c r="AF18" s="7" t="e">
        <f t="shared" ref="AF18" si="70">_xlfn.RANK.EQ(M18,$D18:$R18,1)</f>
        <v>#N/A</v>
      </c>
      <c r="AG18" s="7" t="e">
        <f t="shared" ref="AG18" si="71">_xlfn.RANK.EQ(N18,$D18:$R18,1)</f>
        <v>#N/A</v>
      </c>
      <c r="AH18" s="7" t="e">
        <f t="shared" ref="AH18" si="72">_xlfn.RANK.EQ(O18,$D18:$R18,1)</f>
        <v>#N/A</v>
      </c>
      <c r="AI18" s="7" t="e">
        <f t="shared" ref="AI18" si="73">_xlfn.RANK.EQ(P18,$D18:$R18,1)</f>
        <v>#N/A</v>
      </c>
      <c r="AJ18" s="7" t="e">
        <f t="shared" ref="AJ18" si="74">_xlfn.RANK.EQ(Q18,$D18:$R18,1)</f>
        <v>#N/A</v>
      </c>
      <c r="AK18" s="7" t="e">
        <f t="shared" ref="AK18" si="75">_xlfn.RANK.EQ(R18,$D18:$R18,1)</f>
        <v>#N/A</v>
      </c>
    </row>
    <row xmlns:x14ac="http://schemas.microsoft.com/office/spreadsheetml/2009/9/ac" r="19" x14ac:dyDescent="0.3">
      <c r="A19" s="22"/>
      <c r="B19" s="16" t="s">
        <v>444</v>
      </c>
      <c r="C19" s="4" t="s">
        <v>366</v>
      </c>
      <c r="D19" s="9">
        <v>2.2352220275465311</v>
      </c>
      <c r="E19" s="9">
        <v>1.3016232276713826</v>
      </c>
      <c r="F19" s="9">
        <v>0.79673525010308377</v>
      </c>
      <c r="G19" s="9">
        <v>0.32158985708844967</v>
      </c>
      <c r="H19" s="9">
        <v>1.8720116329216336</v>
      </c>
      <c r="I19" s="9">
        <v>0.56009636568993415</v>
      </c>
      <c r="J19" s="9">
        <v>0.67393302881467387</v>
      </c>
      <c r="K19" s="9">
        <v>2.0756785738232262</v>
      </c>
      <c r="L19" s="9">
        <v>1.4935065256269617</v>
      </c>
      <c r="M19" s="9">
        <v>1.0057388232230702</v>
      </c>
      <c r="N19" s="9"/>
      <c r="O19" s="9"/>
      <c r="P19" s="9"/>
      <c r="Q19" s="9"/>
      <c r="R19" s="9"/>
      <c r="S19" s="4"/>
      <c r="T19" s="4" t="s">
        <v>11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xmlns:x14ac="http://schemas.microsoft.com/office/spreadsheetml/2009/9/ac" r="20" x14ac:dyDescent="0.3">
      <c r="A20" s="22"/>
      <c r="B20" s="17" t="s">
        <v>444</v>
      </c>
      <c r="C20" s="5" t="s">
        <v>367</v>
      </c>
      <c r="D20" s="6">
        <v>0.68229166666666663</v>
      </c>
      <c r="E20" s="6">
        <v>0.65104166666666663</v>
      </c>
      <c r="F20" s="6">
        <v>2.2291666666666665</v>
      </c>
      <c r="G20" s="6">
        <v>2.2604166666666665</v>
      </c>
      <c r="H20" s="6">
        <v>2.09375</v>
      </c>
      <c r="I20" s="6">
        <v>0.8125</v>
      </c>
      <c r="J20" s="6">
        <v>0.94791666666666663</v>
      </c>
      <c r="K20" s="6">
        <v>0.86979166666666663</v>
      </c>
      <c r="L20" s="6">
        <v>1.1125</v>
      </c>
      <c r="M20" s="6">
        <v>0.80625000000000002</v>
      </c>
      <c r="N20" s="6"/>
      <c r="O20" s="6"/>
      <c r="P20" s="6"/>
      <c r="Q20" s="6"/>
      <c r="R20" s="6"/>
      <c r="S20" s="5"/>
      <c r="T20" s="5" t="s">
        <v>12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xmlns:x14ac="http://schemas.microsoft.com/office/spreadsheetml/2009/9/ac" r="21" x14ac:dyDescent="0.3">
      <c r="A21" s="22"/>
      <c r="B21" s="15" t="s">
        <v>445</v>
      </c>
      <c r="C21" s="2" t="s">
        <v>365</v>
      </c>
      <c r="D21" s="3">
        <v>2716.0036402384681</v>
      </c>
      <c r="E21" s="3">
        <v>2792.1291358631538</v>
      </c>
      <c r="F21" s="3">
        <v>2504.0677865445709</v>
      </c>
      <c r="G21" s="3">
        <v>2586.7800548648461</v>
      </c>
      <c r="H21" s="3">
        <v>2260.6233138778821</v>
      </c>
      <c r="I21" s="3">
        <v>1051.9257625086859</v>
      </c>
      <c r="J21" s="3">
        <v>761.51120044397351</v>
      </c>
      <c r="K21" s="3">
        <v>890.65612164079891</v>
      </c>
      <c r="L21" s="3">
        <v>1268.2728223388601</v>
      </c>
      <c r="M21" s="3">
        <v>1002.229243166394</v>
      </c>
      <c r="N21" s="3"/>
      <c r="O21" s="3"/>
      <c r="P21" s="3"/>
      <c r="Q21" s="3"/>
      <c r="R21" s="3"/>
      <c r="S21" s="2" t="s">
        <v>6</v>
      </c>
      <c r="T21" s="2" t="s">
        <v>10</v>
      </c>
      <c r="W21" s="7">
        <f t="shared" ref="W21" si="76">_xlfn.RANK.EQ(D21,$D21:$R21,1)</f>
        <v>5</v>
      </c>
      <c r="X21" s="7">
        <f t="shared" ref="X21" si="77">_xlfn.RANK.EQ(E21,$D21:$R21,1)</f>
        <v>3</v>
      </c>
      <c r="Y21" s="7">
        <f t="shared" ref="Y21" si="78">_xlfn.RANK.EQ(F21,$D21:$R21,1)</f>
        <v>7</v>
      </c>
      <c r="Z21" s="7">
        <f t="shared" ref="Z21" si="79">_xlfn.RANK.EQ(G21,$D21:$R21,1)</f>
        <v>1</v>
      </c>
      <c r="AA21" s="7">
        <f t="shared" ref="AA21" si="80">_xlfn.RANK.EQ(H21,$D21:$R21,1)</f>
        <v>8</v>
      </c>
      <c r="AB21" s="7">
        <f t="shared" ref="AB21" si="81">_xlfn.RANK.EQ(I21,$D21:$R21,1)</f>
        <v>6</v>
      </c>
      <c r="AC21" s="7">
        <f t="shared" ref="AC21" si="82">_xlfn.RANK.EQ(J21,$D21:$R21,1)</f>
        <v>9</v>
      </c>
      <c r="AD21" s="7">
        <f t="shared" ref="AD21" si="83">_xlfn.RANK.EQ(K21,$D21:$R21,1)</f>
        <v>2</v>
      </c>
      <c r="AE21" s="7">
        <f t="shared" ref="AE21" si="84">_xlfn.RANK.EQ(L21,$D21:$R21,1)</f>
        <v>4</v>
      </c>
      <c r="AF21" s="7" t="e">
        <f t="shared" ref="AF21" si="85">_xlfn.RANK.EQ(M21,$D21:$R21,1)</f>
        <v>#N/A</v>
      </c>
      <c r="AG21" s="7" t="e">
        <f t="shared" ref="AG21" si="86">_xlfn.RANK.EQ(N21,$D21:$R21,1)</f>
        <v>#N/A</v>
      </c>
      <c r="AH21" s="7" t="e">
        <f t="shared" ref="AH21" si="87">_xlfn.RANK.EQ(O21,$D21:$R21,1)</f>
        <v>#N/A</v>
      </c>
      <c r="AI21" s="7" t="e">
        <f t="shared" ref="AI21" si="88">_xlfn.RANK.EQ(P21,$D21:$R21,1)</f>
        <v>#N/A</v>
      </c>
      <c r="AJ21" s="7" t="e">
        <f t="shared" ref="AJ21" si="89">_xlfn.RANK.EQ(Q21,$D21:$R21,1)</f>
        <v>#N/A</v>
      </c>
      <c r="AK21" s="7" t="e">
        <f t="shared" ref="AK21" si="90">_xlfn.RANK.EQ(R21,$D21:$R21,1)</f>
        <v>#N/A</v>
      </c>
    </row>
    <row xmlns:x14ac="http://schemas.microsoft.com/office/spreadsheetml/2009/9/ac" r="22" x14ac:dyDescent="0.3">
      <c r="A22" s="22"/>
      <c r="B22" s="16" t="s">
        <v>445</v>
      </c>
      <c r="C22" s="4" t="s">
        <v>366</v>
      </c>
      <c r="D22" s="9">
        <v>125.31203892909632</v>
      </c>
      <c r="E22" s="9">
        <v>196.44615020846888</v>
      </c>
      <c r="F22" s="9">
        <v>353.18807271023087</v>
      </c>
      <c r="G22" s="9">
        <v>39.765172504211399</v>
      </c>
      <c r="H22" s="9">
        <v>201.96505442897845</v>
      </c>
      <c r="I22" s="9">
        <v>656.63131285166094</v>
      </c>
      <c r="J22" s="9">
        <v>298.56683358816139</v>
      </c>
      <c r="K22" s="9">
        <v>261.6485219570319</v>
      </c>
      <c r="L22" s="9">
        <v>328.02954449283294</v>
      </c>
      <c r="M22" s="9">
        <v>374.55731717221005</v>
      </c>
      <c r="N22" s="9"/>
      <c r="O22" s="9"/>
      <c r="P22" s="9"/>
      <c r="Q22" s="9"/>
      <c r="R22" s="9"/>
      <c r="S22" s="4"/>
      <c r="T22" s="4" t="s">
        <v>11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xmlns:x14ac="http://schemas.microsoft.com/office/spreadsheetml/2009/9/ac" r="23" x14ac:dyDescent="0.3">
      <c r="A23" s="22"/>
      <c r="B23" s="17" t="s">
        <v>445</v>
      </c>
      <c r="C23" s="5" t="s">
        <v>367</v>
      </c>
      <c r="D23" s="6">
        <v>0.15104166666666666</v>
      </c>
      <c r="E23" s="6">
        <v>0.15625</v>
      </c>
      <c r="F23" s="6">
        <v>0.35416666666666669</v>
      </c>
      <c r="G23" s="6">
        <v>0.35416666666666669</v>
      </c>
      <c r="H23" s="6">
        <v>0.375</v>
      </c>
      <c r="I23" s="6">
        <v>0.098958333333333329</v>
      </c>
      <c r="J23" s="6">
        <v>0.16666666666666666</v>
      </c>
      <c r="K23" s="6">
        <v>0.16145833333333334</v>
      </c>
      <c r="L23" s="6">
        <v>0.34218749999999998</v>
      </c>
      <c r="M23" s="6">
        <v>0.11614583333333334</v>
      </c>
      <c r="N23" s="6"/>
      <c r="O23" s="6"/>
      <c r="P23" s="6"/>
      <c r="Q23" s="6"/>
      <c r="R23" s="6"/>
      <c r="S23" s="5"/>
      <c r="T23" s="5" t="s">
        <v>12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xmlns:x14ac="http://schemas.microsoft.com/office/spreadsheetml/2009/9/ac" r="24" x14ac:dyDescent="0.3">
      <c r="A24" s="22"/>
      <c r="B24" s="15" t="s">
        <v>446</v>
      </c>
      <c r="C24" s="2" t="s">
        <v>365</v>
      </c>
      <c r="D24" s="3">
        <v>5.4709659624700677</v>
      </c>
      <c r="E24" s="3">
        <v>5.4222616958501826</v>
      </c>
      <c r="F24" s="3">
        <v>5.3926685590929111</v>
      </c>
      <c r="G24" s="3">
        <v>5.4220852554388168</v>
      </c>
      <c r="H24" s="3">
        <v>5.284203870343414</v>
      </c>
      <c r="I24" s="3">
        <v>3.4513052544800633</v>
      </c>
      <c r="J24" s="3">
        <v>4.01136099429264</v>
      </c>
      <c r="K24" s="3">
        <v>4.2211119931842163</v>
      </c>
      <c r="L24" s="3">
        <v>4.7005953515867658</v>
      </c>
      <c r="M24" s="3">
        <v>4.0438534966708293</v>
      </c>
      <c r="N24" s="3"/>
      <c r="O24" s="3"/>
      <c r="P24" s="3"/>
      <c r="Q24" s="3"/>
      <c r="R24" s="3"/>
      <c r="S24" s="2" t="s">
        <v>7</v>
      </c>
      <c r="T24" s="2" t="s">
        <v>10</v>
      </c>
      <c r="W24" s="7">
        <f t="shared" ref="W24" si="91">_xlfn.RANK.EQ(D24,$D24:$R24,1)</f>
        <v>1</v>
      </c>
      <c r="X24" s="7">
        <f t="shared" ref="X24" si="92">_xlfn.RANK.EQ(E24,$D24:$R24,1)</f>
        <v>3</v>
      </c>
      <c r="Y24" s="7">
        <f t="shared" ref="Y24" si="93">_xlfn.RANK.EQ(F24,$D24:$R24,1)</f>
        <v>8</v>
      </c>
      <c r="Z24" s="7">
        <f t="shared" ref="Z24" si="94">_xlfn.RANK.EQ(G24,$D24:$R24,1)</f>
        <v>5</v>
      </c>
      <c r="AA24" s="7">
        <f t="shared" ref="AA24" si="95">_xlfn.RANK.EQ(H24,$D24:$R24,1)</f>
        <v>7</v>
      </c>
      <c r="AB24" s="7">
        <f t="shared" ref="AB24" si="96">_xlfn.RANK.EQ(I24,$D24:$R24,1)</f>
        <v>6</v>
      </c>
      <c r="AC24" s="7">
        <f t="shared" ref="AC24" si="97">_xlfn.RANK.EQ(J24,$D24:$R24,1)</f>
        <v>9</v>
      </c>
      <c r="AD24" s="7">
        <f t="shared" ref="AD24" si="98">_xlfn.RANK.EQ(K24,$D24:$R24,1)</f>
        <v>2</v>
      </c>
      <c r="AE24" s="7">
        <f t="shared" ref="AE24" si="99">_xlfn.RANK.EQ(L24,$D24:$R24,1)</f>
        <v>4</v>
      </c>
      <c r="AF24" s="7" t="e">
        <f t="shared" ref="AF24" si="100">_xlfn.RANK.EQ(M24,$D24:$R24,1)</f>
        <v>#N/A</v>
      </c>
      <c r="AG24" s="7" t="e">
        <f t="shared" ref="AG24" si="101">_xlfn.RANK.EQ(N24,$D24:$R24,1)</f>
        <v>#N/A</v>
      </c>
      <c r="AH24" s="7" t="e">
        <f t="shared" ref="AH24" si="102">_xlfn.RANK.EQ(O24,$D24:$R24,1)</f>
        <v>#N/A</v>
      </c>
      <c r="AI24" s="7" t="e">
        <f t="shared" ref="AI24" si="103">_xlfn.RANK.EQ(P24,$D24:$R24,1)</f>
        <v>#N/A</v>
      </c>
      <c r="AJ24" s="7" t="e">
        <f t="shared" ref="AJ24" si="104">_xlfn.RANK.EQ(Q24,$D24:$R24,1)</f>
        <v>#N/A</v>
      </c>
      <c r="AK24" s="7" t="e">
        <f t="shared" ref="AK24" si="105">_xlfn.RANK.EQ(R24,$D24:$R24,1)</f>
        <v>#N/A</v>
      </c>
    </row>
    <row xmlns:x14ac="http://schemas.microsoft.com/office/spreadsheetml/2009/9/ac" r="25" x14ac:dyDescent="0.3">
      <c r="A25" s="22"/>
      <c r="B25" s="16" t="s">
        <v>446</v>
      </c>
      <c r="C25" s="4" t="s">
        <v>366</v>
      </c>
      <c r="D25" s="9">
        <v>0.13780087399195065</v>
      </c>
      <c r="E25" s="9">
        <v>0.23824278453386907</v>
      </c>
      <c r="F25" s="9">
        <v>0.16098020986195591</v>
      </c>
      <c r="G25" s="9">
        <v>0.059663743315441282</v>
      </c>
      <c r="H25" s="9">
        <v>0.086201069132811309</v>
      </c>
      <c r="I25" s="9">
        <v>0.55187761828287474</v>
      </c>
      <c r="J25" s="9">
        <v>0.26912480859218169</v>
      </c>
      <c r="K25" s="9">
        <v>0.16218610461582308</v>
      </c>
      <c r="L25" s="9">
        <v>0.37514100036903192</v>
      </c>
      <c r="M25" s="9">
        <v>0.42197888165027958</v>
      </c>
      <c r="N25" s="9"/>
      <c r="O25" s="9"/>
      <c r="P25" s="9"/>
      <c r="Q25" s="9"/>
      <c r="R25" s="9"/>
      <c r="S25" s="4"/>
      <c r="T25" s="4" t="s">
        <v>11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xmlns:x14ac="http://schemas.microsoft.com/office/spreadsheetml/2009/9/ac" r="26" x14ac:dyDescent="0.3">
      <c r="A26" s="22"/>
      <c r="B26" s="17" t="s">
        <v>446</v>
      </c>
      <c r="C26" s="5" t="s">
        <v>367</v>
      </c>
      <c r="D26" s="6">
        <v>0.171875</v>
      </c>
      <c r="E26" s="6">
        <v>0.1875</v>
      </c>
      <c r="F26" s="6">
        <v>0.34375</v>
      </c>
      <c r="G26" s="6">
        <v>0.34375</v>
      </c>
      <c r="H26" s="6">
        <v>0.33854166666666669</v>
      </c>
      <c r="I26" s="6">
        <v>0.10416666666666667</v>
      </c>
      <c r="J26" s="6">
        <v>0.15625</v>
      </c>
      <c r="K26" s="6">
        <v>0.13020833333333334</v>
      </c>
      <c r="L26" s="6">
        <v>0.36927083333333333</v>
      </c>
      <c r="M26" s="6">
        <v>0.12812499999999999</v>
      </c>
      <c r="N26" s="6"/>
      <c r="O26" s="6"/>
      <c r="P26" s="6"/>
      <c r="Q26" s="6"/>
      <c r="R26" s="6"/>
      <c r="S26" s="5"/>
      <c r="T26" s="5" t="s">
        <v>12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xmlns:x14ac="http://schemas.microsoft.com/office/spreadsheetml/2009/9/ac" r="27" x14ac:dyDescent="0.3">
      <c r="A27" s="22"/>
      <c r="B27" s="15" t="s">
        <v>447</v>
      </c>
      <c r="C27" s="2" t="s">
        <v>365</v>
      </c>
      <c r="D27" s="3">
        <v>6.6351702919331643</v>
      </c>
      <c r="E27" s="3">
        <v>6.7012195261870433</v>
      </c>
      <c r="F27" s="3">
        <v>6.2519204202195704</v>
      </c>
      <c r="G27" s="3">
        <v>4.8788300426083229</v>
      </c>
      <c r="H27" s="3">
        <v>4.5848840091664789</v>
      </c>
      <c r="I27" s="3">
        <v>1.3165083430193054</v>
      </c>
      <c r="J27" s="3">
        <v>1.2474835300390019</v>
      </c>
      <c r="K27" s="3">
        <v>1.463048115581089</v>
      </c>
      <c r="L27" s="3">
        <v>1.2355252133290398</v>
      </c>
      <c r="M27" s="3">
        <v>1.2363346787800065</v>
      </c>
      <c r="N27" s="3"/>
      <c r="O27" s="3"/>
      <c r="P27" s="3"/>
      <c r="Q27" s="3"/>
      <c r="R27" s="3"/>
      <c r="S27" s="2" t="s">
        <v>8</v>
      </c>
      <c r="T27" s="2" t="s">
        <v>10</v>
      </c>
      <c r="W27" s="7">
        <f t="shared" ref="W27" si="106">_xlfn.RANK.EQ(D27,$D27:$R27,1)</f>
        <v>6</v>
      </c>
      <c r="X27" s="7">
        <f t="shared" ref="X27" si="107">_xlfn.RANK.EQ(E27,$D27:$R27,1)</f>
        <v>3</v>
      </c>
      <c r="Y27" s="7">
        <f t="shared" ref="Y27" si="108">_xlfn.RANK.EQ(F27,$D27:$R27,1)</f>
        <v>4</v>
      </c>
      <c r="Z27" s="7">
        <f t="shared" ref="Z27" si="109">_xlfn.RANK.EQ(G27,$D27:$R27,1)</f>
        <v>5</v>
      </c>
      <c r="AA27" s="7">
        <f t="shared" ref="AA27" si="110">_xlfn.RANK.EQ(H27,$D27:$R27,1)</f>
        <v>9</v>
      </c>
      <c r="AB27" s="7">
        <f t="shared" ref="AB27" si="111">_xlfn.RANK.EQ(I27,$D27:$R27,1)</f>
        <v>7</v>
      </c>
      <c r="AC27" s="7">
        <f t="shared" ref="AC27" si="112">_xlfn.RANK.EQ(J27,$D27:$R27,1)</f>
        <v>1</v>
      </c>
      <c r="AD27" s="7">
        <f t="shared" ref="AD27" si="113">_xlfn.RANK.EQ(K27,$D27:$R27,1)</f>
        <v>2</v>
      </c>
      <c r="AE27" s="7">
        <f t="shared" ref="AE27" si="114">_xlfn.RANK.EQ(L27,$D27:$R27,1)</f>
        <v>8</v>
      </c>
      <c r="AF27" s="7" t="e">
        <f t="shared" ref="AF27" si="115">_xlfn.RANK.EQ(M27,$D27:$R27,1)</f>
        <v>#N/A</v>
      </c>
      <c r="AG27" s="7" t="e">
        <f t="shared" ref="AG27" si="116">_xlfn.RANK.EQ(N27,$D27:$R27,1)</f>
        <v>#N/A</v>
      </c>
      <c r="AH27" s="7" t="e">
        <f t="shared" ref="AH27" si="117">_xlfn.RANK.EQ(O27,$D27:$R27,1)</f>
        <v>#N/A</v>
      </c>
      <c r="AI27" s="7" t="e">
        <f t="shared" ref="AI27" si="118">_xlfn.RANK.EQ(P27,$D27:$R27,1)</f>
        <v>#N/A</v>
      </c>
      <c r="AJ27" s="7" t="e">
        <f t="shared" ref="AJ27" si="119">_xlfn.RANK.EQ(Q27,$D27:$R27,1)</f>
        <v>#N/A</v>
      </c>
      <c r="AK27" s="7" t="e">
        <f t="shared" ref="AK27" si="120">_xlfn.RANK.EQ(R27,$D27:$R27,1)</f>
        <v>#N/A</v>
      </c>
    </row>
    <row xmlns:x14ac="http://schemas.microsoft.com/office/spreadsheetml/2009/9/ac" r="28" x14ac:dyDescent="0.3">
      <c r="A28" s="22"/>
      <c r="B28" s="16" t="s">
        <v>447</v>
      </c>
      <c r="C28" s="4" t="s">
        <v>366</v>
      </c>
      <c r="D28" s="9">
        <v>0.55650425863370923</v>
      </c>
      <c r="E28" s="9">
        <v>0.4649775934618437</v>
      </c>
      <c r="F28" s="9">
        <v>0.29151332788888623</v>
      </c>
      <c r="G28" s="9">
        <v>0.1231208253878962</v>
      </c>
      <c r="H28" s="9">
        <v>0.79881008754342397</v>
      </c>
      <c r="I28" s="9">
        <v>0.087623820664081351</v>
      </c>
      <c r="J28" s="9">
        <v>0.048287883115754736</v>
      </c>
      <c r="K28" s="9">
        <v>0.16549834853717441</v>
      </c>
      <c r="L28" s="9">
        <v>0.16547809982538969</v>
      </c>
      <c r="M28" s="9">
        <v>0.074923838699754469</v>
      </c>
      <c r="N28" s="9"/>
      <c r="O28" s="9"/>
      <c r="P28" s="9"/>
      <c r="Q28" s="9"/>
      <c r="R28" s="9"/>
      <c r="S28" s="4"/>
      <c r="T28" s="4" t="s">
        <v>11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xmlns:x14ac="http://schemas.microsoft.com/office/spreadsheetml/2009/9/ac" r="29" x14ac:dyDescent="0.3">
      <c r="A29" s="22"/>
      <c r="B29" s="17" t="s">
        <v>447</v>
      </c>
      <c r="C29" s="5" t="s">
        <v>367</v>
      </c>
      <c r="D29" s="6">
        <v>0.140625</v>
      </c>
      <c r="E29" s="6">
        <v>0.15625</v>
      </c>
      <c r="F29" s="6">
        <v>0.3125</v>
      </c>
      <c r="G29" s="6">
        <v>0.33333333333333331</v>
      </c>
      <c r="H29" s="6">
        <v>0.328125</v>
      </c>
      <c r="I29" s="6">
        <v>0.09375</v>
      </c>
      <c r="J29" s="6">
        <v>0.13020833333333334</v>
      </c>
      <c r="K29" s="6">
        <v>0.125</v>
      </c>
      <c r="L29" s="6">
        <v>0.32760416666666664</v>
      </c>
      <c r="M29" s="6">
        <v>0.09583333333333334</v>
      </c>
      <c r="N29" s="6"/>
      <c r="O29" s="6"/>
      <c r="P29" s="6"/>
      <c r="Q29" s="6"/>
      <c r="R29" s="6"/>
      <c r="S29" s="5"/>
      <c r="T29" s="5" t="s">
        <v>12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xmlns:x14ac="http://schemas.microsoft.com/office/spreadsheetml/2009/9/ac" r="30" x14ac:dyDescent="0.3">
      <c r="A30" s="22"/>
      <c r="B30" s="15" t="s">
        <v>448</v>
      </c>
      <c r="C30" s="2" t="s">
        <v>365</v>
      </c>
      <c r="D30" s="3">
        <v>22.035712586108929</v>
      </c>
      <c r="E30" s="3">
        <v>22.050171639989738</v>
      </c>
      <c r="F30" s="3">
        <v>21.623877419243517</v>
      </c>
      <c r="G30" s="3">
        <v>21.507800055512728</v>
      </c>
      <c r="H30" s="3">
        <v>21.50269412226039</v>
      </c>
      <c r="I30" s="3">
        <v>21.49901386734275</v>
      </c>
      <c r="J30" s="3">
        <v>21.393990758801156</v>
      </c>
      <c r="K30" s="3">
        <v>21.082897504647971</v>
      </c>
      <c r="L30" s="3">
        <v>20.908051639939327</v>
      </c>
      <c r="M30" s="3">
        <v>21.516397698899524</v>
      </c>
      <c r="N30" s="3"/>
      <c r="O30" s="3"/>
      <c r="P30" s="3"/>
      <c r="Q30" s="3"/>
      <c r="R30" s="3"/>
      <c r="S30" s="2" t="s">
        <v>9</v>
      </c>
      <c r="T30" s="2" t="s">
        <v>10</v>
      </c>
      <c r="W30" s="7">
        <f t="shared" ref="W30" si="121">_xlfn.RANK.EQ(D30,$D30:$R30,1)</f>
        <v>1</v>
      </c>
      <c r="X30" s="7">
        <f t="shared" ref="X30" si="122">_xlfn.RANK.EQ(E30,$D30:$R30,1)</f>
        <v>4</v>
      </c>
      <c r="Y30" s="7">
        <f t="shared" ref="Y30" si="123">_xlfn.RANK.EQ(F30,$D30:$R30,1)</f>
        <v>2</v>
      </c>
      <c r="Z30" s="7">
        <f t="shared" ref="Z30" si="124">_xlfn.RANK.EQ(G30,$D30:$R30,1)</f>
        <v>9</v>
      </c>
      <c r="AA30" s="7">
        <f t="shared" ref="AA30" si="125">_xlfn.RANK.EQ(H30,$D30:$R30,1)</f>
        <v>8</v>
      </c>
      <c r="AB30" s="7">
        <f t="shared" ref="AB30" si="126">_xlfn.RANK.EQ(I30,$D30:$R30,1)</f>
        <v>5</v>
      </c>
      <c r="AC30" s="7">
        <f t="shared" ref="AC30" si="127">_xlfn.RANK.EQ(J30,$D30:$R30,1)</f>
        <v>3</v>
      </c>
      <c r="AD30" s="7">
        <f t="shared" ref="AD30" si="128">_xlfn.RANK.EQ(K30,$D30:$R30,1)</f>
        <v>7</v>
      </c>
      <c r="AE30" s="7">
        <f t="shared" ref="AE30" si="129">_xlfn.RANK.EQ(L30,$D30:$R30,1)</f>
        <v>6</v>
      </c>
      <c r="AF30" s="7" t="e">
        <f t="shared" ref="AF30" si="130">_xlfn.RANK.EQ(M30,$D30:$R30,1)</f>
        <v>#N/A</v>
      </c>
      <c r="AG30" s="7" t="e">
        <f t="shared" ref="AG30" si="131">_xlfn.RANK.EQ(N30,$D30:$R30,1)</f>
        <v>#N/A</v>
      </c>
      <c r="AH30" s="7" t="e">
        <f t="shared" ref="AH30" si="132">_xlfn.RANK.EQ(O30,$D30:$R30,1)</f>
        <v>#N/A</v>
      </c>
      <c r="AI30" s="7" t="e">
        <f t="shared" ref="AI30" si="133">_xlfn.RANK.EQ(P30,$D30:$R30,1)</f>
        <v>#N/A</v>
      </c>
      <c r="AJ30" s="7" t="e">
        <f t="shared" ref="AJ30" si="134">_xlfn.RANK.EQ(Q30,$D30:$R30,1)</f>
        <v>#N/A</v>
      </c>
      <c r="AK30" s="7" t="e">
        <f t="shared" ref="AK30" si="135">_xlfn.RANK.EQ(R30,$D30:$R30,1)</f>
        <v>#N/A</v>
      </c>
    </row>
    <row xmlns:x14ac="http://schemas.microsoft.com/office/spreadsheetml/2009/9/ac" r="31" x14ac:dyDescent="0.3">
      <c r="A31" s="22"/>
      <c r="B31" s="16" t="s">
        <v>448</v>
      </c>
      <c r="C31" s="4" t="s">
        <v>366</v>
      </c>
      <c r="D31" s="9">
        <v>0.26544264028542036</v>
      </c>
      <c r="E31" s="9">
        <v>0.19660546743787127</v>
      </c>
      <c r="F31" s="9">
        <v>0.13896792359926644</v>
      </c>
      <c r="G31" s="9">
        <v>0.072890840481669175</v>
      </c>
      <c r="H31" s="9">
        <v>0.14255931126541813</v>
      </c>
      <c r="I31" s="9">
        <v>0.10927618292680581</v>
      </c>
      <c r="J31" s="9">
        <v>0.096218624123839719</v>
      </c>
      <c r="K31" s="9">
        <v>0.069866020774225532</v>
      </c>
      <c r="L31" s="9">
        <v>3.0567495415559618</v>
      </c>
      <c r="M31" s="9">
        <v>0.080389444484650338</v>
      </c>
      <c r="N31" s="9"/>
      <c r="O31" s="9"/>
      <c r="P31" s="9"/>
      <c r="Q31" s="9"/>
      <c r="R31" s="9"/>
      <c r="S31" s="4"/>
      <c r="T31" s="4" t="s">
        <v>11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xmlns:x14ac="http://schemas.microsoft.com/office/spreadsheetml/2009/9/ac" r="32" x14ac:dyDescent="0.3">
      <c r="A32" s="20"/>
      <c r="B32" s="17" t="s">
        <v>448</v>
      </c>
      <c r="C32" s="5" t="s">
        <v>367</v>
      </c>
      <c r="D32" s="6">
        <v>0.203125</v>
      </c>
      <c r="E32" s="6">
        <v>0.21875</v>
      </c>
      <c r="F32" s="6">
        <v>0.43229166666666669</v>
      </c>
      <c r="G32" s="6">
        <v>0.484375</v>
      </c>
      <c r="H32" s="6">
        <v>0.45833333333333331</v>
      </c>
      <c r="I32" s="6">
        <v>0.11458333333333333</v>
      </c>
      <c r="J32" s="6">
        <v>0.140625</v>
      </c>
      <c r="K32" s="6">
        <v>0.16666666666666666</v>
      </c>
      <c r="L32" s="6">
        <v>0.37708333333333333</v>
      </c>
      <c r="M32" s="6">
        <v>0.11927083333333334</v>
      </c>
      <c r="N32" s="6"/>
      <c r="O32" s="6"/>
      <c r="P32" s="6"/>
      <c r="Q32" s="6"/>
      <c r="R32" s="6"/>
      <c r="S32" s="5"/>
      <c r="T32" s="5" t="s">
        <v>12</v>
      </c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xmlns:x14ac="http://schemas.microsoft.com/office/spreadsheetml/2009/9/ac" r="33" ht="32.4" customHeight="true" x14ac:dyDescent="0.3">
      <c r="A33" s="21" t="s">
        <v>18</v>
      </c>
      <c r="B33" s="15"/>
      <c r="C33" s="15"/>
      <c r="D33" s="7">
        <f>COUNTIF(W3:W32,1)</f>
        <v>5</v>
      </c>
      <c r="E33" s="7">
        <f t="shared" ref="E33:R33" si="136">COUNTIF(X3:X32,1)</f>
        <v>0</v>
      </c>
      <c r="F33" s="7">
        <f t="shared" si="136"/>
        <v>0</v>
      </c>
      <c r="G33" s="7">
        <f t="shared" si="136"/>
        <v>2</v>
      </c>
      <c r="H33" s="7">
        <f t="shared" si="136"/>
        <v>0</v>
      </c>
      <c r="I33" s="7">
        <f t="shared" si="136"/>
        <v>0</v>
      </c>
      <c r="J33" s="7">
        <f t="shared" si="136"/>
        <v>2</v>
      </c>
      <c r="K33" s="7">
        <f t="shared" si="136"/>
        <v>1</v>
      </c>
      <c r="L33" s="7">
        <f t="shared" si="136"/>
        <v>0</v>
      </c>
      <c r="M33" s="7">
        <f t="shared" si="136"/>
        <v>0</v>
      </c>
      <c r="N33" s="7">
        <f t="shared" si="136"/>
        <v>0</v>
      </c>
      <c r="O33" s="7">
        <f t="shared" si="136"/>
        <v>0</v>
      </c>
      <c r="P33" s="7">
        <f t="shared" si="136"/>
        <v>0</v>
      </c>
      <c r="Q33" s="7">
        <f t="shared" si="136"/>
        <v>0</v>
      </c>
      <c r="R33" s="7">
        <f t="shared" si="136"/>
        <v>0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xmlns:x14ac="http://schemas.microsoft.com/office/spreadsheetml/2009/9/ac" r="34" ht="32.4" customHeight="true" x14ac:dyDescent="0.3">
      <c r="A34" s="23" t="s">
        <v>19</v>
      </c>
      <c r="B34" s="16"/>
      <c r="C34" s="16"/>
      <c r="D34" s="7">
        <f>_xlfn.RANK.EQ(D33,$D33:$R33,0)</f>
        <v>1</v>
      </c>
      <c r="E34" s="7">
        <f t="shared" ref="E34:R34" si="137">_xlfn.RANK.EQ(E33,$D33:$R33,0)</f>
        <v>5</v>
      </c>
      <c r="F34" s="7">
        <f t="shared" si="137"/>
        <v>5</v>
      </c>
      <c r="G34" s="7">
        <f t="shared" si="137"/>
        <v>2</v>
      </c>
      <c r="H34" s="7">
        <f t="shared" si="137"/>
        <v>5</v>
      </c>
      <c r="I34" s="7">
        <f t="shared" si="137"/>
        <v>5</v>
      </c>
      <c r="J34" s="7">
        <f t="shared" si="137"/>
        <v>2</v>
      </c>
      <c r="K34" s="7">
        <f t="shared" si="137"/>
        <v>4</v>
      </c>
      <c r="L34" s="7">
        <f t="shared" si="137"/>
        <v>5</v>
      </c>
      <c r="M34" s="7">
        <f t="shared" si="137"/>
        <v>5</v>
      </c>
      <c r="N34" s="7">
        <f t="shared" si="137"/>
        <v>5</v>
      </c>
      <c r="O34" s="7">
        <f t="shared" si="137"/>
        <v>5</v>
      </c>
      <c r="P34" s="7">
        <f t="shared" si="137"/>
        <v>5</v>
      </c>
      <c r="Q34" s="7">
        <f t="shared" si="137"/>
        <v>5</v>
      </c>
      <c r="R34" s="7">
        <f t="shared" si="137"/>
        <v>5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xmlns:x14ac="http://schemas.microsoft.com/office/spreadsheetml/2009/9/ac" r="35" ht="32.4" customHeight="true" x14ac:dyDescent="0.3">
      <c r="A35" s="24" t="s">
        <v>20</v>
      </c>
      <c r="B35" s="16"/>
      <c r="C35" s="16"/>
      <c r="D35" s="8">
        <f>AVERAGE(W3:W32)</f>
        <v>3</v>
      </c>
      <c r="E35" s="8">
        <f t="shared" ref="E35:R35" si="138">AVERAGE(X3:X32)</f>
        <v>2.6</v>
      </c>
      <c r="F35" s="8">
        <f t="shared" si="138"/>
        <v>5.4</v>
      </c>
      <c r="G35" s="8">
        <f t="shared" si="138"/>
        <v>5</v>
      </c>
      <c r="H35" s="8">
        <f t="shared" si="138"/>
        <v>8.1999999999999993</v>
      </c>
      <c r="I35" s="8">
        <f t="shared" si="138"/>
        <v>5.2</v>
      </c>
      <c r="J35" s="8">
        <f t="shared" si="138"/>
        <v>6.5</v>
      </c>
      <c r="K35" s="8">
        <f t="shared" si="138"/>
        <v>3</v>
      </c>
      <c r="L35" s="8">
        <f t="shared" si="138"/>
        <v>6.1</v>
      </c>
      <c r="M35" s="8" t="e">
        <f t="shared" si="138"/>
        <v>#N/A</v>
      </c>
      <c r="N35" s="8" t="e">
        <f t="shared" si="138"/>
        <v>#N/A</v>
      </c>
      <c r="O35" s="8" t="e">
        <f t="shared" si="138"/>
        <v>#N/A</v>
      </c>
      <c r="P35" s="8" t="e">
        <f t="shared" si="138"/>
        <v>#N/A</v>
      </c>
      <c r="Q35" s="8" t="e">
        <f t="shared" si="138"/>
        <v>#N/A</v>
      </c>
      <c r="R35" s="8" t="e">
        <f t="shared" si="138"/>
        <v>#N/A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xmlns:x14ac="http://schemas.microsoft.com/office/spreadsheetml/2009/9/ac" r="36" ht="32.4" customHeight="true" x14ac:dyDescent="0.3">
      <c r="A36" s="20" t="s">
        <v>21</v>
      </c>
      <c r="B36" s="17"/>
      <c r="C36" s="17"/>
      <c r="D36" s="5" t="e">
        <f>_xlfn.RANK.EQ(D35,$D35:$R35,1)</f>
        <v>#N/A</v>
      </c>
      <c r="E36" s="5" t="e">
        <f t="shared" ref="E36:R36" si="139">_xlfn.RANK.EQ(E35,$D35:$R35,1)</f>
        <v>#N/A</v>
      </c>
      <c r="F36" s="5" t="e">
        <f t="shared" si="139"/>
        <v>#N/A</v>
      </c>
      <c r="G36" s="5" t="e">
        <f t="shared" si="139"/>
        <v>#N/A</v>
      </c>
      <c r="H36" s="5" t="e">
        <f t="shared" si="139"/>
        <v>#N/A</v>
      </c>
      <c r="I36" s="5" t="e">
        <f t="shared" si="139"/>
        <v>#N/A</v>
      </c>
      <c r="J36" s="5" t="e">
        <f t="shared" si="139"/>
        <v>#N/A</v>
      </c>
      <c r="K36" s="5" t="e">
        <f t="shared" si="139"/>
        <v>#N/A</v>
      </c>
      <c r="L36" s="5" t="e">
        <f t="shared" si="139"/>
        <v>#N/A</v>
      </c>
      <c r="M36" s="5" t="e">
        <f t="shared" si="139"/>
        <v>#N/A</v>
      </c>
      <c r="N36" s="5" t="e">
        <f t="shared" si="139"/>
        <v>#N/A</v>
      </c>
      <c r="O36" s="5" t="e">
        <f t="shared" si="139"/>
        <v>#N/A</v>
      </c>
      <c r="P36" s="5" t="e">
        <f t="shared" si="139"/>
        <v>#N/A</v>
      </c>
      <c r="Q36" s="5" t="e">
        <f t="shared" si="139"/>
        <v>#N/A</v>
      </c>
      <c r="R36" s="5" t="e">
        <f t="shared" si="139"/>
        <v>#N/A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xmlns:x14ac="http://schemas.microsoft.com/office/spreadsheetml/2009/9/ac" r="37" x14ac:dyDescent="0.3"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xmlns:x14ac="http://schemas.microsoft.com/office/spreadsheetml/2009/9/ac" r="38" x14ac:dyDescent="0.3"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xmlns:x14ac="http://schemas.microsoft.com/office/spreadsheetml/2009/9/ac" r="39" x14ac:dyDescent="0.3"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xmlns:x14ac="http://schemas.microsoft.com/office/spreadsheetml/2009/9/ac" r="40" x14ac:dyDescent="0.3"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xmlns:x14ac="http://schemas.microsoft.com/office/spreadsheetml/2009/9/ac" r="41" x14ac:dyDescent="0.3"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xmlns:x14ac="http://schemas.microsoft.com/office/spreadsheetml/2009/9/ac" r="42" x14ac:dyDescent="0.3"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</sheetData>
  <mergeCells count="6">
    <mergeCell ref="A1:R1"/>
    <mergeCell ref="A36:C36"/>
    <mergeCell ref="A3:A32"/>
    <mergeCell ref="A33:C33"/>
    <mergeCell ref="A34:C34"/>
    <mergeCell ref="A35:C35"/>
  </mergeCells>
  <phoneticPr fontId="3" type="noConversion"/>
  <conditionalFormatting sqref="D3:R3">
    <cfRule type="top10" dxfId="13" priority="10" bottom="true" rank="1"/>
  </conditionalFormatting>
  <conditionalFormatting sqref="D6:R6">
    <cfRule type="top10" dxfId="12" priority="9" bottom="true" rank="1"/>
  </conditionalFormatting>
  <conditionalFormatting sqref="D9:R9">
    <cfRule type="top10" dxfId="11" priority="8" bottom="true" rank="1"/>
  </conditionalFormatting>
  <conditionalFormatting sqref="D12:R12">
    <cfRule type="top10" dxfId="10" priority="7" bottom="true" rank="1"/>
  </conditionalFormatting>
  <conditionalFormatting sqref="D15:R15">
    <cfRule type="top10" dxfId="9" priority="6" bottom="true" rank="1"/>
  </conditionalFormatting>
  <conditionalFormatting sqref="D18:R18">
    <cfRule type="top10" dxfId="8" priority="5" bottom="true" rank="1"/>
  </conditionalFormatting>
  <conditionalFormatting sqref="D21:R21">
    <cfRule type="top10" dxfId="7" priority="4" bottom="true" rank="1"/>
  </conditionalFormatting>
  <conditionalFormatting sqref="D24:R24">
    <cfRule type="top10" dxfId="6" priority="3" bottom="true" rank="1"/>
  </conditionalFormatting>
  <conditionalFormatting sqref="D27:R27">
    <cfRule type="top10" dxfId="5" priority="2" bottom="true" rank="1"/>
  </conditionalFormatting>
  <conditionalFormatting sqref="D30:R30">
    <cfRule type="top10" dxfId="4" priority="1" bottom="true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>
      <selection activeCell="A12" sqref="A3:O12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bestFit="true" customWidth="true"/>
    <col min="3" max="3" width="18.6640625" bestFit="true" customWidth="true"/>
    <col min="4" max="4" width="18.6640625" bestFit="true" customWidth="true"/>
    <col min="5" max="5" width="20.6640625" bestFit="true" customWidth="true"/>
    <col min="6" max="6" width="15.44140625" bestFit="true" customWidth="true"/>
    <col min="7" max="7" width="14.33203125" bestFit="true" customWidth="true"/>
    <col min="9" max="9" width="14.37890625" bestFit="true" customWidth="true"/>
    <col min="10" max="10" width="15.37890625" bestFit="true" customWidth="true"/>
    <col min="8" max="8" width="13.44140625" bestFit="true" customWidth="true"/>
    <col min="11" max="11" width="8.21875" bestFit="true" customWidth="true"/>
  </cols>
  <sheetData>
    <row xmlns:x14ac="http://schemas.microsoft.com/office/spreadsheetml/2009/9/ac" r="1" ht="15" thickBot="true" x14ac:dyDescent="0.35">
      <c r="A1" s="25" t="s">
        <v>169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xmlns:x14ac="http://schemas.microsoft.com/office/spreadsheetml/2009/9/ac" r="2" x14ac:dyDescent="0.3">
      <c r="A2" s="5" t="s">
        <v>438</v>
      </c>
      <c r="B2" s="5" t="s">
        <v>463</v>
      </c>
      <c r="C2" s="5" t="s">
        <v>464</v>
      </c>
      <c r="D2" s="5" t="s">
        <v>465</v>
      </c>
      <c r="E2" s="5" t="s">
        <v>470</v>
      </c>
      <c r="F2" s="5" t="s">
        <v>466</v>
      </c>
      <c r="G2" s="5" t="s">
        <v>467</v>
      </c>
      <c r="H2" s="5" t="s">
        <v>468</v>
      </c>
      <c r="I2" s="5" t="s">
        <v>241</v>
      </c>
      <c r="J2" s="5" t="s">
        <v>242</v>
      </c>
      <c r="K2" s="5">
        <v>1.2828153430137927E-5</v>
      </c>
      <c r="L2" s="5"/>
      <c r="M2" s="5"/>
      <c r="N2" s="5"/>
      <c r="O2" s="5"/>
    </row>
    <row xmlns:x14ac="http://schemas.microsoft.com/office/spreadsheetml/2009/9/ac" r="3" x14ac:dyDescent="0.3">
      <c r="A3" s="12" t="s">
        <v>439</v>
      </c>
      <c r="B3" s="3">
        <v>0.89550181072040991</v>
      </c>
      <c r="C3" s="3">
        <v>0.16914508982509902</v>
      </c>
      <c r="D3" s="3">
        <v>0.16914508982509902</v>
      </c>
      <c r="E3" s="3">
        <v>0.16914508982509902</v>
      </c>
      <c r="F3" s="3">
        <v>0.16914508983534574</v>
      </c>
      <c r="G3" s="3">
        <v>0.169201775263603</v>
      </c>
      <c r="H3" s="3">
        <v>0.17051232178164757</v>
      </c>
      <c r="I3" s="3">
        <v>1.4235723134279021e-07</v>
      </c>
      <c r="J3" s="3">
        <v>0.0094013961964314625</v>
      </c>
      <c r="K3" s="3">
        <v>2.0928828939828305E-11</v>
      </c>
      <c r="L3" s="3"/>
      <c r="M3" s="3"/>
      <c r="N3" s="3"/>
      <c r="O3" s="3"/>
    </row>
    <row xmlns:x14ac="http://schemas.microsoft.com/office/spreadsheetml/2009/9/ac" r="4" x14ac:dyDescent="0.3">
      <c r="A4" s="14" t="s">
        <v>440</v>
      </c>
      <c r="B4" s="9">
        <v>0.061525452358988639</v>
      </c>
      <c r="C4" s="9">
        <v>0.0043858538137667383</v>
      </c>
      <c r="D4" s="9">
        <v>0.0043858537826321035</v>
      </c>
      <c r="E4" s="9">
        <v>0.0043858537826321035</v>
      </c>
      <c r="F4" s="9">
        <v>0.0041105507015966828</v>
      </c>
      <c r="G4" s="9">
        <v>0.0044005229424856161</v>
      </c>
      <c r="H4" s="9">
        <v>0.011187764837864617</v>
      </c>
      <c r="I4" s="9">
        <v>3.18565586060069e-09</v>
      </c>
      <c r="J4" s="9">
        <v>1.7655041914727008e-11</v>
      </c>
      <c r="K4" s="9">
        <v>0.90132901057800507</v>
      </c>
      <c r="L4" s="9"/>
      <c r="M4" s="9"/>
      <c r="N4" s="9"/>
      <c r="O4" s="9"/>
    </row>
    <row xmlns:x14ac="http://schemas.microsoft.com/office/spreadsheetml/2009/9/ac" r="5" x14ac:dyDescent="0.3">
      <c r="A5" s="14" t="s">
        <v>441</v>
      </c>
      <c r="B5" s="9">
        <v>0.55875901882261814</v>
      </c>
      <c r="C5" s="9">
        <v>0.45610139051183796</v>
      </c>
      <c r="D5" s="9">
        <v>0.053684016855587685</v>
      </c>
      <c r="E5" s="9">
        <v>0.059297123575678817</v>
      </c>
      <c r="F5" s="9">
        <v>0.020178450064396697</v>
      </c>
      <c r="G5" s="9">
        <v>0.04050199245140737</v>
      </c>
      <c r="H5" s="9">
        <v>0.049668570045463427</v>
      </c>
      <c r="I5" s="9">
        <v>1.9412525715681395e-08</v>
      </c>
      <c r="J5" s="9">
        <v>7.0439430905243691e-05</v>
      </c>
      <c r="K5" s="9">
        <v>1.242006916170924E-2</v>
      </c>
      <c r="L5" s="9"/>
      <c r="M5" s="9"/>
      <c r="N5" s="9"/>
      <c r="O5" s="9"/>
    </row>
    <row xmlns:x14ac="http://schemas.microsoft.com/office/spreadsheetml/2009/9/ac" r="6" x14ac:dyDescent="0.3">
      <c r="A6" s="14" t="s">
        <v>442</v>
      </c>
      <c r="B6" s="9">
        <v>0.21288382708969594</v>
      </c>
      <c r="C6" s="9">
        <v>0.99414940975098787</v>
      </c>
      <c r="D6" s="9">
        <v>0.57670787541516577</v>
      </c>
      <c r="E6" s="9">
        <v>0.18276232752070104</v>
      </c>
      <c r="F6" s="9">
        <v>0.0011152746103964693</v>
      </c>
      <c r="G6" s="9">
        <v>0.0052376410107062253</v>
      </c>
      <c r="H6" s="9">
        <v>0.0040734166779609841</v>
      </c>
      <c r="I6" s="9">
        <v>0.171257786632803</v>
      </c>
      <c r="J6" s="9">
        <v>0.0034466373502809204</v>
      </c>
      <c r="K6" s="9">
        <v>2.8231563721473601E-6</v>
      </c>
      <c r="L6" s="9"/>
      <c r="M6" s="9"/>
      <c r="N6" s="9"/>
      <c r="O6" s="9"/>
    </row>
    <row xmlns:x14ac="http://schemas.microsoft.com/office/spreadsheetml/2009/9/ac" r="7" x14ac:dyDescent="0.3">
      <c r="A7" s="14" t="s">
        <v>443</v>
      </c>
      <c r="B7" s="9">
        <v>0.77238035154210261</v>
      </c>
      <c r="C7" s="9">
        <v>0.29133456614034109</v>
      </c>
      <c r="D7" s="9">
        <v>0.0018828432775402798</v>
      </c>
      <c r="E7" s="9">
        <v>0.12211058378812838</v>
      </c>
      <c r="F7" s="9">
        <v>0.001720322504405131</v>
      </c>
      <c r="G7" s="9">
        <v>0.0017021769820163117</v>
      </c>
      <c r="H7" s="9">
        <v>0.0018165736745016283</v>
      </c>
      <c r="I7" s="9">
        <v>0.0018856340810675706</v>
      </c>
      <c r="J7" s="9">
        <v>0.010936287324889309</v>
      </c>
      <c r="K7" s="9">
        <v>2.5925070092865198E-7</v>
      </c>
      <c r="L7" s="9"/>
      <c r="M7" s="9"/>
      <c r="N7" s="9"/>
      <c r="O7" s="9"/>
    </row>
    <row xmlns:x14ac="http://schemas.microsoft.com/office/spreadsheetml/2009/9/ac" r="8" x14ac:dyDescent="0.3">
      <c r="A8" s="14" t="s">
        <v>444</v>
      </c>
      <c r="B8" s="9">
        <v>0.8477625252744071</v>
      </c>
      <c r="C8" s="9">
        <v>0.50168882528575409</v>
      </c>
      <c r="D8" s="9">
        <v>0.22746945785156966</v>
      </c>
      <c r="E8" s="9">
        <v>0.23180173129390189</v>
      </c>
      <c r="F8" s="9">
        <v>0.015893881475258553</v>
      </c>
      <c r="G8" s="9">
        <v>0.014341841879715883</v>
      </c>
      <c r="H8" s="9">
        <v>0.047936155885764685</v>
      </c>
      <c r="I8" s="9">
        <v>0.00011103429210017603</v>
      </c>
      <c r="J8" s="9">
        <v>5.4758799370162047e-08</v>
      </c>
      <c r="K8" s="9">
        <v>6.5318527346323301E-3</v>
      </c>
      <c r="L8" s="9"/>
      <c r="M8" s="9"/>
      <c r="N8" s="9"/>
      <c r="O8" s="9"/>
    </row>
    <row xmlns:x14ac="http://schemas.microsoft.com/office/spreadsheetml/2009/9/ac" r="9" x14ac:dyDescent="0.3">
      <c r="A9" s="14" t="s">
        <v>445</v>
      </c>
      <c r="B9" s="9">
        <v>0.69128793032055746</v>
      </c>
      <c r="C9" s="9">
        <v>0.30916714369048215</v>
      </c>
      <c r="D9" s="9">
        <v>0.29760862951589578</v>
      </c>
      <c r="E9" s="9">
        <v>0.12326257522918087</v>
      </c>
      <c r="F9" s="9">
        <v>0.054111045294591903</v>
      </c>
      <c r="G9" s="9">
        <v>0.012279780873328858</v>
      </c>
      <c r="H9" s="9">
        <v>0.010551356379126076</v>
      </c>
      <c r="I9" s="9">
        <v>2.2029721482467137e-06</v>
      </c>
      <c r="J9" s="9">
        <v>0.0097461836461704334</v>
      </c>
      <c r="K9" s="9">
        <v>2.8084821436602404E-5</v>
      </c>
      <c r="L9" s="9"/>
      <c r="M9" s="9"/>
      <c r="N9" s="9"/>
      <c r="O9" s="9"/>
    </row>
    <row xmlns:x14ac="http://schemas.microsoft.com/office/spreadsheetml/2009/9/ac" r="10" x14ac:dyDescent="0.3">
      <c r="A10" s="14" t="s">
        <v>446</v>
      </c>
      <c r="B10" s="9">
        <v>0.53334870973501403</v>
      </c>
      <c r="C10" s="9">
        <v>0.47203938696111869</v>
      </c>
      <c r="D10" s="9">
        <v>0.47785615363432632</v>
      </c>
      <c r="E10" s="9">
        <v>0.17445574113322812</v>
      </c>
      <c r="F10" s="9">
        <v>0.034411048772362542</v>
      </c>
      <c r="G10" s="9">
        <v>0.0070157992067570165</v>
      </c>
      <c r="H10" s="9">
        <v>0.018216201681887895</v>
      </c>
      <c r="I10" s="9">
        <v>1.9400923523813241e-10</v>
      </c>
      <c r="J10" s="9">
        <v>0.00038851983408687323</v>
      </c>
      <c r="K10" s="9">
        <v>1.2369760856960685E-7</v>
      </c>
      <c r="L10" s="9"/>
      <c r="M10" s="9"/>
      <c r="N10" s="9"/>
      <c r="O10" s="9"/>
    </row>
    <row xmlns:x14ac="http://schemas.microsoft.com/office/spreadsheetml/2009/9/ac" r="11" x14ac:dyDescent="0.3">
      <c r="A11" s="14" t="s">
        <v>447</v>
      </c>
      <c r="B11" s="9">
        <v>0.91847715977838196</v>
      </c>
      <c r="C11" s="9">
        <v>0.44909330828619609</v>
      </c>
      <c r="D11" s="9">
        <v>0.02363886905204363</v>
      </c>
      <c r="E11" s="9">
        <v>0.11786221587850094</v>
      </c>
      <c r="F11" s="9">
        <v>0.0047139959715016477</v>
      </c>
      <c r="G11" s="9">
        <v>0.003503294781978548</v>
      </c>
      <c r="H11" s="9">
        <v>0.0025770953828663291</v>
      </c>
      <c r="I11" s="9">
        <v>0.73527782346842607</v>
      </c>
      <c r="J11" s="9">
        <v>0.66518949981800146</v>
      </c>
      <c r="K11" s="9">
        <v>2.919179097371582E-8</v>
      </c>
      <c r="L11" s="9"/>
      <c r="M11" s="9"/>
      <c r="N11" s="9"/>
      <c r="O11" s="9"/>
    </row>
    <row xmlns:x14ac="http://schemas.microsoft.com/office/spreadsheetml/2009/9/ac" r="12" x14ac:dyDescent="0.3">
      <c r="A12" s="13" t="s">
        <v>448</v>
      </c>
      <c r="B12" s="11">
        <v>0.9613779534620257</v>
      </c>
      <c r="C12" s="11">
        <v>0.031093538910411937</v>
      </c>
      <c r="D12" s="11">
        <v>0.10964913901259986</v>
      </c>
      <c r="E12" s="11">
        <v>0.12788066743277884</v>
      </c>
      <c r="F12" s="11">
        <v>0.079489513124338759</v>
      </c>
      <c r="G12" s="11">
        <v>0.087759312526367525</v>
      </c>
      <c r="H12" s="11">
        <v>0.023849743992414827</v>
      </c>
      <c r="I12" s="11">
        <v>0.020981429454739839</v>
      </c>
      <c r="J12" s="11">
        <v>0.0040330352252308287</v>
      </c>
      <c r="K12" s="11"/>
      <c r="L12" s="11"/>
      <c r="M12" s="11"/>
      <c r="N12" s="11"/>
      <c r="O12" s="11"/>
    </row>
  </sheetData>
  <mergeCells count="1">
    <mergeCell ref="A1:O1"/>
  </mergeCells>
  <conditionalFormatting sqref="B3:O1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workbookViewId="0">
      <selection activeCell="E18" sqref="E18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bestFit="true" customWidth="true"/>
    <col min="3" max="3" width="18.6640625" bestFit="true" customWidth="true"/>
    <col min="4" max="4" width="18.6640625" bestFit="true" customWidth="true"/>
    <col min="5" max="5" width="20.6640625" bestFit="true" customWidth="true"/>
    <col min="6" max="6" width="15.44140625" bestFit="true" customWidth="true"/>
    <col min="7" max="7" width="14.33203125" bestFit="true" customWidth="true"/>
    <col min="9" max="9" width="14.37890625" bestFit="true" customWidth="true"/>
    <col min="10" max="10" width="15.37890625" bestFit="true" customWidth="true"/>
    <col min="8" max="8" width="13.44140625" bestFit="true" customWidth="true"/>
    <col min="11" max="11" width="2" bestFit="true" customWidth="true"/>
  </cols>
  <sheetData>
    <row xmlns:x14ac="http://schemas.microsoft.com/office/spreadsheetml/2009/9/ac" r="1" ht="15" thickBot="true" x14ac:dyDescent="0.35">
      <c r="A1" s="25" t="s">
        <v>170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xmlns:x14ac="http://schemas.microsoft.com/office/spreadsheetml/2009/9/ac" r="2" x14ac:dyDescent="0.3">
      <c r="A2" s="5" t="s">
        <v>438</v>
      </c>
      <c r="B2" s="5" t="s">
        <v>463</v>
      </c>
      <c r="C2" s="5" t="s">
        <v>464</v>
      </c>
      <c r="D2" s="5" t="s">
        <v>465</v>
      </c>
      <c r="E2" s="5" t="s">
        <v>470</v>
      </c>
      <c r="F2" s="5" t="s">
        <v>466</v>
      </c>
      <c r="G2" s="5" t="s">
        <v>467</v>
      </c>
      <c r="H2" s="5" t="s">
        <v>468</v>
      </c>
      <c r="I2" s="5" t="s">
        <v>261</v>
      </c>
      <c r="J2" s="5" t="s">
        <v>262</v>
      </c>
      <c r="K2" s="5">
        <v>1</v>
      </c>
      <c r="L2" s="5"/>
      <c r="M2" s="5"/>
      <c r="N2" s="5"/>
      <c r="O2" s="5"/>
    </row>
    <row xmlns:x14ac="http://schemas.microsoft.com/office/spreadsheetml/2009/9/ac" r="3" x14ac:dyDescent="0.3">
      <c r="A3" s="2" t="s">
        <v>439</v>
      </c>
      <c r="B3" s="26">
        <v>0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1</v>
      </c>
      <c r="J3" s="26">
        <v>1</v>
      </c>
      <c r="K3" s="26">
        <v>1</v>
      </c>
      <c r="L3" s="26"/>
      <c r="M3" s="26"/>
      <c r="N3" s="26"/>
      <c r="O3" s="26"/>
    </row>
    <row xmlns:x14ac="http://schemas.microsoft.com/office/spreadsheetml/2009/9/ac" r="4" x14ac:dyDescent="0.3">
      <c r="A4" s="10" t="s">
        <v>440</v>
      </c>
      <c r="B4" s="27">
        <v>0</v>
      </c>
      <c r="C4" s="27">
        <v>1</v>
      </c>
      <c r="D4" s="27">
        <v>1</v>
      </c>
      <c r="E4" s="27">
        <v>1</v>
      </c>
      <c r="F4" s="27">
        <v>1</v>
      </c>
      <c r="G4" s="27">
        <v>1</v>
      </c>
      <c r="H4" s="27">
        <v>1</v>
      </c>
      <c r="I4" s="27">
        <v>1</v>
      </c>
      <c r="J4" s="27">
        <v>1</v>
      </c>
      <c r="K4" s="27">
        <v>0</v>
      </c>
      <c r="L4" s="27"/>
      <c r="M4" s="27"/>
      <c r="N4" s="27"/>
      <c r="O4" s="27"/>
    </row>
    <row xmlns:x14ac="http://schemas.microsoft.com/office/spreadsheetml/2009/9/ac" r="5" x14ac:dyDescent="0.3">
      <c r="A5" s="10" t="s">
        <v>441</v>
      </c>
      <c r="B5" s="27">
        <v>0</v>
      </c>
      <c r="C5" s="27">
        <v>0</v>
      </c>
      <c r="D5" s="27">
        <v>0</v>
      </c>
      <c r="E5" s="27">
        <v>0</v>
      </c>
      <c r="F5" s="27">
        <v>1</v>
      </c>
      <c r="G5" s="27">
        <v>1</v>
      </c>
      <c r="H5" s="27">
        <v>1</v>
      </c>
      <c r="I5" s="27">
        <v>1</v>
      </c>
      <c r="J5" s="27">
        <v>1</v>
      </c>
      <c r="K5" s="27">
        <v>1</v>
      </c>
      <c r="L5" s="27"/>
      <c r="M5" s="27"/>
      <c r="N5" s="27"/>
      <c r="O5" s="27"/>
    </row>
    <row xmlns:x14ac="http://schemas.microsoft.com/office/spreadsheetml/2009/9/ac" r="6" x14ac:dyDescent="0.3">
      <c r="A6" s="10" t="s">
        <v>442</v>
      </c>
      <c r="B6" s="27">
        <v>0</v>
      </c>
      <c r="C6" s="27">
        <v>0</v>
      </c>
      <c r="D6" s="27">
        <v>0</v>
      </c>
      <c r="E6" s="27">
        <v>0</v>
      </c>
      <c r="F6" s="27">
        <v>1</v>
      </c>
      <c r="G6" s="27">
        <v>1</v>
      </c>
      <c r="H6" s="27">
        <v>1</v>
      </c>
      <c r="I6" s="27">
        <v>0</v>
      </c>
      <c r="J6" s="27">
        <v>1</v>
      </c>
      <c r="K6" s="27">
        <v>1</v>
      </c>
      <c r="L6" s="27"/>
      <c r="M6" s="27"/>
      <c r="N6" s="27"/>
      <c r="O6" s="27"/>
    </row>
    <row xmlns:x14ac="http://schemas.microsoft.com/office/spreadsheetml/2009/9/ac" r="7" x14ac:dyDescent="0.3">
      <c r="A7" s="10" t="s">
        <v>443</v>
      </c>
      <c r="B7" s="27">
        <v>0</v>
      </c>
      <c r="C7" s="27">
        <v>0</v>
      </c>
      <c r="D7" s="27">
        <v>1</v>
      </c>
      <c r="E7" s="27">
        <v>0</v>
      </c>
      <c r="F7" s="27">
        <v>1</v>
      </c>
      <c r="G7" s="27">
        <v>1</v>
      </c>
      <c r="H7" s="27">
        <v>1</v>
      </c>
      <c r="I7" s="27">
        <v>1</v>
      </c>
      <c r="J7" s="27">
        <v>1</v>
      </c>
      <c r="K7" s="27">
        <v>1</v>
      </c>
      <c r="L7" s="27"/>
      <c r="M7" s="27"/>
      <c r="N7" s="27"/>
      <c r="O7" s="27"/>
    </row>
    <row xmlns:x14ac="http://schemas.microsoft.com/office/spreadsheetml/2009/9/ac" r="8" x14ac:dyDescent="0.3">
      <c r="A8" s="10" t="s">
        <v>444</v>
      </c>
      <c r="B8" s="27">
        <v>0</v>
      </c>
      <c r="C8" s="27">
        <v>0</v>
      </c>
      <c r="D8" s="27">
        <v>0</v>
      </c>
      <c r="E8" s="27">
        <v>0</v>
      </c>
      <c r="F8" s="27">
        <v>1</v>
      </c>
      <c r="G8" s="27">
        <v>1</v>
      </c>
      <c r="H8" s="27">
        <v>1</v>
      </c>
      <c r="I8" s="27">
        <v>1</v>
      </c>
      <c r="J8" s="27">
        <v>1</v>
      </c>
      <c r="K8" s="27">
        <v>1</v>
      </c>
      <c r="L8" s="27"/>
      <c r="M8" s="27"/>
      <c r="N8" s="27"/>
      <c r="O8" s="27"/>
    </row>
    <row xmlns:x14ac="http://schemas.microsoft.com/office/spreadsheetml/2009/9/ac" r="9" x14ac:dyDescent="0.3">
      <c r="A9" s="10" t="s">
        <v>445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1</v>
      </c>
      <c r="H9" s="27">
        <v>1</v>
      </c>
      <c r="I9" s="27">
        <v>1</v>
      </c>
      <c r="J9" s="27">
        <v>1</v>
      </c>
      <c r="K9" s="27">
        <v>1</v>
      </c>
      <c r="L9" s="27"/>
      <c r="M9" s="27"/>
      <c r="N9" s="27"/>
      <c r="O9" s="27"/>
    </row>
    <row xmlns:x14ac="http://schemas.microsoft.com/office/spreadsheetml/2009/9/ac" r="10" x14ac:dyDescent="0.3">
      <c r="A10" s="10" t="s">
        <v>446</v>
      </c>
      <c r="B10" s="27">
        <v>0</v>
      </c>
      <c r="C10" s="27">
        <v>0</v>
      </c>
      <c r="D10" s="27">
        <v>0</v>
      </c>
      <c r="E10" s="27">
        <v>0</v>
      </c>
      <c r="F10" s="27">
        <v>1</v>
      </c>
      <c r="G10" s="27">
        <v>1</v>
      </c>
      <c r="H10" s="27">
        <v>1</v>
      </c>
      <c r="I10" s="27">
        <v>1</v>
      </c>
      <c r="J10" s="27">
        <v>1</v>
      </c>
      <c r="K10" s="27">
        <v>1</v>
      </c>
      <c r="L10" s="27"/>
      <c r="M10" s="27"/>
      <c r="N10" s="27"/>
      <c r="O10" s="27"/>
    </row>
    <row xmlns:x14ac="http://schemas.microsoft.com/office/spreadsheetml/2009/9/ac" r="11" x14ac:dyDescent="0.3">
      <c r="A11" s="10" t="s">
        <v>447</v>
      </c>
      <c r="B11" s="27">
        <v>0</v>
      </c>
      <c r="C11" s="27">
        <v>0</v>
      </c>
      <c r="D11" s="27">
        <v>1</v>
      </c>
      <c r="E11" s="27">
        <v>0</v>
      </c>
      <c r="F11" s="27">
        <v>1</v>
      </c>
      <c r="G11" s="27">
        <v>1</v>
      </c>
      <c r="H11" s="27">
        <v>1</v>
      </c>
      <c r="I11" s="27">
        <v>0</v>
      </c>
      <c r="J11" s="27">
        <v>0</v>
      </c>
      <c r="K11" s="27">
        <v>1</v>
      </c>
      <c r="L11" s="27"/>
      <c r="M11" s="27"/>
      <c r="N11" s="27"/>
      <c r="O11" s="27"/>
    </row>
    <row xmlns:x14ac="http://schemas.microsoft.com/office/spreadsheetml/2009/9/ac" r="12" x14ac:dyDescent="0.3">
      <c r="A12" s="5" t="s">
        <v>448</v>
      </c>
      <c r="B12" s="28">
        <v>0</v>
      </c>
      <c r="C12" s="28">
        <v>1</v>
      </c>
      <c r="D12" s="28">
        <v>0</v>
      </c>
      <c r="E12" s="28">
        <v>0</v>
      </c>
      <c r="F12" s="28">
        <v>0</v>
      </c>
      <c r="G12" s="28">
        <v>0</v>
      </c>
      <c r="H12" s="28">
        <v>1</v>
      </c>
      <c r="I12" s="28">
        <v>1</v>
      </c>
      <c r="J12" s="28">
        <v>1</v>
      </c>
      <c r="K12" s="28"/>
      <c r="L12" s="28"/>
      <c r="M12" s="28"/>
      <c r="N12" s="28"/>
      <c r="O12" s="28"/>
    </row>
  </sheetData>
  <mergeCells count="1">
    <mergeCell ref="A1:O1"/>
  </mergeCells>
  <conditionalFormatting sqref="B3:O1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workbookViewId="0">
      <selection activeCell="E19" sqref="E19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bestFit="true" customWidth="true"/>
    <col min="3" max="3" width="18.6640625" bestFit="true" customWidth="true"/>
    <col min="4" max="4" width="18.6640625" bestFit="true" customWidth="true"/>
    <col min="5" max="5" width="20.6640625" bestFit="true" customWidth="true"/>
    <col min="6" max="6" width="15.44140625" bestFit="true" customWidth="true"/>
    <col min="7" max="7" width="14.33203125" bestFit="true" customWidth="true"/>
    <col min="9" max="9" width="14.37890625" bestFit="true" customWidth="true"/>
    <col min="8" max="8" width="13.44140625" bestFit="true" customWidth="true"/>
    <col min="10" max="10" width="15.37890625" customWidth="true"/>
  </cols>
  <sheetData>
    <row xmlns:x14ac="http://schemas.microsoft.com/office/spreadsheetml/2009/9/ac" r="1" ht="15" thickBot="true" x14ac:dyDescent="0.35">
      <c r="A1" s="25" t="s">
        <v>153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xmlns:x14ac="http://schemas.microsoft.com/office/spreadsheetml/2009/9/ac" r="2" x14ac:dyDescent="0.3">
      <c r="A2" s="13" t="s">
        <v>438</v>
      </c>
      <c r="B2" s="13" t="s">
        <v>463</v>
      </c>
      <c r="C2" s="13" t="s">
        <v>464</v>
      </c>
      <c r="D2" s="13" t="s">
        <v>465</v>
      </c>
      <c r="E2" s="13" t="s">
        <v>470</v>
      </c>
      <c r="F2" s="13" t="s">
        <v>466</v>
      </c>
      <c r="G2" s="13" t="s">
        <v>467</v>
      </c>
      <c r="H2" s="13" t="s">
        <v>468</v>
      </c>
      <c r="I2" s="13" t="s">
        <v>281</v>
      </c>
      <c r="J2" s="13" t="s">
        <v>282</v>
      </c>
      <c r="K2" s="13"/>
      <c r="L2" s="13"/>
      <c r="M2" s="13"/>
      <c r="N2" s="13"/>
      <c r="O2" s="13"/>
    </row>
    <row xmlns:x14ac="http://schemas.microsoft.com/office/spreadsheetml/2009/9/ac" r="3" x14ac:dyDescent="0.3">
      <c r="A3" s="12" t="s">
        <v>439</v>
      </c>
      <c r="B3" s="3">
        <v>1</v>
      </c>
      <c r="C3" s="3">
        <v>0.25</v>
      </c>
      <c r="D3" s="3">
        <v>0.25</v>
      </c>
      <c r="E3" s="3">
        <v>0.25</v>
      </c>
      <c r="F3" s="3">
        <v>0.25</v>
      </c>
      <c r="G3" s="3">
        <v>0.25</v>
      </c>
      <c r="H3" s="3">
        <v>0.25</v>
      </c>
      <c r="I3" s="3">
        <v>1.7343976283205826e-06</v>
      </c>
      <c r="J3" s="3">
        <v>1.7343976283205826e-06</v>
      </c>
      <c r="K3" s="3"/>
      <c r="L3" s="3"/>
      <c r="M3" s="3"/>
      <c r="N3" s="3"/>
      <c r="O3" s="3"/>
    </row>
    <row xmlns:x14ac="http://schemas.microsoft.com/office/spreadsheetml/2009/9/ac" r="4" x14ac:dyDescent="0.3">
      <c r="A4" s="14" t="s">
        <v>440</v>
      </c>
      <c r="B4" s="9">
        <v>0.25</v>
      </c>
      <c r="C4" s="9">
        <v>0.25</v>
      </c>
      <c r="D4" s="9">
        <v>0.25</v>
      </c>
      <c r="E4" s="9">
        <v>0.25</v>
      </c>
      <c r="F4" s="9">
        <v>0.25</v>
      </c>
      <c r="G4" s="9">
        <v>0.25</v>
      </c>
      <c r="H4" s="9">
        <v>0.25</v>
      </c>
      <c r="I4" s="9">
        <v>1.7343976283205826e-06</v>
      </c>
      <c r="J4" s="9">
        <v>1.7343976283205826e-06</v>
      </c>
      <c r="K4" s="9"/>
      <c r="L4" s="9"/>
      <c r="M4" s="9"/>
      <c r="N4" s="9"/>
      <c r="O4" s="9"/>
    </row>
    <row xmlns:x14ac="http://schemas.microsoft.com/office/spreadsheetml/2009/9/ac" r="5" x14ac:dyDescent="0.3">
      <c r="A5" s="14" t="s">
        <v>441</v>
      </c>
      <c r="B5" s="9">
        <v>0.75</v>
      </c>
      <c r="C5" s="9">
        <v>0.5</v>
      </c>
      <c r="D5" s="9">
        <v>0.25</v>
      </c>
      <c r="E5" s="9">
        <v>0.25</v>
      </c>
      <c r="F5" s="9">
        <v>0.25</v>
      </c>
      <c r="G5" s="9">
        <v>0.25</v>
      </c>
      <c r="H5" s="9">
        <v>0.25</v>
      </c>
      <c r="I5" s="9">
        <v>1.7343976283205826e-06</v>
      </c>
      <c r="J5" s="9">
        <v>1.7343976283205826e-06</v>
      </c>
      <c r="K5" s="9"/>
      <c r="L5" s="9"/>
      <c r="M5" s="9"/>
      <c r="N5" s="9"/>
      <c r="O5" s="9"/>
    </row>
    <row xmlns:x14ac="http://schemas.microsoft.com/office/spreadsheetml/2009/9/ac" r="6" x14ac:dyDescent="0.3">
      <c r="A6" s="14" t="s">
        <v>442</v>
      </c>
      <c r="B6" s="9">
        <v>0.25</v>
      </c>
      <c r="C6" s="9">
        <v>1</v>
      </c>
      <c r="D6" s="9">
        <v>0.75</v>
      </c>
      <c r="E6" s="9">
        <v>0.25</v>
      </c>
      <c r="F6" s="9">
        <v>0.25</v>
      </c>
      <c r="G6" s="9">
        <v>0.25</v>
      </c>
      <c r="H6" s="9">
        <v>0.25</v>
      </c>
      <c r="I6" s="9">
        <v>0.18462187723062617</v>
      </c>
      <c r="J6" s="9">
        <v>0.0033788544377188557</v>
      </c>
      <c r="K6" s="9"/>
      <c r="L6" s="9"/>
      <c r="M6" s="9"/>
      <c r="N6" s="9"/>
      <c r="O6" s="9"/>
    </row>
    <row xmlns:x14ac="http://schemas.microsoft.com/office/spreadsheetml/2009/9/ac" r="7" x14ac:dyDescent="0.3">
      <c r="A7" s="14" t="s">
        <v>443</v>
      </c>
      <c r="B7" s="9">
        <v>0.75</v>
      </c>
      <c r="C7" s="9">
        <v>0.5</v>
      </c>
      <c r="D7" s="9">
        <v>0.25</v>
      </c>
      <c r="E7" s="9">
        <v>0.25</v>
      </c>
      <c r="F7" s="9">
        <v>0.25</v>
      </c>
      <c r="G7" s="9">
        <v>0.25</v>
      </c>
      <c r="H7" s="9">
        <v>0.25</v>
      </c>
      <c r="I7" s="9">
        <v>0.00066392128426448005</v>
      </c>
      <c r="J7" s="9">
        <v>2.6033283895389329e-06</v>
      </c>
      <c r="K7" s="9"/>
      <c r="L7" s="9"/>
      <c r="M7" s="9"/>
      <c r="N7" s="9"/>
      <c r="O7" s="9"/>
    </row>
    <row xmlns:x14ac="http://schemas.microsoft.com/office/spreadsheetml/2009/9/ac" r="8" x14ac:dyDescent="0.3">
      <c r="A8" s="14" t="s">
        <v>444</v>
      </c>
      <c r="B8" s="9">
        <v>0.75</v>
      </c>
      <c r="C8" s="9">
        <v>0.5</v>
      </c>
      <c r="D8" s="9">
        <v>0.5</v>
      </c>
      <c r="E8" s="9">
        <v>0.5</v>
      </c>
      <c r="F8" s="9">
        <v>0.25</v>
      </c>
      <c r="G8" s="9">
        <v>0.25</v>
      </c>
      <c r="H8" s="9">
        <v>0.25</v>
      </c>
      <c r="I8" s="9">
        <v>0.0004896900705332653</v>
      </c>
      <c r="J8" s="9">
        <v>1.3601107967991009e-05</v>
      </c>
      <c r="K8" s="9"/>
      <c r="L8" s="9"/>
      <c r="M8" s="9"/>
      <c r="N8" s="9"/>
      <c r="O8" s="9"/>
    </row>
    <row xmlns:x14ac="http://schemas.microsoft.com/office/spreadsheetml/2009/9/ac" r="9" x14ac:dyDescent="0.3">
      <c r="A9" s="14" t="s">
        <v>445</v>
      </c>
      <c r="B9" s="9">
        <v>1</v>
      </c>
      <c r="C9" s="9">
        <v>0.25</v>
      </c>
      <c r="D9" s="9">
        <v>0.25</v>
      </c>
      <c r="E9" s="9">
        <v>0.25</v>
      </c>
      <c r="F9" s="9">
        <v>0.25</v>
      </c>
      <c r="G9" s="9">
        <v>0.25</v>
      </c>
      <c r="H9" s="9">
        <v>0.25</v>
      </c>
      <c r="I9" s="9">
        <v>1.4935639298398709e-05</v>
      </c>
      <c r="J9" s="9">
        <v>0.010444400581851162</v>
      </c>
      <c r="K9" s="9"/>
      <c r="L9" s="9"/>
      <c r="M9" s="9"/>
      <c r="N9" s="9"/>
      <c r="O9" s="9"/>
    </row>
    <row xmlns:x14ac="http://schemas.microsoft.com/office/spreadsheetml/2009/9/ac" r="10" x14ac:dyDescent="0.3">
      <c r="A10" s="14" t="s">
        <v>446</v>
      </c>
      <c r="B10" s="9">
        <v>0.75</v>
      </c>
      <c r="C10" s="9">
        <v>0.5</v>
      </c>
      <c r="D10" s="9">
        <v>0.75</v>
      </c>
      <c r="E10" s="9">
        <v>0.25</v>
      </c>
      <c r="F10" s="9">
        <v>0.25</v>
      </c>
      <c r="G10" s="9">
        <v>0.25</v>
      </c>
      <c r="H10" s="9">
        <v>0.25</v>
      </c>
      <c r="I10" s="9">
        <v>1.7343976283205826e-06</v>
      </c>
      <c r="J10" s="9">
        <v>0.00077121736520955296</v>
      </c>
      <c r="K10" s="9"/>
      <c r="L10" s="9"/>
      <c r="M10" s="9"/>
      <c r="N10" s="9"/>
      <c r="O10" s="9"/>
    </row>
    <row xmlns:x14ac="http://schemas.microsoft.com/office/spreadsheetml/2009/9/ac" r="11" x14ac:dyDescent="0.3">
      <c r="A11" s="14" t="s">
        <v>447</v>
      </c>
      <c r="B11" s="9">
        <v>1</v>
      </c>
      <c r="C11" s="9">
        <v>0.5</v>
      </c>
      <c r="D11" s="9">
        <v>0.25</v>
      </c>
      <c r="E11" s="9">
        <v>0.25</v>
      </c>
      <c r="F11" s="9">
        <v>0.25</v>
      </c>
      <c r="G11" s="9">
        <v>0.25</v>
      </c>
      <c r="H11" s="9">
        <v>0.25</v>
      </c>
      <c r="I11" s="9">
        <v>0.38203416302245696</v>
      </c>
      <c r="J11" s="9">
        <v>0.95899017213689108</v>
      </c>
      <c r="K11" s="9"/>
      <c r="L11" s="9"/>
      <c r="M11" s="9"/>
      <c r="N11" s="9"/>
      <c r="O11" s="9"/>
    </row>
    <row xmlns:x14ac="http://schemas.microsoft.com/office/spreadsheetml/2009/9/ac" r="12" x14ac:dyDescent="0.3">
      <c r="A12" s="13" t="s">
        <v>448</v>
      </c>
      <c r="B12" s="11">
        <v>1</v>
      </c>
      <c r="C12" s="11">
        <v>0.25</v>
      </c>
      <c r="D12" s="11">
        <v>0.25</v>
      </c>
      <c r="E12" s="11">
        <v>0.25</v>
      </c>
      <c r="F12" s="11">
        <v>0.25</v>
      </c>
      <c r="G12" s="11">
        <v>0.25</v>
      </c>
      <c r="H12" s="11">
        <v>0.25</v>
      </c>
      <c r="I12" s="11">
        <v>1.7988480691799094e-05</v>
      </c>
      <c r="J12" s="11">
        <v>1.7343976283205826e-06</v>
      </c>
      <c r="K12" s="11"/>
      <c r="L12" s="11"/>
      <c r="M12" s="11"/>
      <c r="N12" s="11"/>
      <c r="O12" s="11"/>
    </row>
  </sheetData>
  <mergeCells count="1">
    <mergeCell ref="A1:O1"/>
  </mergeCells>
  <conditionalFormatting sqref="B3:O1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workbookViewId="0">
      <selection activeCell="E14" sqref="E14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customWidth="true"/>
    <col min="3" max="3" width="18.6640625" customWidth="true"/>
    <col min="4" max="4" width="18.6640625" customWidth="true"/>
    <col min="5" max="5" width="20.6640625" customWidth="true"/>
    <col min="6" max="6" width="15.44140625" customWidth="true"/>
    <col min="7" max="7" width="14.33203125" customWidth="true"/>
    <col min="9" max="9" width="14.37890625" customWidth="true"/>
    <col min="10" max="10" width="15.37890625" bestFit="true" customWidth="true"/>
    <col min="8" max="8" width="13.44140625" customWidth="true"/>
    <col min="11" max="11" width="2" bestFit="true" customWidth="true"/>
  </cols>
  <sheetData>
    <row xmlns:x14ac="http://schemas.microsoft.com/office/spreadsheetml/2009/9/ac" r="1" ht="15" thickBot="true" x14ac:dyDescent="0.35">
      <c r="A1" s="25" t="s">
        <v>171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xmlns:x14ac="http://schemas.microsoft.com/office/spreadsheetml/2009/9/ac" r="2" x14ac:dyDescent="0.3">
      <c r="A2" s="5" t="s">
        <v>438</v>
      </c>
      <c r="B2" s="5" t="s">
        <v>463</v>
      </c>
      <c r="C2" s="5" t="s">
        <v>464</v>
      </c>
      <c r="D2" s="5" t="s">
        <v>465</v>
      </c>
      <c r="E2" s="5" t="s">
        <v>470</v>
      </c>
      <c r="F2" s="5" t="s">
        <v>466</v>
      </c>
      <c r="G2" s="5" t="s">
        <v>467</v>
      </c>
      <c r="H2" s="5" t="s">
        <v>468</v>
      </c>
      <c r="I2" s="5" t="s">
        <v>301</v>
      </c>
      <c r="J2" s="5" t="s">
        <v>302</v>
      </c>
      <c r="K2" s="5">
        <v>1</v>
      </c>
      <c r="L2" s="5"/>
      <c r="M2" s="5"/>
      <c r="N2" s="5"/>
      <c r="O2" s="5"/>
    </row>
    <row xmlns:x14ac="http://schemas.microsoft.com/office/spreadsheetml/2009/9/ac" r="3" x14ac:dyDescent="0.3">
      <c r="A3" s="2" t="s">
        <v>439</v>
      </c>
      <c r="B3" s="26">
        <v>0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1</v>
      </c>
      <c r="J3" s="26">
        <v>1</v>
      </c>
      <c r="K3" s="26">
        <v>1</v>
      </c>
      <c r="L3" s="26"/>
      <c r="M3" s="26"/>
      <c r="N3" s="26"/>
      <c r="O3" s="26"/>
    </row>
    <row xmlns:x14ac="http://schemas.microsoft.com/office/spreadsheetml/2009/9/ac" r="4" x14ac:dyDescent="0.3">
      <c r="A4" s="10" t="s">
        <v>440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1</v>
      </c>
      <c r="J4" s="27">
        <v>1</v>
      </c>
      <c r="K4" s="27">
        <v>0</v>
      </c>
      <c r="L4" s="27"/>
      <c r="M4" s="27"/>
      <c r="N4" s="27"/>
      <c r="O4" s="27"/>
    </row>
    <row xmlns:x14ac="http://schemas.microsoft.com/office/spreadsheetml/2009/9/ac" r="5" x14ac:dyDescent="0.3">
      <c r="A5" s="10" t="s">
        <v>441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1</v>
      </c>
      <c r="J5" s="27">
        <v>1</v>
      </c>
      <c r="K5" s="27">
        <v>1</v>
      </c>
      <c r="L5" s="27"/>
      <c r="M5" s="27"/>
      <c r="N5" s="27"/>
      <c r="O5" s="27"/>
    </row>
    <row xmlns:x14ac="http://schemas.microsoft.com/office/spreadsheetml/2009/9/ac" r="6" x14ac:dyDescent="0.3">
      <c r="A6" s="10" t="s">
        <v>442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1</v>
      </c>
      <c r="K6" s="27">
        <v>1</v>
      </c>
      <c r="L6" s="27"/>
      <c r="M6" s="27"/>
      <c r="N6" s="27"/>
      <c r="O6" s="27"/>
    </row>
    <row xmlns:x14ac="http://schemas.microsoft.com/office/spreadsheetml/2009/9/ac" r="7" x14ac:dyDescent="0.3">
      <c r="A7" s="10" t="s">
        <v>443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1</v>
      </c>
      <c r="J7" s="27">
        <v>1</v>
      </c>
      <c r="K7" s="27">
        <v>1</v>
      </c>
      <c r="L7" s="27"/>
      <c r="M7" s="27"/>
      <c r="N7" s="27"/>
      <c r="O7" s="27"/>
    </row>
    <row xmlns:x14ac="http://schemas.microsoft.com/office/spreadsheetml/2009/9/ac" r="8" x14ac:dyDescent="0.3">
      <c r="A8" s="10" t="s">
        <v>444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1</v>
      </c>
      <c r="J8" s="27">
        <v>1</v>
      </c>
      <c r="K8" s="27">
        <v>1</v>
      </c>
      <c r="L8" s="27"/>
      <c r="M8" s="27"/>
      <c r="N8" s="27"/>
      <c r="O8" s="27"/>
    </row>
    <row xmlns:x14ac="http://schemas.microsoft.com/office/spreadsheetml/2009/9/ac" r="9" x14ac:dyDescent="0.3">
      <c r="A9" s="10" t="s">
        <v>445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1</v>
      </c>
      <c r="J9" s="27">
        <v>1</v>
      </c>
      <c r="K9" s="27">
        <v>1</v>
      </c>
      <c r="L9" s="27"/>
      <c r="M9" s="27"/>
      <c r="N9" s="27"/>
      <c r="O9" s="27"/>
    </row>
    <row xmlns:x14ac="http://schemas.microsoft.com/office/spreadsheetml/2009/9/ac" r="10" x14ac:dyDescent="0.3">
      <c r="A10" s="10" t="s">
        <v>446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1</v>
      </c>
      <c r="J10" s="27">
        <v>1</v>
      </c>
      <c r="K10" s="27">
        <v>1</v>
      </c>
      <c r="L10" s="27"/>
      <c r="M10" s="27"/>
      <c r="N10" s="27"/>
      <c r="O10" s="27"/>
    </row>
    <row xmlns:x14ac="http://schemas.microsoft.com/office/spreadsheetml/2009/9/ac" r="11" x14ac:dyDescent="0.3">
      <c r="A11" s="10" t="s">
        <v>447</v>
      </c>
      <c r="B11" s="27">
        <v>0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1</v>
      </c>
      <c r="L11" s="27"/>
      <c r="M11" s="27"/>
      <c r="N11" s="27"/>
      <c r="O11" s="27"/>
    </row>
    <row xmlns:x14ac="http://schemas.microsoft.com/office/spreadsheetml/2009/9/ac" r="12" x14ac:dyDescent="0.3">
      <c r="A12" s="5" t="s">
        <v>448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1</v>
      </c>
      <c r="J12" s="28">
        <v>1</v>
      </c>
      <c r="K12" s="28"/>
      <c r="L12" s="28"/>
      <c r="M12" s="28"/>
      <c r="N12" s="28"/>
      <c r="O12" s="28"/>
    </row>
  </sheetData>
  <mergeCells count="1">
    <mergeCell ref="A1:O1"/>
  </mergeCells>
  <conditionalFormatting sqref="B3:O1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2"/>
  <sheetViews>
    <sheetView workbookViewId="0">
      <selection sqref="A1:O2"/>
    </sheetView>
  </sheetViews>
  <sheetFormatPr xmlns:x14ac="http://schemas.microsoft.com/office/spreadsheetml/2009/9/ac" defaultRowHeight="14.4" x14ac:dyDescent="0.3"/>
  <cols>
    <col min="1" max="1" width="8" style="7" bestFit="true" customWidth="true"/>
    <col min="2" max="2" width="18.6640625" style="7" bestFit="true" customWidth="true"/>
    <col min="3" max="3" width="18.6640625" style="7" bestFit="true" customWidth="true"/>
    <col min="4" max="4" width="18.6640625" style="7" bestFit="true" customWidth="true"/>
    <col min="5" max="5" width="20.6640625" style="7" bestFit="true" customWidth="true"/>
    <col min="6" max="6" width="15.44140625" style="7" bestFit="true" customWidth="true"/>
    <col min="7" max="7" width="14.33203125" style="7" bestFit="true" customWidth="true"/>
    <col min="9" max="9" width="14.37890625" style="7" bestFit="true" customWidth="true"/>
    <col min="10" max="10" width="15.37890625" style="7" bestFit="true" customWidth="true"/>
    <col min="12" max="16384" width="8.88671875" style="7"/>
    <col min="8" max="8" width="13.44140625" style="7" bestFit="true" customWidth="true"/>
    <col min="11" max="11" width="4" style="7" bestFit="true" customWidth="true"/>
  </cols>
  <sheetData>
    <row xmlns:x14ac="http://schemas.microsoft.com/office/spreadsheetml/2009/9/ac" r="1" ht="15" thickBot="true" x14ac:dyDescent="0.35">
      <c r="A1" s="25" t="s">
        <v>172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xmlns:x14ac="http://schemas.microsoft.com/office/spreadsheetml/2009/9/ac" r="2" x14ac:dyDescent="0.3">
      <c r="A2" s="5" t="s">
        <v>438</v>
      </c>
      <c r="B2" s="5" t="s">
        <v>463</v>
      </c>
      <c r="C2" s="5" t="s">
        <v>464</v>
      </c>
      <c r="D2" s="5" t="s">
        <v>465</v>
      </c>
      <c r="E2" s="5" t="s">
        <v>470</v>
      </c>
      <c r="F2" s="5" t="s">
        <v>466</v>
      </c>
      <c r="G2" s="5" t="s">
        <v>467</v>
      </c>
      <c r="H2" s="5" t="s">
        <v>468</v>
      </c>
      <c r="I2" s="5" t="s">
        <v>321</v>
      </c>
      <c r="J2" s="5" t="s">
        <v>322</v>
      </c>
      <c r="K2" s="5">
        <v>0</v>
      </c>
      <c r="L2" s="5"/>
      <c r="M2" s="5"/>
      <c r="N2" s="5"/>
      <c r="O2" s="5"/>
    </row>
    <row xmlns:x14ac="http://schemas.microsoft.com/office/spreadsheetml/2009/9/ac" r="3" x14ac:dyDescent="0.3">
      <c r="A3" s="2" t="s">
        <v>439</v>
      </c>
      <c r="B3" s="2">
        <v>3</v>
      </c>
      <c r="C3" s="2">
        <v>6</v>
      </c>
      <c r="D3" s="2">
        <v>6</v>
      </c>
      <c r="E3" s="2">
        <v>6</v>
      </c>
      <c r="F3" s="2">
        <v>6</v>
      </c>
      <c r="G3" s="2">
        <v>6</v>
      </c>
      <c r="H3" s="2">
        <v>6</v>
      </c>
      <c r="I3" s="2">
        <v>0</v>
      </c>
      <c r="J3" s="2">
        <v>0</v>
      </c>
      <c r="K3" s="2">
        <v>0</v>
      </c>
      <c r="L3" s="2"/>
      <c r="M3" s="2"/>
      <c r="N3" s="2"/>
      <c r="O3" s="2"/>
    </row>
    <row xmlns:x14ac="http://schemas.microsoft.com/office/spreadsheetml/2009/9/ac" r="4" x14ac:dyDescent="0.3">
      <c r="A4" s="10" t="s">
        <v>440</v>
      </c>
      <c r="B4" s="10">
        <v>6</v>
      </c>
      <c r="C4" s="10">
        <v>6</v>
      </c>
      <c r="D4" s="10">
        <v>6</v>
      </c>
      <c r="E4" s="10">
        <v>6</v>
      </c>
      <c r="F4" s="10">
        <v>6</v>
      </c>
      <c r="G4" s="10">
        <v>6</v>
      </c>
      <c r="H4" s="10">
        <v>6</v>
      </c>
      <c r="I4" s="10">
        <v>0</v>
      </c>
      <c r="J4" s="10">
        <v>0</v>
      </c>
      <c r="K4" s="10">
        <v>225</v>
      </c>
      <c r="L4" s="10"/>
      <c r="M4" s="10"/>
      <c r="N4" s="10"/>
      <c r="O4" s="10"/>
    </row>
    <row xmlns:x14ac="http://schemas.microsoft.com/office/spreadsheetml/2009/9/ac" r="5" x14ac:dyDescent="0.3">
      <c r="A5" s="10" t="s">
        <v>441</v>
      </c>
      <c r="B5" s="10">
        <v>4</v>
      </c>
      <c r="C5" s="10">
        <v>5</v>
      </c>
      <c r="D5" s="10">
        <v>6</v>
      </c>
      <c r="E5" s="10">
        <v>6</v>
      </c>
      <c r="F5" s="10">
        <v>6</v>
      </c>
      <c r="G5" s="10">
        <v>6</v>
      </c>
      <c r="H5" s="10">
        <v>6</v>
      </c>
      <c r="I5" s="10">
        <v>0</v>
      </c>
      <c r="J5" s="10">
        <v>0</v>
      </c>
      <c r="K5" s="10">
        <v>111</v>
      </c>
      <c r="L5" s="10"/>
      <c r="M5" s="10"/>
      <c r="N5" s="10"/>
      <c r="O5" s="10"/>
    </row>
    <row xmlns:x14ac="http://schemas.microsoft.com/office/spreadsheetml/2009/9/ac" r="6" x14ac:dyDescent="0.3">
      <c r="A6" s="10" t="s">
        <v>442</v>
      </c>
      <c r="B6" s="10">
        <v>0</v>
      </c>
      <c r="C6" s="10">
        <v>3</v>
      </c>
      <c r="D6" s="10">
        <v>4</v>
      </c>
      <c r="E6" s="10">
        <v>6</v>
      </c>
      <c r="F6" s="10">
        <v>6</v>
      </c>
      <c r="G6" s="10">
        <v>6</v>
      </c>
      <c r="H6" s="10">
        <v>6</v>
      </c>
      <c r="I6" s="10">
        <v>168</v>
      </c>
      <c r="J6" s="10">
        <v>375</v>
      </c>
      <c r="K6" s="10">
        <v>431</v>
      </c>
      <c r="L6" s="10"/>
      <c r="M6" s="10"/>
      <c r="N6" s="10"/>
      <c r="O6" s="10"/>
    </row>
    <row xmlns:x14ac="http://schemas.microsoft.com/office/spreadsheetml/2009/9/ac" r="7" x14ac:dyDescent="0.3">
      <c r="A7" s="10" t="s">
        <v>443</v>
      </c>
      <c r="B7" s="10">
        <v>4</v>
      </c>
      <c r="C7" s="10">
        <v>5</v>
      </c>
      <c r="D7" s="10">
        <v>6</v>
      </c>
      <c r="E7" s="10">
        <v>6</v>
      </c>
      <c r="F7" s="10">
        <v>6</v>
      </c>
      <c r="G7" s="10">
        <v>6</v>
      </c>
      <c r="H7" s="10">
        <v>6</v>
      </c>
      <c r="I7" s="10">
        <v>67</v>
      </c>
      <c r="J7" s="10">
        <v>4</v>
      </c>
      <c r="K7" s="10">
        <v>19</v>
      </c>
      <c r="L7" s="10"/>
      <c r="M7" s="10"/>
      <c r="N7" s="10"/>
      <c r="O7" s="10"/>
    </row>
    <row xmlns:x14ac="http://schemas.microsoft.com/office/spreadsheetml/2009/9/ac" r="8" x14ac:dyDescent="0.3">
      <c r="A8" s="10" t="s">
        <v>444</v>
      </c>
      <c r="B8" s="10">
        <v>2</v>
      </c>
      <c r="C8" s="10">
        <v>5</v>
      </c>
      <c r="D8" s="10">
        <v>5</v>
      </c>
      <c r="E8" s="10">
        <v>5</v>
      </c>
      <c r="F8" s="10">
        <v>6</v>
      </c>
      <c r="G8" s="10">
        <v>6</v>
      </c>
      <c r="H8" s="10">
        <v>6</v>
      </c>
      <c r="I8" s="10">
        <v>63</v>
      </c>
      <c r="J8" s="10">
        <v>444</v>
      </c>
      <c r="K8" s="10">
        <v>102</v>
      </c>
      <c r="L8" s="10"/>
      <c r="M8" s="10"/>
      <c r="N8" s="10"/>
      <c r="O8" s="10"/>
    </row>
    <row xmlns:x14ac="http://schemas.microsoft.com/office/spreadsheetml/2009/9/ac" r="9" x14ac:dyDescent="0.3">
      <c r="A9" s="10" t="s">
        <v>445</v>
      </c>
      <c r="B9" s="10">
        <v>3</v>
      </c>
      <c r="C9" s="10">
        <v>6</v>
      </c>
      <c r="D9" s="10">
        <v>6</v>
      </c>
      <c r="E9" s="10">
        <v>6</v>
      </c>
      <c r="F9" s="10">
        <v>6</v>
      </c>
      <c r="G9" s="10">
        <v>6</v>
      </c>
      <c r="H9" s="10">
        <v>6</v>
      </c>
      <c r="I9" s="10">
        <v>22</v>
      </c>
      <c r="J9" s="10">
        <v>108</v>
      </c>
      <c r="K9" s="10">
        <v>48</v>
      </c>
      <c r="L9" s="10"/>
      <c r="M9" s="10"/>
      <c r="N9" s="10"/>
      <c r="O9" s="10"/>
    </row>
    <row xmlns:x14ac="http://schemas.microsoft.com/office/spreadsheetml/2009/9/ac" r="10" x14ac:dyDescent="0.3">
      <c r="A10" s="10" t="s">
        <v>446</v>
      </c>
      <c r="B10" s="10">
        <v>4</v>
      </c>
      <c r="C10" s="10">
        <v>5</v>
      </c>
      <c r="D10" s="10">
        <v>4</v>
      </c>
      <c r="E10" s="10">
        <v>6</v>
      </c>
      <c r="F10" s="10">
        <v>6</v>
      </c>
      <c r="G10" s="10">
        <v>6</v>
      </c>
      <c r="H10" s="10">
        <v>6</v>
      </c>
      <c r="I10" s="10">
        <v>0</v>
      </c>
      <c r="J10" s="10">
        <v>69</v>
      </c>
      <c r="K10" s="10">
        <v>8</v>
      </c>
      <c r="L10" s="10"/>
      <c r="M10" s="10"/>
      <c r="N10" s="10"/>
      <c r="O10" s="10"/>
    </row>
    <row xmlns:x14ac="http://schemas.microsoft.com/office/spreadsheetml/2009/9/ac" r="11" x14ac:dyDescent="0.3">
      <c r="A11" s="10" t="s">
        <v>447</v>
      </c>
      <c r="B11" s="10">
        <v>3</v>
      </c>
      <c r="C11" s="10">
        <v>5</v>
      </c>
      <c r="D11" s="10">
        <v>6</v>
      </c>
      <c r="E11" s="10">
        <v>6</v>
      </c>
      <c r="F11" s="10">
        <v>6</v>
      </c>
      <c r="G11" s="10">
        <v>6</v>
      </c>
      <c r="H11" s="10">
        <v>6</v>
      </c>
      <c r="I11" s="10">
        <v>275</v>
      </c>
      <c r="J11" s="10">
        <v>230</v>
      </c>
      <c r="K11" s="10">
        <v>45</v>
      </c>
      <c r="L11" s="10"/>
      <c r="M11" s="10"/>
      <c r="N11" s="10"/>
      <c r="O11" s="10"/>
    </row>
    <row xmlns:x14ac="http://schemas.microsoft.com/office/spreadsheetml/2009/9/ac" r="12" x14ac:dyDescent="0.3">
      <c r="A12" s="5" t="s">
        <v>448</v>
      </c>
      <c r="B12" s="5">
        <v>3</v>
      </c>
      <c r="C12" s="5">
        <v>6</v>
      </c>
      <c r="D12" s="5">
        <v>6</v>
      </c>
      <c r="E12" s="5">
        <v>6</v>
      </c>
      <c r="F12" s="5">
        <v>6</v>
      </c>
      <c r="G12" s="5">
        <v>6</v>
      </c>
      <c r="H12" s="5">
        <v>6</v>
      </c>
      <c r="I12" s="5">
        <v>24</v>
      </c>
      <c r="J12" s="5">
        <v>0</v>
      </c>
      <c r="K12" s="5"/>
      <c r="L12" s="5"/>
      <c r="M12" s="5"/>
      <c r="N12" s="5"/>
      <c r="O12" s="5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xmlns:x14ac="http://schemas.microsoft.com/office/spreadsheetml/2009/9/ac" defaultRowHeight="14.4" x14ac:dyDescent="0.3"/>
  <cols>
    <col min="1" max="1" width="46.109375" customWidth="true"/>
  </cols>
  <sheetData>
    <row xmlns:x14ac="http://schemas.microsoft.com/office/spreadsheetml/2009/9/ac" r="1" x14ac:dyDescent="0.3">
      <c r="A1" s="0" t="s">
        <v>454</v>
      </c>
    </row>
    <row xmlns:x14ac="http://schemas.microsoft.com/office/spreadsheetml/2009/9/ac" r="2" x14ac:dyDescent="0.3">
      <c r="A2" s="0" t="s">
        <v>455</v>
      </c>
    </row>
    <row xmlns:x14ac="http://schemas.microsoft.com/office/spreadsheetml/2009/9/ac" r="3" x14ac:dyDescent="0.3">
      <c r="A3" s="0" t="s">
        <v>456</v>
      </c>
    </row>
    <row xmlns:x14ac="http://schemas.microsoft.com/office/spreadsheetml/2009/9/ac" r="4" x14ac:dyDescent="0.3">
      <c r="A4" s="0" t="s">
        <v>457</v>
      </c>
    </row>
    <row xmlns:x14ac="http://schemas.microsoft.com/office/spreadsheetml/2009/9/ac" r="5" x14ac:dyDescent="0.3">
      <c r="A5" s="0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2025-08-15T20:09:38Z</dcterms:modified>
</cp:coreProperties>
</file>