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05\"/>
    </mc:Choice>
  </mc:AlternateContent>
  <xr:revisionPtr revIDLastSave="0" documentId="13_ncr:1_{8EF43D38-CA3E-4442-9C94-BE7632C84AC0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<sst xmlns="http://schemas.openxmlformats.org/spreadsheetml/2006/main" xmlns:r="http://schemas.openxmlformats.org/officeDocument/2006/relationships" xmlns:xdr="http://schemas.openxmlformats.org/drawingml/2006/spreadsheetDrawing" count="4091" uniqueCount="2681">
  <si>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</si>
  <si>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</si>
  <si>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</si>
  <si>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</si>
  <si>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</si>
  <si>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</si>
  <si>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</si>
  <si>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</si>
  <si>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</si>
  <si>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</si>
  <si>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</si>
  <si>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</si>
  <si>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</si>
  <si>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</si>
  <si>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</si>
  <si>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</si>
  <si>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</si>
  <si>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</si>
  <si>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</si>
  <si>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</si>
  <si>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</si>
  <si>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</si>
  <si>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</si>
  <si>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</si>
  <si>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</si>
  <si>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</si>
  <si>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Unimodal
Functions</t>
  </si>
  <si>
    <t>Functions</t>
  </si>
  <si>
    <t>Column1</t>
  </si>
  <si>
    <t>Column2</t>
  </si>
  <si>
    <t>Multimodal
Functions</t>
  </si>
  <si>
    <t>Fixed-Dim
Multimodal
Functions</t>
  </si>
  <si>
    <t>Comparison of optimization results for the CEC benchmark functions 2005 (Fix Dim)</t>
  </si>
  <si>
    <t>Average rating in the set</t>
  </si>
  <si>
    <t>Total number of 
best answers</t>
  </si>
  <si>
    <t>Rank by total number of 
best answers</t>
  </si>
  <si>
    <t>Rank based on 
the average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</si>
  <si>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</si>
  <si>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</si>
  <si>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</si>
  <si>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</si>
  <si>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</si>
  <si>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</si>
  <si>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</si>
  <si>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</si>
  <si>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</si>
  <si>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</si>
  <si>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</si>
  <si>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</si>
  <si>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</si>
  <si>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</si>
  <si>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</si>
  <si>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</si>
  <si>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</si>
  <si>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</si>
  <si>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</si>
  <si>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</si>
  <si>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</si>
  <si>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</si>
  <si>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</si>
  <si>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</si>
  <si>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</si>
  <si>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</si>
  <si>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</si>
  <si>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</si>
  <si>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</si>
  <si>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</si>
  <si>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</si>
  <si>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</si>
  <si>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</si>
  <si>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</si>
  <si>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</si>
  <si>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</si>
  <si>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</si>
  <si>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</si>
  <si>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</si>
  <si>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</si>
  <si>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</si>
  <si>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</si>
  <si>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</si>
  <si>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</si>
  <si>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</si>
  <si>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</si>
  <si>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</si>
  <si>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</si>
  <si>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</si>
  <si>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</si>
  <si>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</si>
  <si>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</si>
  <si>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</si>
  <si>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</si>
  <si>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</si>
  <si>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</si>
  <si>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</si>
  <si>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</si>
  <si>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</si>
  <si>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</si>
  <si>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</si>
  <si>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</si>
  <si>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</si>
  <si>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</si>
  <si>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</si>
  <si>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</si>
  <si>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</si>
  <si>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</si>
  <si>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</si>
  <si>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</si>
  <si>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</si>
  <si>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</si>
  <si>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</si>
  <si>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</si>
  <si>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</si>
  <si>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</si>
  <si>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</si>
  <si>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</si>
  <si>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</si>
  <si>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</si>
  <si>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</si>
  <si>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</si>
  <si>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</si>
  <si>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</si>
  <si>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</si>
  <si>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</si>
  <si>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</si>
  <si>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</si>
  <si>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</si>
  <si>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</si>
  <si>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</si>
  <si>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</si>
  <si>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</si>
  <si>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</si>
  <si>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</si>
  <si>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</si>
  <si>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</si>
  <si>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</si>
  <si>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</si>
  <si>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</si>
  <si>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</si>
  <si>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</si>
  <si>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</si>
  <si>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</si>
  <si>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</si>
  <si>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</si>
  <si>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</si>
  <si>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</si>
  <si>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</si>
  <si>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</si>
  <si>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</si>
  <si>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</si>
  <si>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</si>
  <si>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</si>
  <si>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</si>
  <si>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</si>
  <si>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</si>
  <si>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</si>
  <si>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</si>
  <si>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</si>
  <si>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</si>
  <si>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</si>
  <si>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</si>
  <si>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</si>
  <si>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</si>
  <si>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</si>
  <si>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</si>
  <si>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</si>
  <si>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</si>
  <si>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</si>
  <si>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</si>
  <si>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</si>
  <si>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</si>
  <si>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</si>
  <si>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</si>
  <si>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</si>
  <si>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</si>
  <si>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</si>
  <si>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</si>
  <si>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</si>
  <si>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</si>
  <si>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</si>
  <si>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</si>
  <si>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</si>
  <si>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</si>
  <si>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</si>
  <si>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</si>
  <si>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</si>
  <si>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</si>
  <si>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</si>
  <si>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</si>
  <si>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</si>
  <si>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</si>
  <si>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</si>
  <si>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</si>
  <si>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</si>
  <si>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</si>
  <si>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</si>
  <si>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</si>
  <si>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</si>
  <si>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</si>
  <si>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</si>
  <si>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</si>
  <si>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</si>
  <si>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</si>
  <si>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</si>
  <si>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</si>
  <si>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</si>
  <si>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</si>
  <si>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</si>
  <si>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</si>
  <si>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</si>
  <si>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</si>
  <si>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</si>
  <si>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</si>
  <si>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</si>
  <si>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</si>
  <si>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</si>
  <si>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</si>
  <si>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</si>
  <si>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</si>
  <si>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</si>
  <si>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</si>
  <si>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</si>
  <si>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</si>
  <si>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</si>
  <si>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</si>
  <si>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</si>
  <si>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</si>
  <si>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</si>
  <si>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</si>
  <si>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</si>
  <si>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P-value of the Wilcoxon analysis for the CEC benchmark functions 2005 (Fix Dim)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</si>
  <si>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</si>
  <si>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</si>
  <si>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</si>
  <si>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</si>
  <si>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</si>
  <si>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</si>
  <si>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</si>
  <si>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</si>
  <si>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</si>
  <si>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</si>
  <si>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</si>
  <si>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</si>
  <si>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</si>
  <si>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</si>
  <si>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</si>
  <si>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</si>
  <si>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</si>
  <si>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</si>
  <si>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</si>
  <si>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</si>
  <si>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</si>
  <si>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</si>
  <si>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</si>
  <si>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H-value of the Wilcoxon analysis for the CEC benchmark functions 2005 (Fix Dim)</t>
  </si>
  <si>
    <t>P-value of the T-test analysis for the CEC benchmark functions 2005 (Fix Dim)</t>
  </si>
  <si>
    <t>H-value of the T-test analysis for the CEC benchmark functions 2005 (Fix Dim)</t>
  </si>
  <si>
    <t>State of the Wilcoxon analysis for the CEC benchmark functions 2005 (Fix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</si>
  <si>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</si>
  <si>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</si>
  <si>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</si>
  <si>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</si>
  <si>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</si>
  <si>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</si>
  <si>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</si>
  <si>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</si>
  <si>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</si>
  <si>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</si>
  <si>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</si>
  <si>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</si>
  <si>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</si>
  <si>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</si>
  <si>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</si>
  <si>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</si>
  <si>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</si>
  <si>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</si>
  <si>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</si>
  <si>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</si>
  <si>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</si>
  <si>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</si>
  <si>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</si>
  <si>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</si>
  <si>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</si>
  <si>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</si>
  <si>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</si>
  <si>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</si>
  <si>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</si>
  <si>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</si>
  <si>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</si>
  <si>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</si>
  <si>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</si>
  <si>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</si>
  <si>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</si>
  <si>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</si>
  <si>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</si>
  <si>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</si>
  <si>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</si>
  <si>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</si>
  <si>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</si>
  <si>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</si>
  <si>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</si>
  <si>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</si>
  <si>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</si>
  <si>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</si>
  <si>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</si>
  <si>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</si>
  <si>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</si>
  <si>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</si>
  <si>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</si>
  <si>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</si>
  <si>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</si>
  <si>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</si>
  <si>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</si>
  <si>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</si>
  <si>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</si>
  <si>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</si>
  <si>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</si>
  <si>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</si>
  <si>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</si>
  <si>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</si>
  <si>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</si>
  <si>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</si>
  <si>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</si>
  <si>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</si>
  <si>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</si>
  <si>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</si>
  <si>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</si>
  <si>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</si>
  <si>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</si>
  <si>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</si>
  <si>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</si>
  <si>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</si>
  <si>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</si>
  <si>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</si>
  <si>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</si>
  <si>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</si>
  <si>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</si>
  <si>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</si>
  <si>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</si>
  <si>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</si>
  <si>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</si>
  <si>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</si>
  <si>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</si>
  <si>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</si>
  <si>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</si>
  <si>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</si>
  <si>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</si>
  <si>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</si>
  <si>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</si>
  <si>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</si>
  <si>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</si>
  <si>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</si>
  <si>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</si>
  <si>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</si>
  <si>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</si>
  <si>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</si>
  <si>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</si>
  <si>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</si>
  <si>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</si>
  <si>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</si>
  <si>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</si>
  <si>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</si>
  <si>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</si>
  <si>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</si>
  <si>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</si>
  <si>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</si>
  <si>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</si>
  <si>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</si>
  <si>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</si>
  <si>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</si>
  <si>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</si>
  <si>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</si>
  <si>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</si>
  <si>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</si>
  <si>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</si>
  <si>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</si>
  <si>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</si>
  <si>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</si>
  <si>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</si>
  <si>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</si>
  <si>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</si>
  <si>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</si>
  <si>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</si>
  <si>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</si>
  <si>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</si>
  <si>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</si>
  <si>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</si>
  <si>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</si>
  <si>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</si>
  <si>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</si>
  <si>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</si>
  <si>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</si>
  <si>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</si>
  <si>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</si>
  <si>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</si>
  <si>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</si>
  <si>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</si>
  <si>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</si>
  <si>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</si>
  <si>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</si>
  <si>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</si>
  <si>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</si>
  <si>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</si>
  <si>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</si>
  <si>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</si>
  <si>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</si>
  <si>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</si>
  <si>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</si>
  <si>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</si>
  <si>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</si>
  <si>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</si>
  <si>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</si>
  <si>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</si>
  <si>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</si>
  <si>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</si>
  <si>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</si>
  <si>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</si>
  <si>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</si>
  <si>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</si>
  <si>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</si>
  <si>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</si>
  <si>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</si>
  <si>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</si>
  <si>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</si>
  <si>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</si>
  <si>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</si>
  <si>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</si>
  <si>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</si>
  <si>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</si>
  <si>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</si>
  <si>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</si>
  <si>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</si>
  <si>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</si>
  <si>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</si>
  <si>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</si>
  <si>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</si>
  <si>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</si>
  <si>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</si>
  <si>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</si>
  <si>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</si>
  <si>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</si>
  <si>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</si>
  <si>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</si>
  <si>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</si>
  <si>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</si>
  <si>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</si>
  <si>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</si>
  <si>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</si>
  <si>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</si>
  <si>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</si>
  <si>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</si>
  <si>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</si>
  <si>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</si>
  <si>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</si>
  <si>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</si>
  <si>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</si>
  <si>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</si>
  <si>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</si>
  <si>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</si>
  <si>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</si>
  <si>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</si>
  <si>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</si>
  <si>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</si>
  <si>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</si>
  <si>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</si>
  <si>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</si>
  <si>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</si>
  <si>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</si>
  <si>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</si>
  <si>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</si>
  <si>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</si>
  <si>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</si>
  <si>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</si>
  <si>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</si>
  <si>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</si>
  <si>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</si>
  <si>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</si>
  <si>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</si>
  <si>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</si>
  <si>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</si>
  <si>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</si>
  <si>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</si>
  <si>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</si>
  <si>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</si>
  <si>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</si>
  <si>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</si>
  <si>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</si>
  <si>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</si>
  <si>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</si>
  <si>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</si>
  <si>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</si>
  <si>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</si>
  <si>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</si>
  <si>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</si>
  <si>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</si>
  <si>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</si>
  <si>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</si>
  <si>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</si>
  <si>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</si>
  <si>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</si>
  <si>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</si>
  <si>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</si>
  <si>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</si>
  <si>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</si>
  <si>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</si>
  <si>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</si>
  <si>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</si>
  <si>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</si>
  <si>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</si>
  <si>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</si>
  <si>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</si>
  <si>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</si>
  <si>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</si>
  <si>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</si>
  <si>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</si>
  <si>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</si>
  <si>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</si>
  <si>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</si>
  <si>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</si>
  <si>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</si>
  <si>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</si>
  <si>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</si>
  <si>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</si>
  <si>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</si>
  <si>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</si>
  <si>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</si>
  <si>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</si>
  <si>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</si>
  <si>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</si>
  <si>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</si>
  <si>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</si>
  <si>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</si>
  <si>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</si>
  <si>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</si>
  <si>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</si>
  <si>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</si>
  <si>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</si>
  <si>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</si>
  <si>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</si>
  <si>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</si>
  <si>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</si>
  <si>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</si>
  <si>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</si>
  <si>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</si>
  <si>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</si>
  <si>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</si>
  <si>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</si>
  <si>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</si>
  <si>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</si>
  <si>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</si>
  <si>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</si>
  <si>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</si>
  <si>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</si>
  <si>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</si>
  <si>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</si>
  <si>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</si>
  <si>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</si>
  <si>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</si>
  <si>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</si>
  <si>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</si>
  <si>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</si>
  <si>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</si>
  <si>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</si>
  <si>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</si>
  <si>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</si>
  <si>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</si>
  <si>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</si>
  <si>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</si>
  <si>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</si>
  <si>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</si>
  <si>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</si>
  <si>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</si>
  <si>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</si>
  <si>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</si>
  <si>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</si>
  <si>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</si>
  <si>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</si>
  <si>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</si>
  <si>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</si>
  <si>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</si>
  <si>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</si>
  <si>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</si>
  <si>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</si>
  <si>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</si>
  <si>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</si>
  <si>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</si>
  <si>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</si>
  <si>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</si>
  <si>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</si>
  <si>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</si>
  <si>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</si>
  <si>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</si>
  <si>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</si>
  <si>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</si>
  <si>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</si>
  <si>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</si>
  <si>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</si>
  <si>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</si>
  <si>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</si>
  <si>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</si>
  <si>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</si>
  <si>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</si>
  <si>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</si>
  <si>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</si>
  <si>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</si>
  <si>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</si>
  <si>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</si>
  <si>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</si>
  <si>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</si>
  <si>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</si>
  <si>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</si>
  <si>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</si>
  <si>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</si>
  <si>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</si>
  <si>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</si>
  <si>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</si>
  <si>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</si>
  <si>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</si>
  <si>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</si>
  <si>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</si>
  <si>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</si>
  <si>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</si>
  <si>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</si>
  <si>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</si>
  <si>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</si>
  <si>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</si>
  <si>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</si>
  <si>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</si>
  <si>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</si>
  <si>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</si>
  <si>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</si>
  <si>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</si>
  <si>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</si>
  <si>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</si>
  <si>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</si>
  <si>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</si>
  <si>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</si>
  <si>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</si>
  <si>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</si>
  <si>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</si>
  <si>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</si>
  <si>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</si>
  <si>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</si>
  <si>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</si>
  <si>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</si>
  <si>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</si>
  <si>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</si>
  <si>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</si>
  <si>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</si>
  <si>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</si>
  <si>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</si>
  <si>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</si>
  <si>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</si>
  <si>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</si>
  <si>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</si>
  <si>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</si>
  <si>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</si>
  <si>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</si>
  <si>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</si>
  <si>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</si>
  <si>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</si>
  <si>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</si>
  <si>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</si>
  <si>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</si>
  <si>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</si>
  <si>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</si>
  <si>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</si>
  <si>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</si>
  <si>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</si>
  <si>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</si>
  <si>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</si>
  <si>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</si>
  <si>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</si>
  <si>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</si>
  <si>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</si>
  <si>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</si>
  <si>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</si>
  <si>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</si>
  <si>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</si>
  <si>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</si>
  <si>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</si>
  <si>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</si>
  <si>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</si>
  <si>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</si>
  <si>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</si>
  <si>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</si>
  <si>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</si>
  <si>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</si>
  <si>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</si>
  <si>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</si>
  <si>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</si>
  <si>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</si>
  <si>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</si>
  <si>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</si>
  <si>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</si>
  <si>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</si>
  <si>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</si>
  <si>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</si>
  <si>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</si>
  <si>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</si>
  <si>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</si>
  <si>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</si>
  <si>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</si>
  <si>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</si>
  <si>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</si>
  <si>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</si>
  <si>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</si>
  <si>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</si>
  <si>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</si>
  <si>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</si>
  <si>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</si>
  <si>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</si>
  <si>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</si>
  <si>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</si>
  <si>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</si>
  <si>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</si>
  <si>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</si>
  <si>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</si>
  <si>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</si>
  <si>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</si>
  <si>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</si>
  <si>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</si>
  <si>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</si>
  <si>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</si>
  <si>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</si>
  <si>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</si>
  <si>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</si>
  <si>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</si>
  <si>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</si>
  <si>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</si>
  <si>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</si>
  <si>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</si>
  <si>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</si>
  <si>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</si>
  <si>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</si>
  <si>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</si>
  <si>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</si>
  <si>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</si>
  <si>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</si>
  <si>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</si>
  <si>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</si>
  <si>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</si>
  <si>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</si>
  <si>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</si>
  <si>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</si>
  <si>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</si>
  <si>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</si>
  <si>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</si>
  <si>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</si>
  <si>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</si>
  <si>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</si>
  <si>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</si>
  <si>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</si>
  <si>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</si>
  <si>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</si>
  <si>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</si>
  <si>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</si>
  <si>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</si>
  <si>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</si>
  <si>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</si>
  <si>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</si>
  <si>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</si>
  <si>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</si>
  <si>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</si>
  <si>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</si>
  <si>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</si>
  <si>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</si>
  <si>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</si>
  <si>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</si>
  <si>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</si>
  <si>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</si>
  <si>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</si>
  <si>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</si>
  <si>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</si>
  <si>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</si>
  <si>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</si>
  <si>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</si>
  <si>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</si>
  <si>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</si>
  <si>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</si>
  <si>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</si>
  <si>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</si>
  <si>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</si>
  <si>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</si>
  <si>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</si>
  <si>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</si>
  <si>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</si>
  <si>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</si>
  <si>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</si>
  <si>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</si>
  <si>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</si>
  <si>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</si>
  <si>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</si>
  <si>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</si>
  <si>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</si>
  <si>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</si>
  <si>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</si>
  <si>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</si>
  <si>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</si>
  <si>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</si>
  <si>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</si>
  <si>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</si>
  <si>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</si>
  <si>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</si>
  <si>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</si>
  <si>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</si>
  <si>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</si>
  <si>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</si>
  <si>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</si>
  <si>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</si>
  <si>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</si>
  <si>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</si>
  <si>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</si>
  <si>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</si>
  <si>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</si>
  <si>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</si>
  <si>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</si>
  <si>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</si>
  <si>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</si>
  <si>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</si>
  <si>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</si>
  <si>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</si>
  <si>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</si>
  <si>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</si>
  <si>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</si>
  <si>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</si>
  <si>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</si>
  <si>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</si>
  <si>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</si>
  <si>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</si>
  <si>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</si>
  <si>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</si>
  <si>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</si>
  <si>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</si>
  <si>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</si>
  <si>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</si>
  <si>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</si>
  <si>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</si>
  <si>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</si>
  <si>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</si>
  <si>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</si>
  <si>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</si>
  <si>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</si>
  <si>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</si>
  <si>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</si>
  <si>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</si>
  <si>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</si>
  <si>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</si>
  <si>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</si>
  <si>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</si>
  <si>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</si>
  <si>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</si>
  <si>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</si>
  <si>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</si>
  <si>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</si>
  <si>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</si>
  <si>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</si>
  <si>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</si>
  <si>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</si>
  <si>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</si>
  <si>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</si>
  <si>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</si>
  <si>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</si>
  <si>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</si>
  <si>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</si>
  <si>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</si>
  <si>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</si>
  <si>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</si>
  <si>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</si>
  <si>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</si>
  <si>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</si>
  <si>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</si>
  <si>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</si>
  <si>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</si>
  <si>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</si>
  <si>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</si>
  <si>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</si>
  <si>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</si>
  <si>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</si>
  <si>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</si>
  <si>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</si>
  <si>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</si>
  <si>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</si>
  <si>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</si>
  <si>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</si>
  <si>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</si>
  <si>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</si>
  <si>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</si>
  <si>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</si>
  <si>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</si>
  <si>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</si>
  <si>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</si>
  <si>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</si>
  <si>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</si>
  <si>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</si>
  <si>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</si>
  <si>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</si>
  <si>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</si>
  <si>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</si>
  <si>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</si>
  <si>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</si>
  <si>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</si>
  <si>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</si>
  <si>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</si>
  <si>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</si>
  <si>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</si>
  <si>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</si>
  <si>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</si>
  <si>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</si>
  <si>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</si>
  <si>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</si>
  <si>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</si>
  <si>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</si>
  <si>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</si>
  <si>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</si>
  <si>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</si>
  <si>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</si>
  <si>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</si>
  <si>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</si>
  <si>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</si>
  <si>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</si>
  <si>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</si>
  <si>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</si>
  <si>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</si>
  <si>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</si>
  <si>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</si>
  <si>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</si>
  <si>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</si>
  <si>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</si>
  <si>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</si>
  <si>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</si>
  <si>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</si>
  <si>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</si>
  <si>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</si>
  <si>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</si>
  <si>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</si>
  <si>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</si>
  <si>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</si>
  <si>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</si>
  <si>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</si>
  <si>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</si>
  <si>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</si>
  <si>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</si>
  <si>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</si>
  <si>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</si>
  <si>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</si>
  <si>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</si>
  <si>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</si>
  <si>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</si>
  <si>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</si>
  <si>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</si>
  <si>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</si>
  <si>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</si>
  <si>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</si>
  <si>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</si>
  <si>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</si>
  <si>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</si>
  <si>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</si>
  <si>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</si>
  <si>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</si>
  <si>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</si>
  <si>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</si>
  <si>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</si>
  <si>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</si>
  <si>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</si>
  <si>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</si>
  <si>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</si>
  <si>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</si>
  <si>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</si>
  <si>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</si>
  <si>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</si>
  <si>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</si>
  <si>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</si>
  <si>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</si>
  <si>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</si>
  <si>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</si>
  <si>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</si>
  <si>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</si>
  <si>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</si>
  <si>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</si>
  <si>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</si>
  <si>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</si>
  <si>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</si>
  <si>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</si>
  <si>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</si>
  <si>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</si>
  <si>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</si>
  <si>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</si>
  <si>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</si>
  <si>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</si>
  <si>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</si>
  <si>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</si>
  <si>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</si>
  <si>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</si>
  <si>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</si>
  <si>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</si>
  <si>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</si>
  <si>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</si>
  <si>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</si>
  <si>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</si>
  <si>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</si>
  <si>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</si>
  <si>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</si>
  <si>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</si>
  <si>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</si>
  <si>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</si>
  <si>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</si>
  <si>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</si>
  <si>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</si>
  <si>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</si>
  <si>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</si>
  <si>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</si>
  <si>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</si>
  <si>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</si>
  <si>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</si>
  <si>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</si>
  <si>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</si>
  <si>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</si>
  <si>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</si>
  <si>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</si>
  <si>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</si>
  <si>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</si>
  <si>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</si>
  <si>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</si>
  <si>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</si>
  <si>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</si>
  <si>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</si>
  <si>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</si>
  <si>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</si>
  <si>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</si>
  <si>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</si>
  <si>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</si>
  <si>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</si>
  <si>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</si>
  <si>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</si>
  <si>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</si>
  <si>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</si>
  <si>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</si>
  <si>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</si>
  <si>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</si>
  <si>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</si>
  <si>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</si>
  <si>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</si>
  <si>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</si>
  <si>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</si>
  <si>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</si>
  <si>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</si>
  <si>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</si>
  <si>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</si>
  <si>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</si>
  <si>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</si>
  <si>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</si>
  <si>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</si>
  <si>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</si>
  <si>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</si>
  <si>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</si>
  <si>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</si>
  <si>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</si>
  <si>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</si>
  <si>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</si>
  <si>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</si>
  <si>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</si>
  <si>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</si>
  <si>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</si>
  <si>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</si>
  <si>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</si>
  <si>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</si>
  <si>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</si>
  <si>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</si>
  <si>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</si>
  <si>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</si>
  <si>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</si>
  <si>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</si>
  <si>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</si>
  <si>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</si>
  <si>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</si>
  <si>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</si>
  <si>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</si>
  <si>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</si>
  <si>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</si>
  <si>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</si>
  <si>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</si>
  <si>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</si>
  <si>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</si>
  <si>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</si>
  <si>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</si>
  <si>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</si>
  <si>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</si>
  <si>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</si>
  <si>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</si>
  <si>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</si>
  <si>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</si>
  <si>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</si>
  <si>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</si>
  <si>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</si>
  <si>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</si>
  <si>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</si>
  <si>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</si>
  <si>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</si>
  <si>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</si>
  <si>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</si>
  <si>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</si>
  <si>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</si>
  <si>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</si>
  <si>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</si>
  <si>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</si>
  <si>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</si>
  <si>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</si>
  <si>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</si>
  <si>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</si>
  <si>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</si>
  <si>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</si>
  <si>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</si>
  <si>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</si>
  <si>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</si>
  <si>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</si>
  <si>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</si>
  <si>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</si>
  <si>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</si>
  <si>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</si>
  <si>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</si>
  <si>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</si>
  <si>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</si>
  <si>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</si>
  <si>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</si>
  <si>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</si>
  <si>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</si>
  <si>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</si>
  <si>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</si>
  <si>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</si>
  <si>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</si>
  <si>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</si>
  <si>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</si>
  <si>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</si>
  <si>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</si>
  <si>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</si>
  <si>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</si>
  <si>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</si>
  <si>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</si>
  <si>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</si>
  <si>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</si>
  <si>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</si>
  <si>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</si>
  <si>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</si>
  <si>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</si>
  <si>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</si>
  <si>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</si>
  <si>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</si>
  <si>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</si>
  <si>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</si>
  <si>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</si>
  <si>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</si>
  <si>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</si>
  <si>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</si>
  <si>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</si>
  <si>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</si>
  <si>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</si>
  <si>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</si>
  <si>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</si>
  <si>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</si>
  <si>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</si>
  <si>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</si>
  <si>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</si>
  <si>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</si>
  <si>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</si>
  <si>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</si>
  <si>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</si>
  <si>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</si>
  <si>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</si>
  <si>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</si>
  <si>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</si>
  <si>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</si>
  <si>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</si>
  <si>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</si>
  <si>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</si>
  <si>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</si>
  <si>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</si>
  <si>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</si>
  <si>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</si>
  <si>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</si>
  <si>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</si>
  <si>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</si>
  <si>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</si>
  <si>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</si>
  <si>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</si>
  <si>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</si>
  <si>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</si>
  <si>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</si>
  <si>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</si>
  <si>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</si>
  <si>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</si>
  <si>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</si>
  <si>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</si>
  <si>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</si>
  <si>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</si>
  <si>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</si>
  <si>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</si>
  <si>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</si>
  <si>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</si>
  <si>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</si>
  <si>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</si>
  <si>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</si>
  <si>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</si>
  <si>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</si>
  <si>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</si>
  <si>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</si>
  <si>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</si>
  <si>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</si>
  <si>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</si>
  <si>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</si>
  <si>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</si>
  <si>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</si>
  <si>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</si>
  <si>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</si>
  <si>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</si>
  <si>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</si>
  <si>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</si>
  <si>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</si>
  <si>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</si>
  <si>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</si>
  <si>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</si>
  <si>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</si>
  <si>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</si>
  <si>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</si>
  <si>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</si>
  <si>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</si>
  <si>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</si>
  <si>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</si>
  <si>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</si>
  <si>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</si>
  <si>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</si>
  <si>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</si>
  <si>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</si>
  <si>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</si>
  <si>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</si>
  <si>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</si>
  <si>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</si>
  <si>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</si>
  <si>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</si>
  <si>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</si>
  <si>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</si>
  <si>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</si>
  <si>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</si>
  <si>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</si>
  <si>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</si>
  <si>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</si>
  <si>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</si>
  <si>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</si>
  <si>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</si>
  <si>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</si>
  <si>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</si>
  <si>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</si>
  <si>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</si>
  <si>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</si>
  <si>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</si>
  <si>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</si>
  <si>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</si>
  <si>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</si>
  <si>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</si>
  <si>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</si>
  <si>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</si>
  <si>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</si>
  <si>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</si>
  <si>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</si>
  <si>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</si>
  <si>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</si>
  <si>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</si>
  <si>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</si>
  <si>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</si>
  <si>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</si>
  <si>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</si>
  <si>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</si>
  <si>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</si>
  <si>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</si>
  <si>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</si>
  <si>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</si>
  <si>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</si>
  <si>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</si>
  <si>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</si>
  <si>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</si>
  <si>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</si>
  <si>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</si>
  <si>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</si>
  <si>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</si>
  <si>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</si>
  <si>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</si>
  <si>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</si>
  <si>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</si>
  <si>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</si>
  <si>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</si>
  <si>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</si>
  <si>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</si>
  <si>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</si>
  <si>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</si>
  <si>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</si>
  <si>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</si>
  <si>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</si>
  <si>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</si>
  <si>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</si>
  <si>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</si>
  <si>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</si>
  <si>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</si>
  <si>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</si>
  <si>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</si>
  <si>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</si>
  <si>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</si>
  <si>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</si>
  <si>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</si>
  <si>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</si>
  <si>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</si>
  <si>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</si>
  <si>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</si>
  <si>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</si>
  <si>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</si>
  <si>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</si>
  <si>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</si>
  <si>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</si>
  <si>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</si>
  <si>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</si>
  <si>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</si>
  <si>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</si>
  <si>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</si>
  <si>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</si>
  <si>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</si>
  <si>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</si>
  <si>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</si>
  <si>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</si>
  <si>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</si>
  <si>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</si>
  <si>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</si>
  <si>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</si>
  <si>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</si>
  <si>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</si>
  <si>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</si>
  <si>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</si>
  <si>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</si>
  <si>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</si>
  <si>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</si>
  <si>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</si>
  <si>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</si>
  <si>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</si>
  <si>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</si>
  <si>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</si>
  <si>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</si>
  <si>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</si>
  <si>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</si>
  <si>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</si>
  <si>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</si>
  <si>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</si>
  <si>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</si>
  <si>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</si>
  <si>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</si>
  <si>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</si>
  <si>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</si>
  <si>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</si>
  <si>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</si>
  <si>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</si>
  <si>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</si>
  <si>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</si>
  <si>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</si>
  <si>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</si>
  <si>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</si>
  <si>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</si>
  <si>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</si>
  <si>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MADFOA vs MFO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</si>
  <si>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</si>
  <si>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</si>
  <si>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</si>
  <si>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</si>
  <si>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</si>
  <si>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</si>
  <si>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</si>
  <si>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</si>
  <si>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</si>
  <si>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</si>
  <si>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</si>
  <si>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</si>
  <si>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</si>
  <si>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</si>
  <si>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</si>
  <si>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</si>
  <si>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</si>
  <si>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</si>
  <si>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</si>
  <si>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</si>
  <si>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</si>
  <si>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</si>
  <si>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</si>
  <si>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</si>
  <si>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</si>
  <si>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</si>
  <si>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</si>
  <si>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</si>
  <si>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</si>
  <si>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</si>
  <si>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</si>
  <si>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</si>
  <si>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</si>
  <si>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</si>
  <si>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</si>
  <si>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</si>
  <si>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</si>
  <si>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</si>
  <si>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</si>
  <si>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</si>
  <si>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</si>
  <si>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</si>
  <si>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</si>
  <si>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</si>
  <si>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</si>
  <si>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</si>
  <si>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</si>
  <si>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</si>
  <si>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</si>
  <si>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</si>
  <si>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</si>
  <si>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</si>
  <si>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</si>
  <si>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</si>
  <si>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</si>
  <si>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</si>
  <si>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</si>
  <si>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</si>
  <si>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</si>
  <si>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</si>
  <si>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</si>
  <si>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</si>
  <si>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</si>
  <si>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</si>
  <si>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</si>
  <si>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</si>
  <si>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</si>
  <si>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</si>
  <si>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</si>
  <si>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</si>
  <si>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</si>
  <si>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</si>
  <si>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</si>
  <si>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</si>
  <si>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</si>
  <si>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</si>
  <si>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</si>
  <si>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</si>
  <si>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</si>
  <si>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</si>
  <si>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</si>
  <si>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</si>
  <si>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</si>
  <si>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</si>
  <si>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</si>
  <si>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</si>
  <si>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</si>
  <si>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</si>
  <si>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</si>
  <si>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</si>
  <si>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</si>
  <si>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</si>
  <si>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</si>
  <si>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</si>
  <si>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</si>
  <si>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</si>
  <si>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</si>
  <si>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</si>
  <si>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</si>
  <si>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</si>
  <si>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</si>
  <si>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</si>
  <si>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</si>
  <si>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</si>
  <si>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</si>
  <si>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</si>
  <si>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</si>
  <si>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</si>
  <si>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</si>
  <si>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</si>
  <si>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</si>
  <si>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</si>
  <si>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</si>
  <si>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</si>
  <si>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</si>
  <si>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</si>
  <si>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</si>
  <si>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</si>
  <si>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</si>
  <si>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</si>
  <si>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</si>
  <si>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</si>
  <si>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</si>
  <si>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</si>
  <si>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</si>
  <si>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</si>
  <si>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</si>
  <si>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</si>
  <si>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</si>
  <si>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</si>
  <si>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</si>
  <si>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</si>
  <si>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</si>
  <si>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</si>
  <si>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</si>
  <si>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</si>
  <si>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</si>
  <si>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</si>
  <si>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</si>
  <si>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</si>
  <si>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</si>
  <si>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</si>
  <si>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</si>
  <si>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</si>
  <si>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</si>
  <si>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</si>
  <si>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</si>
  <si>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</si>
  <si>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</si>
  <si>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</si>
  <si>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</si>
  <si>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</si>
  <si>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</si>
  <si>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</si>
  <si>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</si>
  <si>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</si>
  <si>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</si>
  <si>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</si>
  <si>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</si>
  <si>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</si>
  <si>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</si>
  <si>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</si>
  <si>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</si>
  <si>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</si>
  <si>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</si>
  <si>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</si>
  <si>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</si>
  <si>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</si>
  <si>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</si>
  <si>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</si>
  <si>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</si>
  <si>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</si>
  <si>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</si>
  <si>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</si>
  <si>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</si>
  <si>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</si>
  <si>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</si>
  <si>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</si>
  <si>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</si>
  <si>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</si>
  <si>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</si>
  <si>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</si>
  <si>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</si>
  <si>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</si>
  <si>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</si>
  <si>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</si>
  <si>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</si>
  <si>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</si>
  <si>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</si>
  <si>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</si>
  <si>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</si>
  <si>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</si>
  <si>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</si>
  <si>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</si>
  <si>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</si>
  <si>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</si>
  <si>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</si>
  <si>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</si>
  <si>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</si>
  <si>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</si>
  <si>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</si>
  <si>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</si>
  <si>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</si>
  <si>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</si>
  <si>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</si>
  <si>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</si>
  <si>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</si>
  <si>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</si>
  <si>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</si>
  <si>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</si>
  <si>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</si>
  <si>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</si>
  <si>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</si>
  <si>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</si>
  <si>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</si>
  <si>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</si>
  <si>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</si>
  <si>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</si>
  <si>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</si>
  <si>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</si>
  <si>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</si>
  <si>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</si>
  <si>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</si>
  <si>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</si>
  <si>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</si>
  <si>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</si>
  <si>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</si>
  <si>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</si>
  <si>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</si>
  <si>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</si>
  <si>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</si>
  <si>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</si>
  <si>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</si>
  <si>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</si>
  <si>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</si>
  <si>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</si>
  <si>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</si>
  <si>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</si>
  <si>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</si>
  <si>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</si>
  <si>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</si>
  <si>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</si>
  <si>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</si>
  <si>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</si>
  <si>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</si>
  <si>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</si>
  <si>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</si>
  <si>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</si>
  <si>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</si>
  <si>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</si>
  <si>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</si>
  <si>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</si>
  <si>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</si>
  <si>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</si>
  <si>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</si>
  <si>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</si>
  <si>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</si>
  <si>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</si>
  <si>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</si>
  <si>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</si>
  <si>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</si>
  <si>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</si>
  <si>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</si>
  <si>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</si>
  <si>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</si>
  <si>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</si>
  <si>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</si>
  <si>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</si>
  <si>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</si>
  <si>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</si>
  <si>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</si>
  <si>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</si>
  <si>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</si>
  <si>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</si>
  <si>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</si>
  <si>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</si>
  <si>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</si>
  <si>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</si>
  <si>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</si>
  <si>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</si>
  <si>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</si>
  <si>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</si>
  <si>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</si>
  <si>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</si>
  <si>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</si>
  <si>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</si>
  <si>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</si>
  <si>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</si>
  <si>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</si>
  <si>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</si>
  <si>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</si>
  <si>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</si>
  <si>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</si>
  <si>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</si>
  <si>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</si>
  <si>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</si>
  <si>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</si>
  <si>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</si>
  <si>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</si>
  <si>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</si>
  <si>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</si>
  <si>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</si>
  <si>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</si>
  <si>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</si>
  <si>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</si>
  <si>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</si>
  <si>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</si>
  <si>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</si>
  <si>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</si>
  <si>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</si>
  <si>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</si>
  <si>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</si>
  <si>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</si>
  <si>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</si>
  <si>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</si>
  <si>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</si>
  <si>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</si>
  <si>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</si>
  <si>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</si>
  <si>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</si>
  <si>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</si>
  <si>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</si>
  <si>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</si>
  <si>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</si>
  <si>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</si>
  <si>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</si>
  <si>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</si>
  <si>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</si>
  <si>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</si>
  <si>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</si>
  <si>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</si>
  <si>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</si>
  <si>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</si>
  <si>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</si>
  <si>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</si>
  <si>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</si>
  <si>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</si>
  <si>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</si>
  <si>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</si>
  <si>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</si>
  <si>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</si>
  <si>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</si>
  <si>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</si>
  <si>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</si>
  <si>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</si>
  <si>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</si>
  <si>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</si>
  <si>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</si>
  <si>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</si>
  <si>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</si>
  <si>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</si>
  <si>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</si>
  <si>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</si>
  <si>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</si>
  <si>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</si>
  <si>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</si>
  <si>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</si>
  <si>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</si>
  <si>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</si>
  <si>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</si>
  <si>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</si>
  <si>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</si>
  <si>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</si>
  <si>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</si>
  <si>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</si>
  <si>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</si>
  <si>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</si>
  <si>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</si>
  <si>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</si>
  <si>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</si>
  <si>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</si>
  <si>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</si>
  <si>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</si>
  <si>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</si>
  <si>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</si>
  <si>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</si>
  <si>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</si>
  <si>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</si>
  <si>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</si>
  <si>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</si>
  <si>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</si>
  <si>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</si>
  <si>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</si>
  <si>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</si>
  <si>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</si>
  <si>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</si>
  <si>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</si>
  <si>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</si>
  <si>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</si>
  <si>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</si>
  <si>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</si>
  <si>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</si>
  <si>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</si>
  <si>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</si>
  <si>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</si>
  <si>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</si>
  <si>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</si>
  <si>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</si>
  <si>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</si>
  <si>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</si>
  <si>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</si>
  <si>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</si>
  <si>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</si>
  <si>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</si>
  <si>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</si>
  <si>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</si>
  <si>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</si>
  <si>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</si>
  <si>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</si>
  <si>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</si>
  <si>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</si>
  <si>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</si>
  <si>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</si>
  <si>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</si>
  <si>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</si>
  <si>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</si>
  <si>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</si>
  <si>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</si>
  <si>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</si>
  <si>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</si>
  <si>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</si>
  <si>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</si>
  <si>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</si>
  <si>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</si>
  <si>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</si>
  <si>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</si>
  <si>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</si>
  <si>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</si>
  <si>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</si>
  <si>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</si>
  <si>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</si>
  <si>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</si>
  <si>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</si>
  <si>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</si>
  <si>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</si>
  <si>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</si>
  <si>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</si>
  <si>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</si>
  <si>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</si>
  <si>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</si>
  <si>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</si>
  <si>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</si>
  <si>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</si>
  <si>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</si>
  <si>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</si>
  <si>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</si>
  <si>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</si>
  <si>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</si>
  <si>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</si>
  <si>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</si>
  <si>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</si>
  <si>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</si>
  <si>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</si>
  <si>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</si>
  <si>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</si>
  <si>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</si>
  <si>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</si>
  <si>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</si>
  <si>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</si>
  <si>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</si>
  <si>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</si>
  <si>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</si>
  <si>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</si>
  <si>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</si>
  <si>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</si>
  <si>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</si>
  <si>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</si>
  <si>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</si>
  <si>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</si>
  <si>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</si>
  <si>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</si>
  <si>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</si>
  <si>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</si>
  <si>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</si>
  <si>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</si>
  <si>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</si>
  <si>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</si>
  <si>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</si>
  <si>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</si>
  <si>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</si>
  <si>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</si>
  <si>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</si>
  <si>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</si>
  <si>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</si>
  <si>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</si>
  <si>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</si>
  <si>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</si>
  <si>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</si>
  <si>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</si>
  <si>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</si>
  <si>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</si>
  <si>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</si>
  <si>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</si>
  <si>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</si>
  <si>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</si>
  <si>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</si>
  <si>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</si>
  <si>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</si>
  <si>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</si>
  <si>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</si>
  <si>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</si>
  <si>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</si>
  <si>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</si>
  <si>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</si>
  <si>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</si>
  <si>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</si>
  <si>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</si>
  <si>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</si>
  <si>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</si>
  <si>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</si>
  <si>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</si>
  <si>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</si>
  <si>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</si>
  <si>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</si>
  <si>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</si>
  <si>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</si>
  <si>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</si>
  <si>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</si>
  <si>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</si>
  <si>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</si>
  <si>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</si>
  <si>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</si>
  <si>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</si>
  <si>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</si>
  <si>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</si>
  <si>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</si>
  <si>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</si>
  <si>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</si>
  <si>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</si>
  <si>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</si>
  <si>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</si>
  <si>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</si>
  <si>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</si>
  <si>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</si>
  <si>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</si>
  <si>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</si>
  <si>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</si>
  <si>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</si>
  <si>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</si>
  <si>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</si>
  <si>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</si>
  <si>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</si>
  <si>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</si>
  <si>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</si>
  <si>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</si>
  <si>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</si>
  <si>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</si>
  <si>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</si>
  <si>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</si>
  <si>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</si>
  <si>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</si>
  <si>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</si>
  <si>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</si>
  <si>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</si>
  <si>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</si>
  <si>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</si>
  <si>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</si>
  <si>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</si>
  <si>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</si>
  <si>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</si>
  <si>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</si>
  <si>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</si>
  <si>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</si>
  <si>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</si>
  <si>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</si>
  <si>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</si>
  <si>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</si>
  <si>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</si>
  <si>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</si>
  <si>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</si>
  <si>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</si>
  <si>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</si>
  <si>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</si>
  <si>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</si>
  <si>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</si>
  <si>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</si>
  <si>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</si>
  <si>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</si>
  <si>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</si>
  <si>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</si>
  <si>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</si>
  <si>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</si>
  <si>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</si>
  <si>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</si>
  <si>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</si>
  <si>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</si>
  <si>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</si>
  <si>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</si>
  <si>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</si>
  <si>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</si>
  <si>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</si>
  <si>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</si>
  <si>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</si>
  <si>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</si>
  <si>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</si>
  <si>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</si>
  <si>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</si>
  <si>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</si>
  <si>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</si>
  <si>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</si>
  <si>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</si>
  <si>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</si>
  <si>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</si>
  <si>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</si>
  <si>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</si>
  <si>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</si>
  <si>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</si>
  <si>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</si>
  <si>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</si>
  <si>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</si>
  <si>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</si>
  <si>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</si>
  <si>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</si>
  <si>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</si>
  <si>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</si>
  <si>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</si>
  <si>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</si>
  <si>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</si>
  <si>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</si>
  <si>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</si>
  <si>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</si>
  <si>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</si>
  <si>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</si>
  <si>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</si>
  <si>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</si>
  <si>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</si>
  <si>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</si>
  <si>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</si>
  <si>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</si>
  <si>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</si>
  <si>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</si>
  <si>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</si>
  <si>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</si>
  <si>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</si>
  <si>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</si>
  <si>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</si>
  <si>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</si>
  <si>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</si>
  <si>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</si>
  <si>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</si>
  <si>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</si>
  <si>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ORCAS</t>
  </si>
  <si>
    <t>GWO</t>
  </si>
  <si>
    <t>SSA</t>
  </si>
  <si>
    <t>PSO</t>
  </si>
  <si>
    <t>CSA</t>
  </si>
  <si>
    <t>WHO</t>
  </si>
  <si>
    <t>SBO</t>
  </si>
  <si>
    <t>DE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</si>
  <si>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</si>
  <si>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</si>
  <si>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</si>
  <si>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</si>
  <si>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</si>
  <si>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</si>
  <si>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</si>
  <si>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</si>
  <si>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</si>
  <si>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</si>
  <si>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</si>
  <si>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</si>
  <si>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</si>
  <si>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</si>
  <si>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</si>
  <si>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</si>
  <si>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</si>
  <si>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</si>
  <si>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</si>
  <si>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</si>
  <si>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</si>
  <si>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</si>
  <si>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</si>
  <si>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</si>
  <si>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</si>
  <si>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</si>
  <si>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</si>
  <si>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</si>
  <si>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</si>
  <si>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</si>
  <si>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</si>
  <si>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</si>
  <si>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</si>
  <si>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</si>
  <si>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</si>
  <si>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</si>
  <si>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</si>
  <si>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</si>
  <si>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</si>
  <si>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</si>
  <si>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</si>
  <si>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</si>
  <si>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</si>
  <si>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</si>
  <si>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</si>
  <si>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</si>
  <si>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</si>
  <si>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</si>
  <si>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</si>
  <si>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</si>
  <si>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</si>
  <si>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</si>
  <si>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</si>
  <si>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</si>
  <si>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</si>
  <si>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</si>
  <si>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</si>
  <si>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</si>
  <si>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</si>
  <si>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</si>
  <si>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</si>
  <si>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</si>
  <si>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</si>
  <si>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</si>
  <si>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</si>
  <si>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</si>
  <si>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</si>
  <si>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</si>
  <si>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</si>
  <si>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</si>
  <si>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</si>
  <si>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</si>
  <si>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</si>
  <si>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</si>
  <si>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</si>
  <si>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</si>
  <si>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</si>
  <si>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</si>
  <si>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</si>
  <si>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</si>
  <si>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</si>
  <si>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</si>
  <si>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</si>
  <si>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</si>
  <si>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</si>
  <si>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</si>
  <si>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</si>
  <si>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</si>
  <si>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</si>
  <si>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</si>
  <si>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</si>
  <si>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</si>
  <si>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</si>
  <si>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</si>
  <si>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</si>
  <si>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</si>
  <si>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</si>
  <si>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</si>
  <si>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</si>
  <si>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</si>
  <si>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</si>
  <si>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</si>
  <si>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</si>
  <si>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</si>
  <si>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</si>
  <si>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</si>
  <si>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</si>
  <si>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</si>
  <si>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</si>
  <si>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</si>
  <si>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</si>
  <si>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</si>
  <si>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</si>
  <si>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</si>
  <si>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</si>
  <si>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</si>
  <si>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</si>
  <si>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</si>
  <si>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</si>
  <si>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</si>
  <si>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</si>
  <si>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</si>
  <si>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</si>
  <si>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</si>
  <si>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</si>
  <si>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</si>
  <si>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</si>
  <si>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</si>
  <si>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</si>
  <si>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</si>
  <si>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</si>
  <si>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</si>
  <si>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</si>
  <si>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</si>
  <si>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</si>
  <si>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</si>
  <si>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</si>
  <si>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</si>
  <si>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</si>
  <si>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</si>
  <si>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</si>
  <si>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</si>
  <si>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</si>
  <si>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</si>
  <si>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</si>
  <si>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</si>
  <si>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</si>
  <si>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</si>
  <si>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</si>
  <si>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</si>
  <si>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</si>
  <si>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</si>
  <si>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</si>
  <si>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ORCAS vs GWO</t>
  </si>
  <si>
    <t>ORCAS vs SSA</t>
  </si>
  <si>
    <t>ORCAS vs PSO</t>
  </si>
  <si>
    <t>ORCAS vs CSA</t>
  </si>
  <si>
    <t>ORCAS vs WHO</t>
  </si>
  <si>
    <t>ORCAS vs SBO</t>
  </si>
  <si>
    <t>ORCAS vs DE</t>
  </si>
  <si>
    <t>ORCAS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</si>
  <si>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</si>
  <si>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</si>
  <si>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</si>
  <si>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</si>
  <si>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</si>
  <si>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</si>
  <si>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</si>
  <si>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</si>
  <si>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</si>
  <si>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</si>
  <si>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</si>
  <si>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</si>
  <si>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</si>
  <si>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</si>
  <si>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</si>
  <si>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</si>
  <si>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</si>
  <si>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</si>
  <si>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</si>
  <si>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</si>
  <si>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</si>
  <si>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</si>
  <si>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</si>
  <si>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</si>
  <si>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</si>
  <si>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</si>
  <si>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</si>
  <si>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</si>
  <si>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</si>
  <si>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</si>
  <si>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</si>
  <si>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</si>
  <si>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</si>
  <si>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</si>
  <si>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</si>
  <si>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</si>
  <si>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</si>
  <si>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</si>
  <si>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</si>
  <si>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</si>
  <si>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</si>
  <si>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</si>
  <si>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</si>
  <si>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</si>
  <si>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</si>
  <si>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</si>
  <si>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</si>
  <si>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</si>
  <si>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</si>
  <si>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</si>
  <si>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</si>
  <si>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</si>
  <si>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</si>
  <si>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</si>
  <si>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</si>
  <si>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</si>
  <si>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</si>
  <si>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</si>
  <si>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</si>
  <si>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</si>
  <si>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</si>
  <si>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</si>
  <si>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</si>
  <si>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</si>
  <si>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</si>
  <si>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</si>
  <si>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</si>
  <si>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</si>
  <si>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</si>
  <si>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</si>
  <si>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</si>
  <si>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</si>
  <si>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</si>
  <si>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</si>
  <si>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</si>
  <si>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</si>
  <si>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</si>
  <si>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</si>
  <si>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</si>
  <si>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</si>
  <si>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</si>
  <si>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</si>
  <si>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</si>
  <si>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</si>
  <si>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</si>
  <si>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</si>
  <si>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</si>
  <si>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</si>
  <si>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</si>
  <si>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</si>
  <si>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</si>
  <si>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</si>
  <si>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</si>
  <si>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</si>
  <si>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</si>
  <si>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</si>
  <si>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</si>
  <si>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</si>
  <si>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</si>
  <si>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</si>
  <si>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</si>
  <si>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</si>
  <si>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</si>
  <si>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</si>
  <si>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</si>
  <si>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</si>
  <si>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</si>
  <si>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</si>
  <si>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</si>
  <si>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</si>
  <si>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</si>
  <si>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</si>
  <si>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</si>
  <si>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</si>
  <si>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</si>
  <si>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</si>
  <si>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</si>
  <si>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</si>
  <si>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</si>
  <si>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</si>
  <si>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</si>
  <si>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</si>
  <si>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</si>
  <si>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</si>
  <si>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</si>
  <si>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</si>
  <si>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</si>
  <si>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</si>
  <si>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</si>
  <si>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</si>
  <si>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</si>
  <si>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</si>
  <si>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</si>
  <si>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</si>
  <si>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</si>
  <si>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</si>
  <si>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</si>
  <si>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</si>
  <si>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</si>
  <si>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</si>
  <si>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</si>
  <si>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</si>
  <si>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</si>
  <si>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</si>
  <si>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</si>
  <si>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</si>
  <si>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</si>
  <si>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</si>
  <si>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</si>
  <si>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</si>
  <si>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</si>
  <si>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</si>
  <si>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</si>
  <si>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</si>
  <si>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</si>
  <si>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</si>
  <si>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</si>
  <si>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</si>
  <si>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</si>
  <si>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</si>
  <si>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</si>
  <si>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</si>
  <si>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</si>
  <si>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</si>
  <si>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</si>
  <si>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</si>
  <si>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</si>
  <si>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</si>
  <si>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</si>
  <si>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</si>
  <si>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</si>
  <si>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</si>
  <si>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</si>
  <si>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</si>
  <si>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</si>
  <si>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</si>
  <si>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</si>
  <si>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</si>
  <si>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</si>
  <si>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</si>
  <si>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</si>
  <si>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</si>
  <si>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</si>
  <si>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</si>
  <si>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</si>
  <si>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</si>
  <si>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</si>
  <si>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</si>
  <si>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</si>
  <si>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</si>
  <si>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</si>
  <si>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</si>
  <si>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</si>
  <si>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</si>
  <si>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</si>
  <si>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</si>
  <si>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</si>
  <si>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</si>
  <si>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</si>
  <si>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</si>
  <si>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</si>
  <si>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</si>
  <si>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</si>
  <si>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</si>
  <si>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</si>
  <si>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</si>
  <si>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</si>
  <si>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</si>
  <si>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</si>
  <si>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</si>
  <si>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</si>
  <si>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</si>
  <si>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</si>
  <si>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</si>
  <si>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</si>
  <si>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</si>
  <si>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</si>
  <si>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</si>
  <si>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</si>
  <si>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</si>
  <si>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</si>
  <si>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</si>
  <si>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</si>
  <si>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</si>
  <si>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</si>
  <si>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</si>
  <si>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</si>
  <si>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</si>
  <si>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</si>
  <si>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</si>
  <si>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</si>
  <si>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</si>
  <si>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</si>
  <si>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</si>
  <si>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</si>
  <si>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</si>
  <si>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</si>
  <si>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</si>
  <si>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</si>
  <si>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</si>
  <si>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</si>
  <si>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</si>
  <si>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</si>
  <si>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</si>
  <si>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</si>
  <si>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</si>
  <si>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</si>
  <si>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</si>
  <si>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</si>
  <si>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</si>
  <si>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</si>
  <si>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</si>
  <si>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</si>
  <si>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</si>
  <si>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</si>
  <si>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</si>
  <si>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</si>
  <si>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</si>
  <si>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</si>
  <si>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</si>
  <si>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</si>
  <si>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</si>
  <si>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</si>
  <si>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</si>
  <si>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</si>
  <si>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</si>
  <si>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</si>
  <si>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</si>
  <si>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</si>
  <si>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</si>
  <si>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</si>
  <si>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</si>
  <si>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</si>
  <si>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</si>
  <si>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</si>
  <si>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</si>
  <si>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</si>
  <si>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</si>
  <si>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</si>
  <si>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</si>
  <si>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</si>
  <si>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</si>
  <si>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</si>
  <si>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</si>
  <si>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</si>
  <si>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</si>
  <si>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</si>
  <si>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</si>
  <si>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</si>
  <si>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</si>
  <si>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</si>
  <si>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</si>
  <si>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</si>
  <si>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</si>
  <si>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</si>
  <si>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</si>
  <si>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</si>
  <si>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</si>
  <si>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</si>
  <si>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</si>
  <si>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</si>
  <si>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</si>
  <si>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</si>
  <si>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</si>
  <si>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</si>
  <si>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</si>
  <si>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</si>
  <si>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</si>
  <si>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</si>
  <si>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</si>
  <si>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</si>
  <si>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</si>
  <si>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</si>
  <si>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</si>
  <si>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</si>
  <si>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</si>
  <si>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</si>
  <si>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</si>
  <si>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</si>
  <si>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</si>
  <si>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</si>
  <si>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</si>
  <si>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</si>
  <si>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</si>
  <si>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</si>
  <si>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</si>
  <si>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</si>
  <si>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</si>
  <si>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</si>
  <si>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</si>
  <si>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</si>
  <si>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</si>
  <si>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</si>
  <si>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</si>
  <si>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</si>
  <si>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</si>
  <si>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</si>
  <si>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</si>
  <si>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</si>
  <si>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</si>
  <si>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</si>
  <si>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</si>
  <si>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</si>
  <si>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</si>
  <si>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</si>
  <si>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</si>
  <si>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</si>
  <si>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</si>
  <si>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</si>
  <si>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</si>
  <si>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</si>
  <si>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</si>
  <si>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</si>
  <si>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</si>
  <si>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</si>
  <si>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</si>
  <si>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</si>
  <si>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</si>
  <si>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</si>
  <si>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</si>
  <si>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</si>
  <si>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</si>
  <si>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</si>
  <si>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</si>
  <si>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</si>
  <si>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</si>
  <si>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</si>
  <si>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</si>
  <si>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</si>
  <si>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</si>
  <si>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</si>
  <si>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</si>
  <si>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</si>
  <si>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</si>
  <si>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</si>
  <si>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</si>
  <si>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</si>
  <si>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</si>
  <si>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</si>
  <si>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</si>
  <si>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</si>
  <si>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</si>
  <si>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</si>
  <si>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</si>
  <si>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</si>
  <si>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</si>
  <si>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</si>
  <si>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</si>
  <si>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</si>
  <si>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</si>
  <si>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</si>
  <si>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</si>
  <si>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</si>
  <si>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</si>
  <si>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</si>
  <si>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</si>
  <si>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</si>
  <si>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</si>
  <si>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</si>
  <si>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</si>
  <si>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</si>
  <si>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</si>
  <si>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</si>
  <si>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</si>
  <si>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</si>
  <si>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</si>
  <si>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</si>
  <si>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</si>
  <si>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</si>
  <si>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</si>
  <si>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</si>
  <si>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</si>
  <si>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</si>
  <si>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</si>
  <si>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</si>
  <si>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</si>
  <si>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</si>
  <si>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</si>
  <si>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</si>
  <si>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</si>
  <si>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</si>
  <si>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</si>
  <si>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</si>
  <si>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</si>
  <si>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</si>
  <si>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</si>
  <si>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</si>
  <si>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</si>
  <si>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</si>
  <si>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</si>
  <si>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</si>
  <si>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</si>
  <si>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</si>
  <si>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</si>
  <si>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</si>
  <si>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</si>
  <si>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</si>
  <si>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</si>
  <si>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</si>
  <si>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</si>
  <si>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</si>
  <si>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</si>
  <si>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</si>
  <si>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</si>
  <si>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</si>
  <si>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</si>
  <si>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</si>
  <si>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</si>
  <si>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</si>
  <si>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</si>
  <si>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</si>
  <si>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</si>
  <si>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</si>
  <si>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</si>
  <si>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</si>
  <si>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</si>
  <si>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</si>
  <si>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</si>
  <si>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</si>
  <si>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</si>
  <si>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</si>
  <si>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</si>
  <si>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</si>
  <si>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</si>
  <si>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</si>
  <si>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</si>
  <si>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</si>
  <si>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</si>
  <si>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</si>
  <si>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</si>
  <si>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</si>
  <si>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</si>
  <si>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</si>
  <si>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</si>
  <si>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</si>
  <si>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</si>
  <si>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</si>
  <si>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</si>
  <si>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</si>
  <si>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</si>
  <si>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</si>
  <si>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</si>
  <si>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</si>
  <si>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</si>
  <si>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</si>
  <si>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</si>
  <si>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</si>
  <si>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</si>
  <si>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</si>
  <si>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</si>
  <si>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</si>
  <si>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</si>
  <si>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</si>
  <si>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</si>
  <si>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</si>
  <si>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</si>
  <si>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</si>
  <si>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</si>
  <si>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</si>
  <si>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</si>
  <si>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</si>
  <si>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ORCAS_1</t>
  </si>
  <si>
    <t>ORCAS_2</t>
  </si>
  <si>
    <t>ORCAS_1 vs ORCAS_2</t>
  </si>
  <si>
    <t>ORCAS_1 vs GWO</t>
  </si>
  <si>
    <t>ORCAS_1 vs PSO</t>
  </si>
  <si>
    <t>ORCAS_1 vs 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</si>
</sst>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1">
    <xf numFmtId="0" fontId="0" fillId="0" borderId="0" xfId="0"/>
    <xf numFmtId="0" fontId="1" fillId="0" borderId="3" xfId="0" applyFon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11" fontId="0" fillId="0" borderId="1" xfId="0" applyNumberFormat="true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64" fontId="0" fillId="0" borderId="5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2" fontId="0" fillId="0" borderId="0" xfId="0" applyNumberFormat="true" applyAlignment="true">
      <alignment horizontal="left" vertical="top"/>
    </xf>
    <xf numFmtId="11" fontId="0" fillId="0" borderId="7" xfId="0" applyNumberFormat="true" applyBorder="true" applyAlignment="true">
      <alignment horizontal="left" vertical="top"/>
    </xf>
    <xf numFmtId="0" fontId="0" fillId="0" borderId="5" xfId="0" applyBorder="true"/>
    <xf numFmtId="0" fontId="0" fillId="0" borderId="4" xfId="0" applyBorder="true"/>
    <xf numFmtId="0" fontId="0" fillId="0" borderId="7" xfId="0" applyBorder="true"/>
    <xf numFmtId="11" fontId="0" fillId="0" borderId="5" xfId="0" applyNumberFormat="true" applyBorder="true" applyAlignment="true">
      <alignment horizontal="left" vertical="top"/>
    </xf>
    <xf numFmtId="0" fontId="0" fillId="0" borderId="7" xfId="0" applyBorder="true" applyAlignment="true">
      <alignment horizontal="left" vertical="top"/>
    </xf>
    <xf numFmtId="0" fontId="1" fillId="0" borderId="3" xfId="0" applyFon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0" fontId="0" fillId="0" borderId="7" xfId="0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1" fontId="2" fillId="0" borderId="2" xfId="0" applyNumberFormat="true" applyFont="true" applyBorder="true" applyAlignment="true">
      <alignment horizontal="left" vertical="top"/>
    </xf>
    <xf numFmtId="0" fontId="1" fillId="0" borderId="7" xfId="0" applyFont="true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1" fillId="0" borderId="7" xfId="0" applyFont="true" applyBorder="true" applyAlignment="true">
      <alignment horizontal="left" vertical="top" wrapText="true"/>
    </xf>
    <xf numFmtId="0" fontId="1" fillId="0" borderId="4" xfId="0" applyFont="true" applyBorder="true" applyAlignment="true">
      <alignment horizontal="left" vertical="top" wrapText="true"/>
    </xf>
    <xf numFmtId="0" fontId="1" fillId="0" borderId="6" xfId="0" applyFont="true" applyBorder="true" applyAlignment="true">
      <alignment horizontal="left" vertical="top" wrapText="true"/>
    </xf>
    <xf numFmtId="0" fontId="2" fillId="0" borderId="2" xfId="0" applyFon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1" fontId="0" fillId="0" borderId="7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22" fontId="0" fillId="0" borderId="8" xfId="0" applyNumberFormat="true"/>
  </cellXfs>
  <cellStyles count="1">
    <cellStyle name="Normal" xfId="0" builtinId="0"/>
  </cellStyles>
  <dxfs count="32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S2:T71" totalsRowShown="false" headerRowDxfId="31" dataDxfId="30" tableBorderDxfId="29">
  <autoFilter ref="S2:T71"/>
  <tableColumns count="2">
    <tableColumn id="1" name="Column1" dataDxfId="28"/>
    <tableColumn id="2" name="Column2" dataDxfId="27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"/>
  <sheetViews>
    <sheetView tabSelected="true" workbookViewId="0">
      <selection activeCell="O5" sqref="O5"/>
    </sheetView>
  </sheetViews>
  <sheetFormatPr xmlns:x14ac="http://schemas.microsoft.com/office/spreadsheetml/2009/9/ac" defaultRowHeight="14.4" x14ac:dyDescent="0.3"/>
  <cols>
    <col min="1" max="1" width="10.33203125" style="8" bestFit="true" customWidth="true"/>
    <col min="2" max="2" width="3.88671875" style="8" bestFit="true" customWidth="true"/>
    <col min="3" max="3" width="5.6640625" style="8" bestFit="true" customWidth="true"/>
    <col min="4" max="4" width="9.21875" style="8" bestFit="true" customWidth="true"/>
    <col min="13" max="13" width="9.37890625" style="8" bestFit="true" customWidth="true"/>
    <col min="19" max="20" width="10.44140625" style="8" customWidth="true"/>
    <col min="21" max="21" width="8.88671875" style="8"/>
    <col min="22" max="30" width="10.33203125" style="8" bestFit="true" customWidth="true"/>
    <col min="31" max="36" width="11.33203125" style="8" bestFit="true" customWidth="true"/>
    <col min="37" max="16384" width="8.88671875" style="8"/>
    <col min="5" max="5" width="9.21875" style="8" bestFit="true" customWidth="true"/>
    <col min="6" max="6" width="9.21875" style="8" bestFit="true" customWidth="true"/>
    <col min="7" max="7" width="9.21875" style="8" bestFit="true" customWidth="true"/>
    <col min="8" max="8" width="9.21875" style="8" bestFit="true" customWidth="true"/>
    <col min="9" max="9" width="9.37890625" style="8" bestFit="true" customWidth="true"/>
    <col min="10" max="10" width="9.37890625" style="8" bestFit="true" customWidth="true"/>
    <col min="11" max="11" width="9.37890625" style="8" bestFit="true" customWidth="true"/>
    <col min="12" max="12" width="9.37890625" style="8" bestFit="true" customWidth="true"/>
    <col min="14" max="14" width="9.37890625" style="8" bestFit="true" customWidth="true"/>
    <col min="15" max="18" width="11.33203125" style="8" bestFit="true" customWidth="true"/>
  </cols>
  <sheetData>
    <row xmlns:x14ac="http://schemas.microsoft.com/office/spreadsheetml/2009/9/ac" r="1" ht="15" thickBot="true" x14ac:dyDescent="0.35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xmlns:x14ac="http://schemas.microsoft.com/office/spreadsheetml/2009/9/ac" r="2" x14ac:dyDescent="0.3">
      <c r="A2" s="16" t="s">
        <v>27</v>
      </c>
      <c r="B2" s="16"/>
      <c r="C2" s="16"/>
      <c r="D2" s="1" t="s">
        <v>2675</v>
      </c>
      <c r="E2" s="1" t="s">
        <v>2676</v>
      </c>
      <c r="F2" s="1" t="s">
        <v>2522</v>
      </c>
      <c r="G2" s="1" t="s">
        <v>2523</v>
      </c>
      <c r="H2" s="1" t="s">
        <v>2524</v>
      </c>
      <c r="I2" s="1" t="s">
        <v>2524</v>
      </c>
      <c r="J2" s="1" t="s">
        <v>2011</v>
      </c>
      <c r="K2" s="1" t="s">
        <v>2012</v>
      </c>
      <c r="L2" s="1" t="s">
        <v>2013</v>
      </c>
      <c r="M2" s="1" t="s">
        <v>1742</v>
      </c>
      <c r="N2" s="1" t="s">
        <v>1193</v>
      </c>
      <c r="O2" s="1" t="s">
        <v>249</v>
      </c>
      <c r="P2" s="1" t="s">
        <v>250</v>
      </c>
      <c r="Q2" s="1" t="s">
        <v>251</v>
      </c>
      <c r="R2" s="1" t="s">
        <v>252</v>
      </c>
      <c r="S2" s="4" t="s">
        <v>28</v>
      </c>
      <c r="T2" s="4" t="s">
        <v>29</v>
      </c>
      <c r="V2" s="1" t="s">
        <v>238</v>
      </c>
      <c r="W2" s="1" t="s">
        <v>239</v>
      </c>
      <c r="X2" s="1" t="s">
        <v>240</v>
      </c>
      <c r="Y2" s="1" t="s">
        <v>241</v>
      </c>
      <c r="Z2" s="1" t="s">
        <v>242</v>
      </c>
      <c r="AA2" s="1" t="s">
        <v>243</v>
      </c>
      <c r="AB2" s="1" t="s">
        <v>244</v>
      </c>
      <c r="AC2" s="1" t="s">
        <v>245</v>
      </c>
      <c r="AD2" s="1" t="s">
        <v>246</v>
      </c>
      <c r="AE2" s="1" t="s">
        <v>247</v>
      </c>
      <c r="AF2" s="1" t="s">
        <v>248</v>
      </c>
      <c r="AG2" s="1" t="s">
        <v>249</v>
      </c>
      <c r="AH2" s="1" t="s">
        <v>250</v>
      </c>
      <c r="AI2" s="1" t="s">
        <v>251</v>
      </c>
      <c r="AJ2" s="1" t="s">
        <v>252</v>
      </c>
    </row>
    <row xmlns:x14ac="http://schemas.microsoft.com/office/spreadsheetml/2009/9/ac" r="3" ht="14.4" customHeight="true" x14ac:dyDescent="0.3">
      <c r="A3" s="24" t="s">
        <v>26</v>
      </c>
      <c r="B3" s="17" t="s">
        <v>2642</v>
      </c>
      <c r="C3" s="2" t="s">
        <v>2516</v>
      </c>
      <c r="D3" s="3">
        <v>7.280319859759307e-08</v>
      </c>
      <c r="E3" s="3">
        <v>1.4111670410479898e-06</v>
      </c>
      <c r="F3" s="3">
        <v>1.4699554708701655e-30</v>
      </c>
      <c r="G3" s="3">
        <v>2.0937063186585765</v>
      </c>
      <c r="H3" s="3">
        <v>114.0150766682585</v>
      </c>
      <c r="I3" s="3">
        <v>124.77873076042124</v>
      </c>
      <c r="J3" s="3">
        <v>0.098914712406826324</v>
      </c>
      <c r="K3" s="3">
        <v>12.265674841922818</v>
      </c>
      <c r="L3" s="3">
        <v>129.77063980243341</v>
      </c>
      <c r="M3" s="3">
        <v>2.8790953207833676e-31</v>
      </c>
      <c r="N3" s="3">
        <v>105065.14856920922</v>
      </c>
      <c r="O3" s="3"/>
      <c r="P3" s="3"/>
      <c r="Q3" s="3"/>
      <c r="R3" s="3"/>
      <c r="S3" s="2" t="s">
        <v>0</v>
      </c>
      <c r="T3" s="2" t="s">
        <v>23</v>
      </c>
      <c r="V3" s="8">
        <f>_xlfn.RANK.EQ(D3,$D3:$R3,1)</f>
        <v>1</v>
      </c>
      <c r="W3" s="8">
        <f t="shared" ref="W3:AJ3" si="0">_xlfn.RANK.EQ(E3,$D3:$R3,1)</f>
        <v>2</v>
      </c>
      <c r="X3" s="8">
        <f t="shared" si="0"/>
        <v>5</v>
      </c>
      <c r="Y3" s="8">
        <f t="shared" si="0"/>
        <v>8</v>
      </c>
      <c r="Z3" s="8">
        <f t="shared" si="0"/>
        <v>9</v>
      </c>
      <c r="AA3" s="8">
        <f t="shared" si="0"/>
        <v>4</v>
      </c>
      <c r="AB3" s="8">
        <f t="shared" si="0"/>
        <v>3</v>
      </c>
      <c r="AC3" s="8">
        <f t="shared" si="0"/>
        <v>6</v>
      </c>
      <c r="AD3" s="8">
        <f t="shared" si="0"/>
        <v>7</v>
      </c>
      <c r="AE3" s="8" t="e">
        <f t="shared" si="0"/>
        <v>#N/A</v>
      </c>
      <c r="AF3" s="8" t="e">
        <f t="shared" si="0"/>
        <v>#N/A</v>
      </c>
      <c r="AG3" s="8" t="e">
        <f t="shared" si="0"/>
        <v>#N/A</v>
      </c>
      <c r="AH3" s="8" t="e">
        <f t="shared" si="0"/>
        <v>#N/A</v>
      </c>
      <c r="AI3" s="8" t="e">
        <f t="shared" si="0"/>
        <v>#N/A</v>
      </c>
      <c r="AJ3" s="8" t="e">
        <f t="shared" si="0"/>
        <v>#N/A</v>
      </c>
    </row>
    <row xmlns:x14ac="http://schemas.microsoft.com/office/spreadsheetml/2009/9/ac" r="4" x14ac:dyDescent="0.3">
      <c r="A4" s="25"/>
      <c r="B4" s="18" t="s">
        <v>2642</v>
      </c>
      <c r="C4" s="4" t="s">
        <v>2517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37.025185653195855</v>
      </c>
      <c r="J4" s="5">
        <v>0.048293152132002887</v>
      </c>
      <c r="K4" s="5">
        <v>40.906468915185584</v>
      </c>
      <c r="L4" s="10">
        <v>57.33823667261057</v>
      </c>
      <c r="M4" s="10">
        <v>3.5178753117587796e-31</v>
      </c>
      <c r="N4" s="10">
        <v>0</v>
      </c>
      <c r="O4" s="10"/>
      <c r="P4" s="10"/>
      <c r="Q4" s="10"/>
      <c r="R4" s="10"/>
      <c r="S4" s="4"/>
      <c r="T4" s="4" t="s">
        <v>24</v>
      </c>
    </row>
    <row xmlns:x14ac="http://schemas.microsoft.com/office/spreadsheetml/2009/9/ac" r="5" x14ac:dyDescent="0.3">
      <c r="A5" s="25"/>
      <c r="B5" s="19" t="s">
        <v>2642</v>
      </c>
      <c r="C5" s="6" t="s">
        <v>2518</v>
      </c>
      <c r="D5" s="7">
        <v>0.21875</v>
      </c>
      <c r="E5" s="7">
        <v>0.625</v>
      </c>
      <c r="F5" s="7">
        <v>0.6875</v>
      </c>
      <c r="G5" s="7">
        <v>0.375</v>
      </c>
      <c r="H5" s="7">
        <v>0.46875</v>
      </c>
      <c r="I5" s="7">
        <v>0.13802083333333334</v>
      </c>
      <c r="J5" s="7">
        <v>0.86197916666666663</v>
      </c>
      <c r="K5" s="7">
        <v>0.30937500000000001</v>
      </c>
      <c r="L5" s="7">
        <v>0.35833333333333334</v>
      </c>
      <c r="M5" s="7">
        <v>0.16510416666666666</v>
      </c>
      <c r="N5" s="7">
        <v>0.453125</v>
      </c>
      <c r="O5" s="7"/>
      <c r="P5" s="7"/>
      <c r="Q5" s="7"/>
      <c r="R5" s="7"/>
      <c r="S5" s="6"/>
      <c r="T5" s="6" t="s">
        <v>25</v>
      </c>
    </row>
    <row xmlns:x14ac="http://schemas.microsoft.com/office/spreadsheetml/2009/9/ac" r="6" x14ac:dyDescent="0.3">
      <c r="A6" s="25"/>
      <c r="B6" s="17" t="s">
        <v>2643</v>
      </c>
      <c r="C6" s="2" t="s">
        <v>2516</v>
      </c>
      <c r="D6" s="3">
        <v>0.015414833532144973</v>
      </c>
      <c r="E6" s="3">
        <v>0.0026727840173298993</v>
      </c>
      <c r="F6" s="3">
        <v>5.2212830158132917e-19</v>
      </c>
      <c r="G6" s="3">
        <v>0.43880391977373401</v>
      </c>
      <c r="H6" s="3">
        <v>4.082709825942338</v>
      </c>
      <c r="I6" s="3">
        <v>3.7690378987466033</v>
      </c>
      <c r="J6" s="3">
        <v>0.10313607353206139</v>
      </c>
      <c r="K6" s="3">
        <v>0.037823672558953782</v>
      </c>
      <c r="L6" s="3">
        <v>3.7700673870387544</v>
      </c>
      <c r="M6" s="3">
        <v>9.3931067914458286e-19</v>
      </c>
      <c r="N6" s="3">
        <v>2.4797767397058182e+17</v>
      </c>
      <c r="O6" s="3"/>
      <c r="P6" s="3"/>
      <c r="Q6" s="3"/>
      <c r="R6" s="3"/>
      <c r="S6" s="2" t="s">
        <v>1</v>
      </c>
      <c r="T6" s="2" t="s">
        <v>23</v>
      </c>
      <c r="V6" s="8">
        <f t="shared" ref="V6" si="1">_xlfn.RANK.EQ(D6,$D6:$R6,1)</f>
        <v>1</v>
      </c>
      <c r="W6" s="8">
        <f t="shared" ref="W6" si="2">_xlfn.RANK.EQ(E6,$D6:$R6,1)</f>
        <v>2</v>
      </c>
      <c r="X6" s="8">
        <f t="shared" ref="X6" si="3">_xlfn.RANK.EQ(F6,$D6:$R6,1)</f>
        <v>3</v>
      </c>
      <c r="Y6" s="8">
        <f t="shared" ref="Y6" si="4">_xlfn.RANK.EQ(G6,$D6:$R6,1)</f>
        <v>8</v>
      </c>
      <c r="Z6" s="8">
        <f t="shared" ref="Z6" si="5">_xlfn.RANK.EQ(H6,$D6:$R6,1)</f>
        <v>9</v>
      </c>
      <c r="AA6" s="8">
        <f t="shared" ref="AA6" si="6">_xlfn.RANK.EQ(I6,$D6:$R6,1)</f>
        <v>6</v>
      </c>
      <c r="AB6" s="8">
        <f t="shared" ref="AB6" si="7">_xlfn.RANK.EQ(J6,$D6:$R6,1)</f>
        <v>5</v>
      </c>
      <c r="AC6" s="8">
        <f t="shared" ref="AC6" si="8">_xlfn.RANK.EQ(K6,$D6:$R6,1)</f>
        <v>4</v>
      </c>
      <c r="AD6" s="8">
        <f t="shared" ref="AD6" si="9">_xlfn.RANK.EQ(L6,$D6:$R6,1)</f>
        <v>7</v>
      </c>
      <c r="AE6" s="8" t="e">
        <f t="shared" ref="AE6" si="10">_xlfn.RANK.EQ(M6,$D6:$R6,1)</f>
        <v>#N/A</v>
      </c>
      <c r="AF6" s="8" t="e">
        <f t="shared" ref="AF6" si="11">_xlfn.RANK.EQ(N6,$D6:$R6,1)</f>
        <v>#N/A</v>
      </c>
      <c r="AG6" s="8" t="e">
        <f t="shared" ref="AG6" si="12">_xlfn.RANK.EQ(O6,$D6:$R6,1)</f>
        <v>#N/A</v>
      </c>
      <c r="AH6" s="8" t="e">
        <f t="shared" ref="AH6" si="13">_xlfn.RANK.EQ(P6,$D6:$R6,1)</f>
        <v>#N/A</v>
      </c>
      <c r="AI6" s="8" t="e">
        <f t="shared" ref="AI6" si="14">_xlfn.RANK.EQ(Q6,$D6:$R6,1)</f>
        <v>#N/A</v>
      </c>
      <c r="AJ6" s="8" t="e">
        <f t="shared" ref="AJ6" si="15">_xlfn.RANK.EQ(R6,$D6:$R6,1)</f>
        <v>#N/A</v>
      </c>
    </row>
    <row xmlns:x14ac="http://schemas.microsoft.com/office/spreadsheetml/2009/9/ac" r="7" x14ac:dyDescent="0.3">
      <c r="A7" s="25"/>
      <c r="B7" s="18" t="s">
        <v>2643</v>
      </c>
      <c r="C7" s="4" t="s">
        <v>2517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0.75234643243348964</v>
      </c>
      <c r="J7" s="5">
        <v>0.022756445657858757</v>
      </c>
      <c r="K7" s="5">
        <v>0.092543792938336561</v>
      </c>
      <c r="L7" s="10">
        <v>0.83915020567517962</v>
      </c>
      <c r="M7" s="10">
        <v>8.3863050472772328e-19</v>
      </c>
      <c r="N7" s="10">
        <v>0</v>
      </c>
      <c r="O7" s="10"/>
      <c r="P7" s="10"/>
      <c r="Q7" s="10"/>
      <c r="R7" s="10"/>
      <c r="S7" s="4"/>
      <c r="T7" s="4" t="s">
        <v>24</v>
      </c>
    </row>
    <row xmlns:x14ac="http://schemas.microsoft.com/office/spreadsheetml/2009/9/ac" r="8" x14ac:dyDescent="0.3">
      <c r="A8" s="25"/>
      <c r="B8" s="19" t="s">
        <v>2643</v>
      </c>
      <c r="C8" s="6" t="s">
        <v>2518</v>
      </c>
      <c r="D8" s="7">
        <v>1.09375</v>
      </c>
      <c r="E8" s="7">
        <v>0.765625</v>
      </c>
      <c r="F8" s="7">
        <v>0.734375</v>
      </c>
      <c r="G8" s="7">
        <v>0.34375</v>
      </c>
      <c r="H8" s="7">
        <v>0.46875</v>
      </c>
      <c r="I8" s="7">
        <v>0.13802083333333334</v>
      </c>
      <c r="J8" s="7">
        <v>0.67656249999999996</v>
      </c>
      <c r="K8" s="7">
        <v>0.10729166666666666</v>
      </c>
      <c r="L8" s="7">
        <v>0.14270833333333333</v>
      </c>
      <c r="M8" s="7">
        <v>0.15208333333333332</v>
      </c>
      <c r="N8" s="7">
        <v>0.203125</v>
      </c>
      <c r="O8" s="7"/>
      <c r="P8" s="7"/>
      <c r="Q8" s="7"/>
      <c r="R8" s="7"/>
      <c r="S8" s="6"/>
      <c r="T8" s="6" t="s">
        <v>25</v>
      </c>
    </row>
    <row xmlns:x14ac="http://schemas.microsoft.com/office/spreadsheetml/2009/9/ac" r="9" x14ac:dyDescent="0.3">
      <c r="A9" s="25"/>
      <c r="B9" s="17" t="s">
        <v>2644</v>
      </c>
      <c r="C9" s="2" t="s">
        <v>2516</v>
      </c>
      <c r="D9" s="3">
        <v>1.5676734388945988</v>
      </c>
      <c r="E9" s="3">
        <v>0.0014645129670837315</v>
      </c>
      <c r="F9" s="3">
        <v>1.0869038643956174e-05</v>
      </c>
      <c r="G9" s="3">
        <v>7484.7731875736108</v>
      </c>
      <c r="H9" s="3">
        <v>17208.643677104345</v>
      </c>
      <c r="I9" s="3">
        <v>17557.89241069082</v>
      </c>
      <c r="J9" s="3">
        <v>913.31005132819041</v>
      </c>
      <c r="K9" s="3">
        <v>622.56604871452714</v>
      </c>
      <c r="L9" s="3">
        <v>19553.846627127845</v>
      </c>
      <c r="M9" s="3">
        <v>0.00033794341687541114</v>
      </c>
      <c r="N9" s="3">
        <v>905602.79910605552</v>
      </c>
      <c r="O9" s="3"/>
      <c r="P9" s="3"/>
      <c r="Q9" s="3"/>
      <c r="R9" s="3"/>
      <c r="S9" s="2" t="s">
        <v>2</v>
      </c>
      <c r="T9" s="2" t="s">
        <v>23</v>
      </c>
      <c r="V9" s="8">
        <f t="shared" ref="V9" si="16">_xlfn.RANK.EQ(D9,$D9:$R9,1)</f>
        <v>1</v>
      </c>
      <c r="W9" s="8">
        <f t="shared" ref="W9" si="17">_xlfn.RANK.EQ(E9,$D9:$R9,1)</f>
        <v>2</v>
      </c>
      <c r="X9" s="8">
        <f t="shared" ref="X9" si="18">_xlfn.RANK.EQ(F9,$D9:$R9,1)</f>
        <v>3</v>
      </c>
      <c r="Y9" s="8">
        <f t="shared" ref="Y9" si="19">_xlfn.RANK.EQ(G9,$D9:$R9,1)</f>
        <v>9</v>
      </c>
      <c r="Z9" s="8">
        <f t="shared" ref="Z9" si="20">_xlfn.RANK.EQ(H9,$D9:$R9,1)</f>
        <v>8</v>
      </c>
      <c r="AA9" s="8">
        <f t="shared" ref="AA9" si="21">_xlfn.RANK.EQ(I9,$D9:$R9,1)</f>
        <v>5</v>
      </c>
      <c r="AB9" s="8">
        <f t="shared" ref="AB9" si="22">_xlfn.RANK.EQ(J9,$D9:$R9,1)</f>
        <v>4</v>
      </c>
      <c r="AC9" s="8">
        <f t="shared" ref="AC9" si="23">_xlfn.RANK.EQ(K9,$D9:$R9,1)</f>
        <v>6</v>
      </c>
      <c r="AD9" s="8">
        <f t="shared" ref="AD9" si="24">_xlfn.RANK.EQ(L9,$D9:$R9,1)</f>
        <v>7</v>
      </c>
      <c r="AE9" s="8" t="e">
        <f t="shared" ref="AE9" si="25">_xlfn.RANK.EQ(M9,$D9:$R9,1)</f>
        <v>#N/A</v>
      </c>
      <c r="AF9" s="8" t="e">
        <f t="shared" ref="AF9" si="26">_xlfn.RANK.EQ(N9,$D9:$R9,1)</f>
        <v>#N/A</v>
      </c>
      <c r="AG9" s="8" t="e">
        <f t="shared" ref="AG9" si="27">_xlfn.RANK.EQ(O9,$D9:$R9,1)</f>
        <v>#N/A</v>
      </c>
      <c r="AH9" s="8" t="e">
        <f t="shared" ref="AH9" si="28">_xlfn.RANK.EQ(P9,$D9:$R9,1)</f>
        <v>#N/A</v>
      </c>
      <c r="AI9" s="8" t="e">
        <f t="shared" ref="AI9" si="29">_xlfn.RANK.EQ(Q9,$D9:$R9,1)</f>
        <v>#N/A</v>
      </c>
      <c r="AJ9" s="8" t="e">
        <f t="shared" ref="AJ9" si="30">_xlfn.RANK.EQ(R9,$D9:$R9,1)</f>
        <v>#N/A</v>
      </c>
    </row>
    <row xmlns:x14ac="http://schemas.microsoft.com/office/spreadsheetml/2009/9/ac" r="10" x14ac:dyDescent="0.3">
      <c r="A10" s="25"/>
      <c r="B10" s="18" t="s">
        <v>2644</v>
      </c>
      <c r="C10" s="4" t="s">
        <v>2517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3568.4406508949987</v>
      </c>
      <c r="J10" s="5">
        <v>243.10518957706023</v>
      </c>
      <c r="K10" s="5">
        <v>338.93412191391116</v>
      </c>
      <c r="L10" s="10">
        <v>4152.9355837816956</v>
      </c>
      <c r="M10" s="10">
        <v>0.0011897340515532103</v>
      </c>
      <c r="N10" s="10">
        <v>0</v>
      </c>
      <c r="O10" s="10"/>
      <c r="P10" s="10"/>
      <c r="Q10" s="10"/>
      <c r="R10" s="10"/>
      <c r="S10" s="4"/>
      <c r="T10" s="4" t="s">
        <v>24</v>
      </c>
    </row>
    <row xmlns:x14ac="http://schemas.microsoft.com/office/spreadsheetml/2009/9/ac" r="11" x14ac:dyDescent="0.3">
      <c r="A11" s="25"/>
      <c r="B11" s="19" t="s">
        <v>2644</v>
      </c>
      <c r="C11" s="6" t="s">
        <v>2518</v>
      </c>
      <c r="D11" s="7">
        <v>1.0625</v>
      </c>
      <c r="E11" s="7">
        <v>0.5625</v>
      </c>
      <c r="F11" s="7">
        <v>0.9375</v>
      </c>
      <c r="G11" s="7">
        <v>0.421875</v>
      </c>
      <c r="H11" s="7">
        <v>0.75</v>
      </c>
      <c r="I11" s="7">
        <v>0.32395833333333335</v>
      </c>
      <c r="J11" s="7">
        <v>1.1041666666666667</v>
      </c>
      <c r="K11" s="7">
        <v>0.49270833333333336</v>
      </c>
      <c r="L11" s="7">
        <v>0.58750000000000002</v>
      </c>
      <c r="M11" s="7">
        <v>0.27708333333333335</v>
      </c>
      <c r="N11" s="7">
        <v>0.5625</v>
      </c>
      <c r="O11" s="7"/>
      <c r="P11" s="7"/>
      <c r="Q11" s="7"/>
      <c r="R11" s="7"/>
      <c r="S11" s="6"/>
      <c r="T11" s="6" t="s">
        <v>25</v>
      </c>
    </row>
    <row xmlns:x14ac="http://schemas.microsoft.com/office/spreadsheetml/2009/9/ac" r="12" ht="14.4" customHeight="true" x14ac:dyDescent="0.3">
      <c r="A12" s="25"/>
      <c r="B12" s="17" t="s">
        <v>2645</v>
      </c>
      <c r="C12" s="2" t="s">
        <v>2516</v>
      </c>
      <c r="D12" s="3">
        <v>0.0024349684506243066</v>
      </c>
      <c r="E12" s="3">
        <v>0.0027545110172205109</v>
      </c>
      <c r="F12" s="3">
        <v>6.9651339111912078e-07</v>
      </c>
      <c r="G12" s="3">
        <v>25.259854041973032</v>
      </c>
      <c r="H12" s="3">
        <v>22.28252620049706</v>
      </c>
      <c r="I12" s="3">
        <v>21.373255549640479</v>
      </c>
      <c r="J12" s="3">
        <v>1.6645838759375677</v>
      </c>
      <c r="K12" s="3">
        <v>25.828791902841111</v>
      </c>
      <c r="L12" s="3">
        <v>22.778619680195536</v>
      </c>
      <c r="M12" s="3">
        <v>1.8295461218000876e-06</v>
      </c>
      <c r="N12" s="3">
        <v>95.3325529933242</v>
      </c>
      <c r="O12" s="3"/>
      <c r="P12" s="3"/>
      <c r="Q12" s="3"/>
      <c r="R12" s="3"/>
      <c r="S12" s="2" t="s">
        <v>3</v>
      </c>
      <c r="T12" s="2" t="s">
        <v>23</v>
      </c>
      <c r="V12" s="8">
        <f t="shared" ref="V12" si="31">_xlfn.RANK.EQ(D12,$D12:$R12,1)</f>
        <v>1</v>
      </c>
      <c r="W12" s="8">
        <f t="shared" ref="W12" si="32">_xlfn.RANK.EQ(E12,$D12:$R12,1)</f>
        <v>2</v>
      </c>
      <c r="X12" s="8">
        <f t="shared" ref="X12" si="33">_xlfn.RANK.EQ(F12,$D12:$R12,1)</f>
        <v>3</v>
      </c>
      <c r="Y12" s="8">
        <f t="shared" ref="Y12" si="34">_xlfn.RANK.EQ(G12,$D12:$R12,1)</f>
        <v>9</v>
      </c>
      <c r="Z12" s="8">
        <f t="shared" ref="Z12" si="35">_xlfn.RANK.EQ(H12,$D12:$R12,1)</f>
        <v>8</v>
      </c>
      <c r="AA12" s="8">
        <f t="shared" ref="AA12" si="36">_xlfn.RANK.EQ(I12,$D12:$R12,1)</f>
        <v>5</v>
      </c>
      <c r="AB12" s="8">
        <f t="shared" ref="AB12" si="37">_xlfn.RANK.EQ(J12,$D12:$R12,1)</f>
        <v>4</v>
      </c>
      <c r="AC12" s="8">
        <f t="shared" ref="AC12" si="38">_xlfn.RANK.EQ(K12,$D12:$R12,1)</f>
        <v>6</v>
      </c>
      <c r="AD12" s="8">
        <f t="shared" ref="AD12" si="39">_xlfn.RANK.EQ(L12,$D12:$R12,1)</f>
        <v>7</v>
      </c>
      <c r="AE12" s="8" t="e">
        <f t="shared" ref="AE12" si="40">_xlfn.RANK.EQ(M12,$D12:$R12,1)</f>
        <v>#N/A</v>
      </c>
      <c r="AF12" s="8" t="e">
        <f t="shared" ref="AF12" si="41">_xlfn.RANK.EQ(N12,$D12:$R12,1)</f>
        <v>#N/A</v>
      </c>
      <c r="AG12" s="8" t="e">
        <f t="shared" ref="AG12" si="42">_xlfn.RANK.EQ(O12,$D12:$R12,1)</f>
        <v>#N/A</v>
      </c>
      <c r="AH12" s="8" t="e">
        <f t="shared" ref="AH12" si="43">_xlfn.RANK.EQ(P12,$D12:$R12,1)</f>
        <v>#N/A</v>
      </c>
      <c r="AI12" s="8" t="e">
        <f t="shared" ref="AI12" si="44">_xlfn.RANK.EQ(Q12,$D12:$R12,1)</f>
        <v>#N/A</v>
      </c>
      <c r="AJ12" s="8" t="e">
        <f t="shared" ref="AJ12" si="45">_xlfn.RANK.EQ(R12,$D12:$R12,1)</f>
        <v>#N/A</v>
      </c>
    </row>
    <row xmlns:x14ac="http://schemas.microsoft.com/office/spreadsheetml/2009/9/ac" r="13" x14ac:dyDescent="0.3">
      <c r="A13" s="25"/>
      <c r="B13" s="18" t="s">
        <v>2645</v>
      </c>
      <c r="C13" s="4" t="s">
        <v>2517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3.5422000146423307</v>
      </c>
      <c r="J13" s="5">
        <v>0.54361355282427226</v>
      </c>
      <c r="K13" s="5">
        <v>7.3967137527221585</v>
      </c>
      <c r="L13" s="10">
        <v>2.9139983166900953</v>
      </c>
      <c r="M13" s="10">
        <v>1.6475673689954426e-06</v>
      </c>
      <c r="N13" s="10">
        <v>0</v>
      </c>
      <c r="O13" s="10"/>
      <c r="P13" s="10"/>
      <c r="Q13" s="10"/>
      <c r="R13" s="10"/>
      <c r="S13" s="4"/>
      <c r="T13" s="4" t="s">
        <v>24</v>
      </c>
    </row>
    <row xmlns:x14ac="http://schemas.microsoft.com/office/spreadsheetml/2009/9/ac" r="14" x14ac:dyDescent="0.3">
      <c r="A14" s="25"/>
      <c r="B14" s="19" t="s">
        <v>2645</v>
      </c>
      <c r="C14" s="6" t="s">
        <v>2518</v>
      </c>
      <c r="D14" s="7">
        <v>0.59375</v>
      </c>
      <c r="E14" s="7">
        <v>0.328125</v>
      </c>
      <c r="F14" s="7">
        <v>0.625</v>
      </c>
      <c r="G14" s="7">
        <v>0.34375</v>
      </c>
      <c r="H14" s="7">
        <v>0.390625</v>
      </c>
      <c r="I14" s="7">
        <v>0.15781249999999999</v>
      </c>
      <c r="J14" s="7">
        <v>0.61145833333333333</v>
      </c>
      <c r="K14" s="7">
        <v>0.091145833333333329</v>
      </c>
      <c r="L14" s="7">
        <v>0.13177083333333334</v>
      </c>
      <c r="M14" s="7">
        <v>0.17760416666666667</v>
      </c>
      <c r="N14" s="7">
        <v>0.203125</v>
      </c>
      <c r="O14" s="7"/>
      <c r="P14" s="7"/>
      <c r="Q14" s="7"/>
      <c r="R14" s="7"/>
      <c r="S14" s="6"/>
      <c r="T14" s="6" t="s">
        <v>25</v>
      </c>
    </row>
    <row xmlns:x14ac="http://schemas.microsoft.com/office/spreadsheetml/2009/9/ac" r="15" x14ac:dyDescent="0.3">
      <c r="A15" s="25"/>
      <c r="B15" s="17" t="s">
        <v>2646</v>
      </c>
      <c r="C15" s="2" t="s">
        <v>2516</v>
      </c>
      <c r="D15" s="3">
        <v>1.9255976088684865</v>
      </c>
      <c r="E15" s="3">
        <v>1.6708487334323734</v>
      </c>
      <c r="F15" s="3">
        <v>27.136783717509719</v>
      </c>
      <c r="G15" s="3">
        <v>566.59098895127738</v>
      </c>
      <c r="H15" s="3">
        <v>6072.7327083608998</v>
      </c>
      <c r="I15" s="3">
        <v>4775.7737524638023</v>
      </c>
      <c r="J15" s="3">
        <v>271.08741615355547</v>
      </c>
      <c r="K15" s="3">
        <v>29559.537734714311</v>
      </c>
      <c r="L15" s="3">
        <v>4830.6231625643713</v>
      </c>
      <c r="M15" s="3">
        <v>26.962093023347787</v>
      </c>
      <c r="N15" s="3">
        <v>326168727.16463071</v>
      </c>
      <c r="O15" s="3"/>
      <c r="P15" s="3"/>
      <c r="Q15" s="3"/>
      <c r="R15" s="3"/>
      <c r="S15" s="2" t="s">
        <v>4</v>
      </c>
      <c r="T15" s="2" t="s">
        <v>23</v>
      </c>
      <c r="V15" s="8">
        <f t="shared" ref="V15" si="46">_xlfn.RANK.EQ(D15,$D15:$R15,1)</f>
        <v>1</v>
      </c>
      <c r="W15" s="8">
        <f t="shared" ref="W15" si="47">_xlfn.RANK.EQ(E15,$D15:$R15,1)</f>
        <v>2</v>
      </c>
      <c r="X15" s="8">
        <f t="shared" ref="X15" si="48">_xlfn.RANK.EQ(F15,$D15:$R15,1)</f>
        <v>4</v>
      </c>
      <c r="Y15" s="8">
        <f t="shared" ref="Y15" si="49">_xlfn.RANK.EQ(G15,$D15:$R15,1)</f>
        <v>8</v>
      </c>
      <c r="Z15" s="8">
        <f t="shared" ref="Z15" si="50">_xlfn.RANK.EQ(H15,$D15:$R15,1)</f>
        <v>9</v>
      </c>
      <c r="AA15" s="8">
        <f t="shared" ref="AA15" si="51">_xlfn.RANK.EQ(I15,$D15:$R15,1)</f>
        <v>5</v>
      </c>
      <c r="AB15" s="8">
        <f t="shared" ref="AB15" si="52">_xlfn.RANK.EQ(J15,$D15:$R15,1)</f>
        <v>3</v>
      </c>
      <c r="AC15" s="8">
        <f t="shared" ref="AC15" si="53">_xlfn.RANK.EQ(K15,$D15:$R15,1)</f>
        <v>6</v>
      </c>
      <c r="AD15" s="8">
        <f t="shared" ref="AD15" si="54">_xlfn.RANK.EQ(L15,$D15:$R15,1)</f>
        <v>7</v>
      </c>
      <c r="AE15" s="8" t="e">
        <f t="shared" ref="AE15" si="55">_xlfn.RANK.EQ(M15,$D15:$R15,1)</f>
        <v>#N/A</v>
      </c>
      <c r="AF15" s="8" t="e">
        <f t="shared" ref="AF15" si="56">_xlfn.RANK.EQ(N15,$D15:$R15,1)</f>
        <v>#N/A</v>
      </c>
      <c r="AG15" s="8" t="e">
        <f t="shared" ref="AG15" si="57">_xlfn.RANK.EQ(O15,$D15:$R15,1)</f>
        <v>#N/A</v>
      </c>
      <c r="AH15" s="8" t="e">
        <f t="shared" ref="AH15" si="58">_xlfn.RANK.EQ(P15,$D15:$R15,1)</f>
        <v>#N/A</v>
      </c>
      <c r="AI15" s="8" t="e">
        <f t="shared" ref="AI15" si="59">_xlfn.RANK.EQ(Q15,$D15:$R15,1)</f>
        <v>#N/A</v>
      </c>
      <c r="AJ15" s="8" t="e">
        <f t="shared" ref="AJ15" si="60">_xlfn.RANK.EQ(R15,$D15:$R15,1)</f>
        <v>#N/A</v>
      </c>
    </row>
    <row xmlns:x14ac="http://schemas.microsoft.com/office/spreadsheetml/2009/9/ac" r="16" x14ac:dyDescent="0.3">
      <c r="A16" s="25"/>
      <c r="B16" s="18" t="s">
        <v>2646</v>
      </c>
      <c r="C16" s="4" t="s">
        <v>2517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3210.5125198350188</v>
      </c>
      <c r="J16" s="5">
        <v>454.8683108185835</v>
      </c>
      <c r="K16" s="5">
        <v>71373.750496211025</v>
      </c>
      <c r="L16" s="10">
        <v>2371.5328182658859</v>
      </c>
      <c r="M16" s="10">
        <v>0.77181712615416775</v>
      </c>
      <c r="N16" s="10">
        <v>0</v>
      </c>
      <c r="O16" s="10"/>
      <c r="P16" s="10"/>
      <c r="Q16" s="10"/>
      <c r="R16" s="10"/>
      <c r="S16" s="4"/>
      <c r="T16" s="4" t="s">
        <v>24</v>
      </c>
    </row>
    <row xmlns:x14ac="http://schemas.microsoft.com/office/spreadsheetml/2009/9/ac" r="17" x14ac:dyDescent="0.3">
      <c r="A17" s="25"/>
      <c r="B17" s="19" t="s">
        <v>2646</v>
      </c>
      <c r="C17" s="6" t="s">
        <v>2518</v>
      </c>
      <c r="D17" s="7">
        <v>0.671875</v>
      </c>
      <c r="E17" s="7">
        <v>0.640625</v>
      </c>
      <c r="F17" s="7">
        <v>0.59375</v>
      </c>
      <c r="G17" s="7">
        <v>0.296875</v>
      </c>
      <c r="H17" s="7">
        <v>0.703125</v>
      </c>
      <c r="I17" s="7">
        <v>0.21979166666666666</v>
      </c>
      <c r="J17" s="7">
        <v>0.703125</v>
      </c>
      <c r="K17" s="7">
        <v>0.1171875</v>
      </c>
      <c r="L17" s="7">
        <v>0.16927083333333334</v>
      </c>
      <c r="M17" s="7">
        <v>0.17916666666666667</v>
      </c>
      <c r="N17" s="7">
        <v>0.234375</v>
      </c>
      <c r="O17" s="7"/>
      <c r="P17" s="7"/>
      <c r="Q17" s="7"/>
      <c r="R17" s="7"/>
      <c r="S17" s="6"/>
      <c r="T17" s="6" t="s">
        <v>25</v>
      </c>
    </row>
    <row xmlns:x14ac="http://schemas.microsoft.com/office/spreadsheetml/2009/9/ac" r="18" x14ac:dyDescent="0.3">
      <c r="A18" s="25"/>
      <c r="B18" s="17" t="s">
        <v>2647</v>
      </c>
      <c r="C18" s="2" t="s">
        <v>2516</v>
      </c>
      <c r="D18" s="3">
        <v>0.13494001432394068</v>
      </c>
      <c r="E18" s="3">
        <v>0.26773069779198438</v>
      </c>
      <c r="F18" s="3">
        <v>0.49916792032098367</v>
      </c>
      <c r="G18" s="3">
        <v>1.1508516949906475</v>
      </c>
      <c r="H18" s="3">
        <v>123.65140311135316</v>
      </c>
      <c r="I18" s="3">
        <v>115.61987140330712</v>
      </c>
      <c r="J18" s="3">
        <v>0.097592604841739011</v>
      </c>
      <c r="K18" s="3">
        <v>24.977706184017492</v>
      </c>
      <c r="L18" s="3">
        <v>104.67417161472673</v>
      </c>
      <c r="M18" s="3">
        <v>0.5733859500163595</v>
      </c>
      <c r="N18" s="3">
        <v>91304.724223382029</v>
      </c>
      <c r="O18" s="3"/>
      <c r="P18" s="3"/>
      <c r="Q18" s="3"/>
      <c r="R18" s="3"/>
      <c r="S18" s="2" t="s">
        <v>5</v>
      </c>
      <c r="T18" s="2" t="s">
        <v>23</v>
      </c>
      <c r="V18" s="8">
        <f t="shared" ref="V18" si="61">_xlfn.RANK.EQ(D18,$D18:$R18,1)</f>
        <v>1</v>
      </c>
      <c r="W18" s="8">
        <f t="shared" ref="W18" si="62">_xlfn.RANK.EQ(E18,$D18:$R18,1)</f>
        <v>4</v>
      </c>
      <c r="X18" s="8">
        <f t="shared" ref="X18" si="63">_xlfn.RANK.EQ(F18,$D18:$R18,1)</f>
        <v>5</v>
      </c>
      <c r="Y18" s="8">
        <f t="shared" ref="Y18" si="64">_xlfn.RANK.EQ(G18,$D18:$R18,1)</f>
        <v>8</v>
      </c>
      <c r="Z18" s="8">
        <f t="shared" ref="Z18" si="65">_xlfn.RANK.EQ(H18,$D18:$R18,1)</f>
        <v>9</v>
      </c>
      <c r="AA18" s="8">
        <f t="shared" ref="AA18" si="66">_xlfn.RANK.EQ(I18,$D18:$R18,1)</f>
        <v>2</v>
      </c>
      <c r="AB18" s="8">
        <f t="shared" ref="AB18" si="67">_xlfn.RANK.EQ(J18,$D18:$R18,1)</f>
        <v>3</v>
      </c>
      <c r="AC18" s="8">
        <f t="shared" ref="AC18" si="68">_xlfn.RANK.EQ(K18,$D18:$R18,1)</f>
        <v>6</v>
      </c>
      <c r="AD18" s="8">
        <f t="shared" ref="AD18" si="69">_xlfn.RANK.EQ(L18,$D18:$R18,1)</f>
        <v>7</v>
      </c>
      <c r="AE18" s="8" t="e">
        <f t="shared" ref="AE18" si="70">_xlfn.RANK.EQ(M18,$D18:$R18,1)</f>
        <v>#N/A</v>
      </c>
      <c r="AF18" s="8" t="e">
        <f t="shared" ref="AF18" si="71">_xlfn.RANK.EQ(N18,$D18:$R18,1)</f>
        <v>#N/A</v>
      </c>
      <c r="AG18" s="8" t="e">
        <f t="shared" ref="AG18" si="72">_xlfn.RANK.EQ(O18,$D18:$R18,1)</f>
        <v>#N/A</v>
      </c>
      <c r="AH18" s="8" t="e">
        <f t="shared" ref="AH18" si="73">_xlfn.RANK.EQ(P18,$D18:$R18,1)</f>
        <v>#N/A</v>
      </c>
      <c r="AI18" s="8" t="e">
        <f t="shared" ref="AI18" si="74">_xlfn.RANK.EQ(Q18,$D18:$R18,1)</f>
        <v>#N/A</v>
      </c>
      <c r="AJ18" s="8" t="e">
        <f t="shared" ref="AJ18" si="75">_xlfn.RANK.EQ(R18,$D18:$R18,1)</f>
        <v>#N/A</v>
      </c>
    </row>
    <row xmlns:x14ac="http://schemas.microsoft.com/office/spreadsheetml/2009/9/ac" r="19" x14ac:dyDescent="0.3">
      <c r="A19" s="25"/>
      <c r="B19" s="18" t="s">
        <v>2647</v>
      </c>
      <c r="C19" s="4" t="s">
        <v>2517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49.648693570459429</v>
      </c>
      <c r="J19" s="5">
        <v>0.038423035997741557</v>
      </c>
      <c r="K19" s="5">
        <v>48.517440297613028</v>
      </c>
      <c r="L19" s="10">
        <v>37.040302294799609</v>
      </c>
      <c r="M19" s="10">
        <v>0.32079207855434599</v>
      </c>
      <c r="N19" s="10">
        <v>0</v>
      </c>
      <c r="O19" s="10"/>
      <c r="P19" s="10"/>
      <c r="Q19" s="10"/>
      <c r="R19" s="10"/>
      <c r="S19" s="4"/>
      <c r="T19" s="4" t="s">
        <v>24</v>
      </c>
    </row>
    <row xmlns:x14ac="http://schemas.microsoft.com/office/spreadsheetml/2009/9/ac" r="20" x14ac:dyDescent="0.3">
      <c r="A20" s="25"/>
      <c r="B20" s="19" t="s">
        <v>2647</v>
      </c>
      <c r="C20" s="6" t="s">
        <v>2518</v>
      </c>
      <c r="D20" s="7">
        <v>0.671875</v>
      </c>
      <c r="E20" s="7">
        <v>0.515625</v>
      </c>
      <c r="F20" s="7">
        <v>0.578125</v>
      </c>
      <c r="G20" s="7">
        <v>0.375</v>
      </c>
      <c r="H20" s="7">
        <v>0.421875</v>
      </c>
      <c r="I20" s="7">
        <v>0.12916666666666668</v>
      </c>
      <c r="J20" s="7">
        <v>0.6171875</v>
      </c>
      <c r="K20" s="7">
        <v>0.10104166666666667</v>
      </c>
      <c r="L20" s="7">
        <v>0.13958333333333334</v>
      </c>
      <c r="M20" s="7">
        <v>0.15156249999999999</v>
      </c>
      <c r="N20" s="7">
        <v>0.203125</v>
      </c>
      <c r="O20" s="7"/>
      <c r="P20" s="7"/>
      <c r="Q20" s="7"/>
      <c r="R20" s="7"/>
      <c r="S20" s="6"/>
      <c r="T20" s="6" t="s">
        <v>25</v>
      </c>
    </row>
    <row xmlns:x14ac="http://schemas.microsoft.com/office/spreadsheetml/2009/9/ac" r="21" x14ac:dyDescent="0.3">
      <c r="A21" s="25"/>
      <c r="B21" s="17" t="s">
        <v>2648</v>
      </c>
      <c r="C21" s="2" t="s">
        <v>2516</v>
      </c>
      <c r="D21" s="3">
        <v>0.00012672203566766368</v>
      </c>
      <c r="E21" s="3">
        <v>2.6025394976958792e-05</v>
      </c>
      <c r="F21" s="3">
        <v>0.0024966324071543544</v>
      </c>
      <c r="G21" s="3">
        <v>0.12859344146564317</v>
      </c>
      <c r="H21" s="3">
        <v>0.1057478190334914</v>
      </c>
      <c r="I21" s="3">
        <v>0.17210644463564342</v>
      </c>
      <c r="J21" s="3">
        <v>0.16290073634366156</v>
      </c>
      <c r="K21" s="3">
        <v>0.092205996688966146</v>
      </c>
      <c r="L21" s="3">
        <v>0.16215661146560828</v>
      </c>
      <c r="M21" s="3">
        <v>0.0024572133938637331</v>
      </c>
      <c r="N21" s="3">
        <v>232.08012914604441</v>
      </c>
      <c r="O21" s="3"/>
      <c r="P21" s="3"/>
      <c r="Q21" s="3"/>
      <c r="R21" s="3"/>
      <c r="S21" s="2" t="s">
        <v>6</v>
      </c>
      <c r="T21" s="2" t="s">
        <v>23</v>
      </c>
      <c r="V21" s="8">
        <f t="shared" ref="V21" si="76">_xlfn.RANK.EQ(D21,$D21:$R21,1)</f>
        <v>2</v>
      </c>
      <c r="W21" s="8">
        <f t="shared" ref="W21" si="77">_xlfn.RANK.EQ(E21,$D21:$R21,1)</f>
        <v>1</v>
      </c>
      <c r="X21" s="8">
        <f t="shared" ref="X21" si="78">_xlfn.RANK.EQ(F21,$D21:$R21,1)</f>
        <v>4</v>
      </c>
      <c r="Y21" s="8">
        <f t="shared" ref="Y21" si="79">_xlfn.RANK.EQ(G21,$D21:$R21,1)</f>
        <v>7</v>
      </c>
      <c r="Z21" s="8">
        <f t="shared" ref="Z21" si="80">_xlfn.RANK.EQ(H21,$D21:$R21,1)</f>
        <v>8</v>
      </c>
      <c r="AA21" s="8">
        <f t="shared" ref="AA21" si="81">_xlfn.RANK.EQ(I21,$D21:$R21,1)</f>
        <v>6</v>
      </c>
      <c r="AB21" s="8">
        <f t="shared" ref="AB21" si="82">_xlfn.RANK.EQ(J21,$D21:$R21,1)</f>
        <v>9</v>
      </c>
      <c r="AC21" s="8">
        <f t="shared" ref="AC21" si="83">_xlfn.RANK.EQ(K21,$D21:$R21,1)</f>
        <v>3</v>
      </c>
      <c r="AD21" s="8">
        <f t="shared" ref="AD21" si="84">_xlfn.RANK.EQ(L21,$D21:$R21,1)</f>
        <v>5</v>
      </c>
      <c r="AE21" s="8" t="e">
        <f t="shared" ref="AE21" si="85">_xlfn.RANK.EQ(M21,$D21:$R21,1)</f>
        <v>#N/A</v>
      </c>
      <c r="AF21" s="8" t="e">
        <f t="shared" ref="AF21" si="86">_xlfn.RANK.EQ(N21,$D21:$R21,1)</f>
        <v>#N/A</v>
      </c>
      <c r="AG21" s="8" t="e">
        <f t="shared" ref="AG21" si="87">_xlfn.RANK.EQ(O21,$D21:$R21,1)</f>
        <v>#N/A</v>
      </c>
      <c r="AH21" s="8" t="e">
        <f t="shared" ref="AH21" si="88">_xlfn.RANK.EQ(P21,$D21:$R21,1)</f>
        <v>#N/A</v>
      </c>
      <c r="AI21" s="8" t="e">
        <f t="shared" ref="AI21" si="89">_xlfn.RANK.EQ(Q21,$D21:$R21,1)</f>
        <v>#N/A</v>
      </c>
      <c r="AJ21" s="8" t="e">
        <f t="shared" ref="AJ21" si="90">_xlfn.RANK.EQ(R21,$D21:$R21,1)</f>
        <v>#N/A</v>
      </c>
    </row>
    <row xmlns:x14ac="http://schemas.microsoft.com/office/spreadsheetml/2009/9/ac" r="22" x14ac:dyDescent="0.3">
      <c r="A22" s="25"/>
      <c r="B22" s="18" t="s">
        <v>2648</v>
      </c>
      <c r="C22" s="4" t="s">
        <v>2517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0.055565161990422815</v>
      </c>
      <c r="J22" s="5">
        <v>0.034122300128122611</v>
      </c>
      <c r="K22" s="5">
        <v>0.044573493978422675</v>
      </c>
      <c r="L22" s="10">
        <v>0.062411119963328522</v>
      </c>
      <c r="M22" s="10">
        <v>0.0011880853492837922</v>
      </c>
      <c r="N22" s="10">
        <v>0</v>
      </c>
      <c r="O22" s="10"/>
      <c r="P22" s="10"/>
      <c r="Q22" s="10"/>
      <c r="R22" s="10"/>
      <c r="S22" s="4"/>
      <c r="T22" s="4" t="s">
        <v>24</v>
      </c>
    </row>
    <row xmlns:x14ac="http://schemas.microsoft.com/office/spreadsheetml/2009/9/ac" r="23" x14ac:dyDescent="0.3">
      <c r="A23" s="22"/>
      <c r="B23" s="19" t="s">
        <v>2648</v>
      </c>
      <c r="C23" s="6" t="s">
        <v>2518</v>
      </c>
      <c r="D23" s="7">
        <v>0.859375</v>
      </c>
      <c r="E23" s="7">
        <v>0.5625</v>
      </c>
      <c r="F23" s="7">
        <v>0.921875</v>
      </c>
      <c r="G23" s="7">
        <v>0.359375</v>
      </c>
      <c r="H23" s="7">
        <v>0.734375</v>
      </c>
      <c r="I23" s="7">
        <v>0.22239583333333332</v>
      </c>
      <c r="J23" s="7">
        <v>0.6869791666666667</v>
      </c>
      <c r="K23" s="7">
        <v>0.16979166666666667</v>
      </c>
      <c r="L23" s="7">
        <v>0.20729166666666668</v>
      </c>
      <c r="M23" s="7">
        <v>0.23906250000000001</v>
      </c>
      <c r="N23" s="7">
        <v>0.265625</v>
      </c>
      <c r="O23" s="7"/>
      <c r="P23" s="7"/>
      <c r="Q23" s="7"/>
      <c r="R23" s="7"/>
      <c r="S23" s="6"/>
      <c r="T23" s="6" t="s">
        <v>25</v>
      </c>
    </row>
    <row xmlns:x14ac="http://schemas.microsoft.com/office/spreadsheetml/2009/9/ac" r="24" x14ac:dyDescent="0.3">
      <c r="A24" s="24" t="s">
        <v>30</v>
      </c>
      <c r="B24" s="17" t="s">
        <v>2649</v>
      </c>
      <c r="C24" s="2" t="s">
        <v>2516</v>
      </c>
      <c r="D24" s="3">
        <v>-1805.8915853139179</v>
      </c>
      <c r="E24" s="3">
        <v>-2167.0699023767015</v>
      </c>
      <c r="F24" s="3">
        <v>-5736.9362809846953</v>
      </c>
      <c r="G24" s="3">
        <v>-10941.026749726294</v>
      </c>
      <c r="H24" s="3">
        <v>-12301.939088006437</v>
      </c>
      <c r="I24" s="3">
        <v>-12281.154499858983</v>
      </c>
      <c r="J24" s="3">
        <v>-5864.994828792248</v>
      </c>
      <c r="K24" s="3">
        <v>-7618.1787605672316</v>
      </c>
      <c r="L24" s="3">
        <v>-12309.916392510177</v>
      </c>
      <c r="M24" s="3">
        <v>-5654.0804641220084</v>
      </c>
      <c r="N24" s="3">
        <v>-429.3825468622282</v>
      </c>
      <c r="O24" s="3"/>
      <c r="P24" s="3"/>
      <c r="Q24" s="3"/>
      <c r="R24" s="3"/>
      <c r="S24" s="2" t="s">
        <v>7</v>
      </c>
      <c r="T24" s="2" t="s">
        <v>23</v>
      </c>
      <c r="V24" s="8">
        <f t="shared" ref="V24" si="91">_xlfn.RANK.EQ(D24,$D24:$R24,1)</f>
        <v>3</v>
      </c>
      <c r="W24" s="8">
        <f t="shared" ref="W24" si="92">_xlfn.RANK.EQ(E24,$D24:$R24,1)</f>
        <v>4</v>
      </c>
      <c r="X24" s="8">
        <f t="shared" ref="X24" si="93">_xlfn.RANK.EQ(F24,$D24:$R24,1)</f>
        <v>8</v>
      </c>
      <c r="Y24" s="8">
        <f t="shared" ref="Y24" si="94">_xlfn.RANK.EQ(G24,$D24:$R24,1)</f>
        <v>5</v>
      </c>
      <c r="Z24" s="8">
        <f t="shared" ref="Z24" si="95">_xlfn.RANK.EQ(H24,$D24:$R24,1)</f>
        <v>7</v>
      </c>
      <c r="AA24" s="8">
        <f t="shared" ref="AA24" si="96">_xlfn.RANK.EQ(I24,$D24:$R24,1)</f>
        <v>6</v>
      </c>
      <c r="AB24" s="8">
        <f t="shared" ref="AB24" si="97">_xlfn.RANK.EQ(J24,$D24:$R24,1)</f>
        <v>9</v>
      </c>
      <c r="AC24" s="8">
        <f t="shared" ref="AC24" si="98">_xlfn.RANK.EQ(K24,$D24:$R24,1)</f>
        <v>2</v>
      </c>
      <c r="AD24" s="8">
        <f t="shared" ref="AD24" si="99">_xlfn.RANK.EQ(L24,$D24:$R24,1)</f>
        <v>1</v>
      </c>
      <c r="AE24" s="8" t="e">
        <f t="shared" ref="AE24" si="100">_xlfn.RANK.EQ(M24,$D24:$R24,1)</f>
        <v>#N/A</v>
      </c>
      <c r="AF24" s="8" t="e">
        <f t="shared" ref="AF24" si="101">_xlfn.RANK.EQ(N24,$D24:$R24,1)</f>
        <v>#N/A</v>
      </c>
      <c r="AG24" s="8" t="e">
        <f t="shared" ref="AG24" si="102">_xlfn.RANK.EQ(O24,$D24:$R24,1)</f>
        <v>#N/A</v>
      </c>
      <c r="AH24" s="8" t="e">
        <f t="shared" ref="AH24" si="103">_xlfn.RANK.EQ(P24,$D24:$R24,1)</f>
        <v>#N/A</v>
      </c>
      <c r="AI24" s="8" t="e">
        <f t="shared" ref="AI24" si="104">_xlfn.RANK.EQ(Q24,$D24:$R24,1)</f>
        <v>#N/A</v>
      </c>
      <c r="AJ24" s="8" t="e">
        <f t="shared" ref="AJ24" si="105">_xlfn.RANK.EQ(R24,$D24:$R24,1)</f>
        <v>#N/A</v>
      </c>
    </row>
    <row xmlns:x14ac="http://schemas.microsoft.com/office/spreadsheetml/2009/9/ac" r="25" x14ac:dyDescent="0.3">
      <c r="A25" s="25"/>
      <c r="B25" s="18" t="s">
        <v>2649</v>
      </c>
      <c r="C25" s="4" t="s">
        <v>2517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82.866056529563707</v>
      </c>
      <c r="J25" s="5">
        <v>923.31862580062079</v>
      </c>
      <c r="K25" s="5">
        <v>973.38940386761419</v>
      </c>
      <c r="L25" s="10">
        <v>115.89615239364542</v>
      </c>
      <c r="M25" s="10">
        <v>1239.0764494265086</v>
      </c>
      <c r="N25" s="10">
        <v>0</v>
      </c>
      <c r="O25" s="10"/>
      <c r="P25" s="10"/>
      <c r="Q25" s="10"/>
      <c r="R25" s="10"/>
      <c r="S25" s="4"/>
      <c r="T25" s="4" t="s">
        <v>24</v>
      </c>
    </row>
    <row xmlns:x14ac="http://schemas.microsoft.com/office/spreadsheetml/2009/9/ac" r="26" x14ac:dyDescent="0.3">
      <c r="A26" s="25"/>
      <c r="B26" s="19" t="s">
        <v>2649</v>
      </c>
      <c r="C26" s="6" t="s">
        <v>2518</v>
      </c>
      <c r="D26" s="7">
        <v>0.75</v>
      </c>
      <c r="E26" s="7">
        <v>0.421875</v>
      </c>
      <c r="F26" s="7">
        <v>0.609375</v>
      </c>
      <c r="G26" s="7">
        <v>0.3125</v>
      </c>
      <c r="H26" s="7">
        <v>0.484375</v>
      </c>
      <c r="I26" s="7">
        <v>0.15520833333333334</v>
      </c>
      <c r="J26" s="7">
        <v>0.67812499999999998</v>
      </c>
      <c r="K26" s="7">
        <v>0.11927083333333334</v>
      </c>
      <c r="L26" s="7">
        <v>0.15052083333333333</v>
      </c>
      <c r="M26" s="7">
        <v>0.19166666666666668</v>
      </c>
      <c r="N26" s="7">
        <v>0.203125</v>
      </c>
      <c r="O26" s="7"/>
      <c r="P26" s="7"/>
      <c r="Q26" s="7"/>
      <c r="R26" s="7"/>
      <c r="S26" s="6"/>
      <c r="T26" s="6" t="s">
        <v>25</v>
      </c>
    </row>
    <row xmlns:x14ac="http://schemas.microsoft.com/office/spreadsheetml/2009/9/ac" r="27" x14ac:dyDescent="0.3">
      <c r="A27" s="25"/>
      <c r="B27" s="17" t="s">
        <v>2650</v>
      </c>
      <c r="C27" s="2" t="s">
        <v>2516</v>
      </c>
      <c r="D27" s="3">
        <v>8.3635980502094753e-05</v>
      </c>
      <c r="E27" s="3">
        <v>2.461431961364724e-06</v>
      </c>
      <c r="F27" s="3">
        <v>2.3098063446931292</v>
      </c>
      <c r="G27" s="3">
        <v>101.02556691665916</v>
      </c>
      <c r="H27" s="3">
        <v>17.745341857433459</v>
      </c>
      <c r="I27" s="3">
        <v>18.724358368837823</v>
      </c>
      <c r="J27" s="3">
        <v>52.400219784896471</v>
      </c>
      <c r="K27" s="3">
        <v>140.32016913428515</v>
      </c>
      <c r="L27" s="3">
        <v>18.359654351947025</v>
      </c>
      <c r="M27" s="3">
        <v>6.5360481282245528</v>
      </c>
      <c r="N27" s="3">
        <v>531.64052851180907</v>
      </c>
      <c r="O27" s="3"/>
      <c r="P27" s="3"/>
      <c r="Q27" s="3"/>
      <c r="R27" s="3"/>
      <c r="S27" s="2" t="s">
        <v>8</v>
      </c>
      <c r="T27" s="2" t="s">
        <v>23</v>
      </c>
      <c r="V27" s="8">
        <f t="shared" ref="V27" si="106">_xlfn.RANK.EQ(D27,$D27:$R27,1)</f>
        <v>1</v>
      </c>
      <c r="W27" s="8">
        <f t="shared" ref="W27" si="107">_xlfn.RANK.EQ(E27,$D27:$R27,1)</f>
        <v>1</v>
      </c>
      <c r="X27" s="8">
        <f t="shared" ref="X27" si="108">_xlfn.RANK.EQ(F27,$D27:$R27,1)</f>
        <v>6</v>
      </c>
      <c r="Y27" s="8">
        <f t="shared" ref="Y27" si="109">_xlfn.RANK.EQ(G27,$D27:$R27,1)</f>
        <v>9</v>
      </c>
      <c r="Z27" s="8">
        <f t="shared" ref="Z27" si="110">_xlfn.RANK.EQ(H27,$D27:$R27,1)</f>
        <v>8</v>
      </c>
      <c r="AA27" s="8">
        <f t="shared" ref="AA27" si="111">_xlfn.RANK.EQ(I27,$D27:$R27,1)</f>
        <v>5</v>
      </c>
      <c r="AB27" s="8">
        <f t="shared" ref="AB27" si="112">_xlfn.RANK.EQ(J27,$D27:$R27,1)</f>
        <v>4</v>
      </c>
      <c r="AC27" s="8">
        <f t="shared" ref="AC27" si="113">_xlfn.RANK.EQ(K27,$D27:$R27,1)</f>
        <v>7</v>
      </c>
      <c r="AD27" s="8">
        <f t="shared" ref="AD27" si="114">_xlfn.RANK.EQ(L27,$D27:$R27,1)</f>
        <v>3</v>
      </c>
      <c r="AE27" s="8">
        <f t="shared" ref="AE27" si="115">_xlfn.RANK.EQ(M27,$D27:$R27,1)</f>
        <v>1</v>
      </c>
      <c r="AF27" s="8">
        <f t="shared" ref="AF27" si="116">_xlfn.RANK.EQ(N27,$D27:$R27,1)</f>
        <v>1</v>
      </c>
      <c r="AG27" s="8">
        <f t="shared" ref="AG27" si="117">_xlfn.RANK.EQ(O27,$D27:$R27,1)</f>
        <v>1</v>
      </c>
      <c r="AH27" s="8">
        <f t="shared" ref="AH27" si="118">_xlfn.RANK.EQ(P27,$D27:$R27,1)</f>
        <v>1</v>
      </c>
      <c r="AI27" s="8">
        <f t="shared" ref="AI27" si="119">_xlfn.RANK.EQ(Q27,$D27:$R27,1)</f>
        <v>1</v>
      </c>
      <c r="AJ27" s="8">
        <f t="shared" ref="AJ27" si="120">_xlfn.RANK.EQ(R27,$D27:$R27,1)</f>
        <v>1</v>
      </c>
    </row>
    <row xmlns:x14ac="http://schemas.microsoft.com/office/spreadsheetml/2009/9/ac" r="28" x14ac:dyDescent="0.3">
      <c r="A28" s="25"/>
      <c r="B28" s="18" t="s">
        <v>2650</v>
      </c>
      <c r="C28" s="4" t="s">
        <v>2517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2.75727305194581</v>
      </c>
      <c r="J28" s="5">
        <v>14.136555285111511</v>
      </c>
      <c r="K28" s="5">
        <v>30.122555160081564</v>
      </c>
      <c r="L28" s="10">
        <v>3.5509269568736128</v>
      </c>
      <c r="M28" s="10">
        <v>5.6176802060789743</v>
      </c>
      <c r="N28" s="10">
        <v>0</v>
      </c>
      <c r="O28" s="10"/>
      <c r="P28" s="10"/>
      <c r="Q28" s="10"/>
      <c r="R28" s="10"/>
      <c r="S28" s="4"/>
      <c r="T28" s="4" t="s">
        <v>24</v>
      </c>
    </row>
    <row xmlns:x14ac="http://schemas.microsoft.com/office/spreadsheetml/2009/9/ac" r="29" x14ac:dyDescent="0.3">
      <c r="A29" s="25"/>
      <c r="B29" s="19" t="s">
        <v>2650</v>
      </c>
      <c r="C29" s="6" t="s">
        <v>2518</v>
      </c>
      <c r="D29" s="7">
        <v>0.6875</v>
      </c>
      <c r="E29" s="7">
        <v>0.515625</v>
      </c>
      <c r="F29" s="7">
        <v>0.59375</v>
      </c>
      <c r="G29" s="7">
        <v>0.359375</v>
      </c>
      <c r="H29" s="7">
        <v>0.453125</v>
      </c>
      <c r="I29" s="7">
        <v>0.13906250000000001</v>
      </c>
      <c r="J29" s="7">
        <v>0.62083333333333335</v>
      </c>
      <c r="K29" s="7">
        <v>0.10989583333333333</v>
      </c>
      <c r="L29" s="7">
        <v>0.14583333333333334</v>
      </c>
      <c r="M29" s="7">
        <v>0.16927083333333334</v>
      </c>
      <c r="N29" s="7">
        <v>0.203125</v>
      </c>
      <c r="O29" s="7"/>
      <c r="P29" s="7"/>
      <c r="Q29" s="7"/>
      <c r="R29" s="7"/>
      <c r="S29" s="6"/>
      <c r="T29" s="6" t="s">
        <v>25</v>
      </c>
    </row>
    <row xmlns:x14ac="http://schemas.microsoft.com/office/spreadsheetml/2009/9/ac" r="30" x14ac:dyDescent="0.3">
      <c r="A30" s="25"/>
      <c r="B30" s="17" t="s">
        <v>2651</v>
      </c>
      <c r="C30" s="2" t="s">
        <v>2516</v>
      </c>
      <c r="D30" s="3">
        <v>0.0037880719927447792</v>
      </c>
      <c r="E30" s="3">
        <v>0.00031640932402554611</v>
      </c>
      <c r="F30" s="3">
        <v>3.2418512319054571e-14</v>
      </c>
      <c r="G30" s="3">
        <v>2.4382400802481681</v>
      </c>
      <c r="H30" s="3">
        <v>4.6969247002367318</v>
      </c>
      <c r="I30" s="3">
        <v>3.9091942588412025</v>
      </c>
      <c r="J30" s="3">
        <v>0.63544621886415986</v>
      </c>
      <c r="K30" s="3">
        <v>1.7739076723538845</v>
      </c>
      <c r="L30" s="3">
        <v>3.9619982824332505</v>
      </c>
      <c r="M30" s="3">
        <v>3.3721174001281423e-14</v>
      </c>
      <c r="N30" s="3">
        <v>21.510312496570247</v>
      </c>
      <c r="O30" s="3"/>
      <c r="P30" s="3"/>
      <c r="Q30" s="3"/>
      <c r="R30" s="3"/>
      <c r="S30" s="2" t="s">
        <v>9</v>
      </c>
      <c r="T30" s="2" t="s">
        <v>23</v>
      </c>
      <c r="V30" s="8">
        <f t="shared" ref="V30" si="121">_xlfn.RANK.EQ(D30,$D30:$R30,1)</f>
        <v>1</v>
      </c>
      <c r="W30" s="8">
        <f t="shared" ref="W30" si="122">_xlfn.RANK.EQ(E30,$D30:$R30,1)</f>
        <v>2</v>
      </c>
      <c r="X30" s="8">
        <f t="shared" ref="X30" si="123">_xlfn.RANK.EQ(F30,$D30:$R30,1)</f>
        <v>4</v>
      </c>
      <c r="Y30" s="8">
        <f t="shared" ref="Y30" si="124">_xlfn.RANK.EQ(G30,$D30:$R30,1)</f>
        <v>8</v>
      </c>
      <c r="Z30" s="8">
        <f t="shared" ref="Z30" si="125">_xlfn.RANK.EQ(H30,$D30:$R30,1)</f>
        <v>9</v>
      </c>
      <c r="AA30" s="8">
        <f t="shared" ref="AA30" si="126">_xlfn.RANK.EQ(I30,$D30:$R30,1)</f>
        <v>6</v>
      </c>
      <c r="AB30" s="8">
        <f t="shared" ref="AB30" si="127">_xlfn.RANK.EQ(J30,$D30:$R30,1)</f>
        <v>3</v>
      </c>
      <c r="AC30" s="8">
        <f t="shared" ref="AC30" si="128">_xlfn.RANK.EQ(K30,$D30:$R30,1)</f>
        <v>5</v>
      </c>
      <c r="AD30" s="8">
        <f t="shared" ref="AD30" si="129">_xlfn.RANK.EQ(L30,$D30:$R30,1)</f>
        <v>7</v>
      </c>
      <c r="AE30" s="8" t="e">
        <f t="shared" ref="AE30" si="130">_xlfn.RANK.EQ(M30,$D30:$R30,1)</f>
        <v>#N/A</v>
      </c>
      <c r="AF30" s="8" t="e">
        <f t="shared" ref="AF30" si="131">_xlfn.RANK.EQ(N30,$D30:$R30,1)</f>
        <v>#N/A</v>
      </c>
      <c r="AG30" s="8" t="e">
        <f t="shared" ref="AG30" si="132">_xlfn.RANK.EQ(O30,$D30:$R30,1)</f>
        <v>#N/A</v>
      </c>
      <c r="AH30" s="8" t="e">
        <f t="shared" ref="AH30" si="133">_xlfn.RANK.EQ(P30,$D30:$R30,1)</f>
        <v>#N/A</v>
      </c>
      <c r="AI30" s="8" t="e">
        <f t="shared" ref="AI30" si="134">_xlfn.RANK.EQ(Q30,$D30:$R30,1)</f>
        <v>#N/A</v>
      </c>
      <c r="AJ30" s="8" t="e">
        <f t="shared" ref="AJ30" si="135">_xlfn.RANK.EQ(R30,$D30:$R30,1)</f>
        <v>#N/A</v>
      </c>
    </row>
    <row xmlns:x14ac="http://schemas.microsoft.com/office/spreadsheetml/2009/9/ac" r="31" x14ac:dyDescent="0.3">
      <c r="A31" s="25"/>
      <c r="B31" s="18" t="s">
        <v>2651</v>
      </c>
      <c r="C31" s="4" t="s">
        <v>2517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0.38271453808375894</v>
      </c>
      <c r="J31" s="5">
        <v>2.1276496518999299</v>
      </c>
      <c r="K31" s="5">
        <v>1.0154774742272681</v>
      </c>
      <c r="L31" s="10">
        <v>0.37651000725965933</v>
      </c>
      <c r="M31" s="10">
        <v>3.7879019401636755e-15</v>
      </c>
      <c r="N31" s="10">
        <v>0</v>
      </c>
      <c r="O31" s="10"/>
      <c r="P31" s="10"/>
      <c r="Q31" s="10"/>
      <c r="R31" s="10"/>
      <c r="S31" s="4"/>
      <c r="T31" s="4" t="s">
        <v>24</v>
      </c>
    </row>
    <row xmlns:x14ac="http://schemas.microsoft.com/office/spreadsheetml/2009/9/ac" r="32" x14ac:dyDescent="0.3">
      <c r="A32" s="25"/>
      <c r="B32" s="19" t="s">
        <v>2651</v>
      </c>
      <c r="C32" s="6" t="s">
        <v>2518</v>
      </c>
      <c r="D32" s="7">
        <v>0.65625</v>
      </c>
      <c r="E32" s="7">
        <v>0.546875</v>
      </c>
      <c r="F32" s="7">
        <v>0.640625</v>
      </c>
      <c r="G32" s="7">
        <v>0.34375</v>
      </c>
      <c r="H32" s="7">
        <v>0.46875</v>
      </c>
      <c r="I32" s="7">
        <v>0.14166666666666666</v>
      </c>
      <c r="J32" s="7">
        <v>0.73854166666666665</v>
      </c>
      <c r="K32" s="7">
        <v>0.14322916666666666</v>
      </c>
      <c r="L32" s="7">
        <v>0.21458333333333332</v>
      </c>
      <c r="M32" s="7">
        <v>0.16250000000000001</v>
      </c>
      <c r="N32" s="7">
        <v>0.1875</v>
      </c>
      <c r="O32" s="7"/>
      <c r="P32" s="7"/>
      <c r="Q32" s="7"/>
      <c r="R32" s="7"/>
      <c r="S32" s="6"/>
      <c r="T32" s="6" t="s">
        <v>25</v>
      </c>
    </row>
    <row xmlns:x14ac="http://schemas.microsoft.com/office/spreadsheetml/2009/9/ac" r="33" x14ac:dyDescent="0.3">
      <c r="A33" s="25"/>
      <c r="B33" s="17" t="s">
        <v>2652</v>
      </c>
      <c r="C33" s="2" t="s">
        <v>2516</v>
      </c>
      <c r="D33" s="3">
        <v>268.9403518824613</v>
      </c>
      <c r="E33" s="3">
        <v>15.162098406826075</v>
      </c>
      <c r="F33" s="3">
        <v>0</v>
      </c>
      <c r="G33" s="3">
        <v>0.96919252799220956</v>
      </c>
      <c r="H33" s="3">
        <v>2.0029197907788374</v>
      </c>
      <c r="I33" s="3">
        <v>2.2412698195781231</v>
      </c>
      <c r="J33" s="3">
        <v>0.40895336217587552</v>
      </c>
      <c r="K33" s="3">
        <v>0.26158712405559154</v>
      </c>
      <c r="L33" s="3">
        <v>2.1023355314472694</v>
      </c>
      <c r="M33" s="3">
        <v>0.0053634752627089201</v>
      </c>
      <c r="N33" s="3">
        <v>1118.5258445992026</v>
      </c>
      <c r="O33" s="3"/>
      <c r="P33" s="3"/>
      <c r="Q33" s="3"/>
      <c r="R33" s="3"/>
      <c r="S33" s="2" t="s">
        <v>10</v>
      </c>
      <c r="T33" s="2" t="s">
        <v>23</v>
      </c>
      <c r="V33" s="8">
        <f t="shared" ref="V33" si="136">_xlfn.RANK.EQ(D33,$D33:$R33,1)</f>
        <v>1</v>
      </c>
      <c r="W33" s="8">
        <f t="shared" ref="W33" si="137">_xlfn.RANK.EQ(E33,$D33:$R33,1)</f>
        <v>1</v>
      </c>
      <c r="X33" s="8">
        <f t="shared" ref="X33" si="138">_xlfn.RANK.EQ(F33,$D33:$R33,1)</f>
        <v>4</v>
      </c>
      <c r="Y33" s="8">
        <f t="shared" ref="Y33" si="139">_xlfn.RANK.EQ(G33,$D33:$R33,1)</f>
        <v>7</v>
      </c>
      <c r="Z33" s="8">
        <f t="shared" ref="Z33" si="140">_xlfn.RANK.EQ(H33,$D33:$R33,1)</f>
        <v>9</v>
      </c>
      <c r="AA33" s="8">
        <f t="shared" ref="AA33" si="141">_xlfn.RANK.EQ(I33,$D33:$R33,1)</f>
        <v>3</v>
      </c>
      <c r="AB33" s="8">
        <f t="shared" ref="AB33" si="142">_xlfn.RANK.EQ(J33,$D33:$R33,1)</f>
        <v>8</v>
      </c>
      <c r="AC33" s="8">
        <f t="shared" ref="AC33" si="143">_xlfn.RANK.EQ(K33,$D33:$R33,1)</f>
        <v>5</v>
      </c>
      <c r="AD33" s="8">
        <f t="shared" ref="AD33" si="144">_xlfn.RANK.EQ(L33,$D33:$R33,1)</f>
        <v>6</v>
      </c>
      <c r="AE33" s="8">
        <f t="shared" ref="AE33" si="145">_xlfn.RANK.EQ(M33,$D33:$R33,1)</f>
        <v>1</v>
      </c>
      <c r="AF33" s="8">
        <f t="shared" ref="AF33" si="146">_xlfn.RANK.EQ(N33,$D33:$R33,1)</f>
        <v>1</v>
      </c>
      <c r="AG33" s="8">
        <f t="shared" ref="AG33" si="147">_xlfn.RANK.EQ(O33,$D33:$R33,1)</f>
        <v>1</v>
      </c>
      <c r="AH33" s="8">
        <f t="shared" ref="AH33" si="148">_xlfn.RANK.EQ(P33,$D33:$R33,1)</f>
        <v>1</v>
      </c>
      <c r="AI33" s="8">
        <f t="shared" ref="AI33" si="149">_xlfn.RANK.EQ(Q33,$D33:$R33,1)</f>
        <v>1</v>
      </c>
      <c r="AJ33" s="8">
        <f t="shared" ref="AJ33" si="150">_xlfn.RANK.EQ(R33,$D33:$R33,1)</f>
        <v>1</v>
      </c>
    </row>
    <row xmlns:x14ac="http://schemas.microsoft.com/office/spreadsheetml/2009/9/ac" r="34" x14ac:dyDescent="0.3">
      <c r="A34" s="25"/>
      <c r="B34" s="18" t="s">
        <v>2652</v>
      </c>
      <c r="C34" s="4" t="s">
        <v>2517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0.32268736252400704</v>
      </c>
      <c r="J34" s="5">
        <v>0.25392165498732083</v>
      </c>
      <c r="K34" s="5">
        <v>0.28226417295207745</v>
      </c>
      <c r="L34" s="10">
        <v>0.40642556144420616</v>
      </c>
      <c r="M34" s="10">
        <v>0.0082705918894792653</v>
      </c>
      <c r="N34" s="10">
        <v>0</v>
      </c>
      <c r="O34" s="10"/>
      <c r="P34" s="10"/>
      <c r="Q34" s="10"/>
      <c r="R34" s="10"/>
      <c r="S34" s="4"/>
      <c r="T34" s="4" t="s">
        <v>24</v>
      </c>
    </row>
    <row xmlns:x14ac="http://schemas.microsoft.com/office/spreadsheetml/2009/9/ac" r="35" x14ac:dyDescent="0.3">
      <c r="A35" s="25"/>
      <c r="B35" s="19" t="s">
        <v>2652</v>
      </c>
      <c r="C35" s="6" t="s">
        <v>2518</v>
      </c>
      <c r="D35" s="7">
        <v>0.75</v>
      </c>
      <c r="E35" s="7">
        <v>0.515625</v>
      </c>
      <c r="F35" s="7">
        <v>0.6875</v>
      </c>
      <c r="G35" s="7">
        <v>0.34375</v>
      </c>
      <c r="H35" s="7">
        <v>0.515625</v>
      </c>
      <c r="I35" s="7">
        <v>0.17708333333333334</v>
      </c>
      <c r="J35" s="7">
        <v>0.640625</v>
      </c>
      <c r="K35" s="7">
        <v>0.11822916666666666</v>
      </c>
      <c r="L35" s="7">
        <v>0.15781249999999999</v>
      </c>
      <c r="M35" s="7">
        <v>0.19270833333333334</v>
      </c>
      <c r="N35" s="7">
        <v>0.203125</v>
      </c>
      <c r="O35" s="7"/>
      <c r="P35" s="7"/>
      <c r="Q35" s="7"/>
      <c r="R35" s="7"/>
      <c r="S35" s="6"/>
      <c r="T35" s="6" t="s">
        <v>25</v>
      </c>
    </row>
    <row xmlns:x14ac="http://schemas.microsoft.com/office/spreadsheetml/2009/9/ac" r="36" x14ac:dyDescent="0.3">
      <c r="A36" s="25"/>
      <c r="B36" s="17" t="s">
        <v>2653</v>
      </c>
      <c r="C36" s="2" t="s">
        <v>2516</v>
      </c>
      <c r="D36" s="3">
        <v>0.013179947687725374</v>
      </c>
      <c r="E36" s="3">
        <v>0.18257632497274234</v>
      </c>
      <c r="F36" s="3">
        <v>0.087477284815186296</v>
      </c>
      <c r="G36" s="3">
        <v>2.4058936537914977</v>
      </c>
      <c r="H36" s="3">
        <v>1.1097848839247597</v>
      </c>
      <c r="I36" s="3">
        <v>1.3243375554546117</v>
      </c>
      <c r="J36" s="3">
        <v>1.6055491573861693</v>
      </c>
      <c r="K36" s="3">
        <v>1926.5218757783721</v>
      </c>
      <c r="L36" s="3">
        <v>1.3917233028587774</v>
      </c>
      <c r="M36" s="3">
        <v>0.046067632034883545</v>
      </c>
      <c r="N36" s="3">
        <v>1822411360.8819032</v>
      </c>
      <c r="O36" s="3"/>
      <c r="P36" s="3"/>
      <c r="Q36" s="3"/>
      <c r="R36" s="3"/>
      <c r="S36" s="2" t="s">
        <v>11</v>
      </c>
      <c r="T36" s="2" t="s">
        <v>23</v>
      </c>
      <c r="V36" s="8">
        <f t="shared" ref="V36" si="151">_xlfn.RANK.EQ(D36,$D36:$R36,1)</f>
        <v>1</v>
      </c>
      <c r="W36" s="8">
        <f t="shared" ref="W36" si="152">_xlfn.RANK.EQ(E36,$D36:$R36,1)</f>
        <v>2</v>
      </c>
      <c r="X36" s="8">
        <f t="shared" ref="X36" si="153">_xlfn.RANK.EQ(F36,$D36:$R36,1)</f>
        <v>3</v>
      </c>
      <c r="Y36" s="8">
        <f t="shared" ref="Y36" si="154">_xlfn.RANK.EQ(G36,$D36:$R36,1)</f>
        <v>8</v>
      </c>
      <c r="Z36" s="8">
        <f t="shared" ref="Z36" si="155">_xlfn.RANK.EQ(H36,$D36:$R36,1)</f>
        <v>9</v>
      </c>
      <c r="AA36" s="8">
        <f t="shared" ref="AA36" si="156">_xlfn.RANK.EQ(I36,$D36:$R36,1)</f>
        <v>6</v>
      </c>
      <c r="AB36" s="8">
        <f t="shared" ref="AB36" si="157">_xlfn.RANK.EQ(J36,$D36:$R36,1)</f>
        <v>5</v>
      </c>
      <c r="AC36" s="8">
        <f t="shared" ref="AC36" si="158">_xlfn.RANK.EQ(K36,$D36:$R36,1)</f>
        <v>7</v>
      </c>
      <c r="AD36" s="8">
        <f t="shared" ref="AD36" si="159">_xlfn.RANK.EQ(L36,$D36:$R36,1)</f>
        <v>4</v>
      </c>
      <c r="AE36" s="8" t="e">
        <f t="shared" ref="AE36" si="160">_xlfn.RANK.EQ(M36,$D36:$R36,1)</f>
        <v>#N/A</v>
      </c>
      <c r="AF36" s="8" t="e">
        <f t="shared" ref="AF36" si="161">_xlfn.RANK.EQ(N36,$D36:$R36,1)</f>
        <v>#N/A</v>
      </c>
      <c r="AG36" s="8" t="e">
        <f t="shared" ref="AG36" si="162">_xlfn.RANK.EQ(O36,$D36:$R36,1)</f>
        <v>#N/A</v>
      </c>
      <c r="AH36" s="8" t="e">
        <f t="shared" ref="AH36" si="163">_xlfn.RANK.EQ(P36,$D36:$R36,1)</f>
        <v>#N/A</v>
      </c>
      <c r="AI36" s="8" t="e">
        <f t="shared" ref="AI36" si="164">_xlfn.RANK.EQ(Q36,$D36:$R36,1)</f>
        <v>#N/A</v>
      </c>
      <c r="AJ36" s="8" t="e">
        <f t="shared" ref="AJ36" si="165">_xlfn.RANK.EQ(R36,$D36:$R36,1)</f>
        <v>#N/A</v>
      </c>
    </row>
    <row xmlns:x14ac="http://schemas.microsoft.com/office/spreadsheetml/2009/9/ac" r="37" x14ac:dyDescent="0.3">
      <c r="A37" s="25"/>
      <c r="B37" s="18" t="s">
        <v>2653</v>
      </c>
      <c r="C37" s="4" t="s">
        <v>2517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0.48649742440980825</v>
      </c>
      <c r="J37" s="5">
        <v>2.1510814548918527</v>
      </c>
      <c r="K37" s="5">
        <v>5398.1243184372343</v>
      </c>
      <c r="L37" s="10">
        <v>0.61678972885139149</v>
      </c>
      <c r="M37" s="10">
        <v>0.022842782071280324</v>
      </c>
      <c r="N37" s="10">
        <v>0</v>
      </c>
      <c r="O37" s="10"/>
      <c r="P37" s="10"/>
      <c r="Q37" s="10"/>
      <c r="R37" s="10"/>
      <c r="S37" s="4"/>
      <c r="T37" s="4" t="s">
        <v>24</v>
      </c>
    </row>
    <row xmlns:x14ac="http://schemas.microsoft.com/office/spreadsheetml/2009/9/ac" r="38" x14ac:dyDescent="0.3">
      <c r="A38" s="25"/>
      <c r="B38" s="19" t="s">
        <v>2653</v>
      </c>
      <c r="C38" s="6" t="s">
        <v>2518</v>
      </c>
      <c r="D38" s="7">
        <v>1.234375</v>
      </c>
      <c r="E38" s="7">
        <v>0.578125</v>
      </c>
      <c r="F38" s="7">
        <v>0.890625</v>
      </c>
      <c r="G38" s="7">
        <v>0.515625</v>
      </c>
      <c r="H38" s="7">
        <v>1.03125</v>
      </c>
      <c r="I38" s="7">
        <v>0.35729166666666667</v>
      </c>
      <c r="J38" s="7">
        <v>0.875</v>
      </c>
      <c r="K38" s="7">
        <v>0.31302083333333336</v>
      </c>
      <c r="L38" s="7">
        <v>0.33541666666666664</v>
      </c>
      <c r="M38" s="7">
        <v>0.35520833333333335</v>
      </c>
      <c r="N38" s="7">
        <v>0.390625</v>
      </c>
      <c r="O38" s="7"/>
      <c r="P38" s="7"/>
      <c r="Q38" s="7"/>
      <c r="R38" s="7"/>
      <c r="S38" s="6"/>
      <c r="T38" s="6" t="s">
        <v>25</v>
      </c>
    </row>
    <row xmlns:x14ac="http://schemas.microsoft.com/office/spreadsheetml/2009/9/ac" r="39" x14ac:dyDescent="0.3">
      <c r="A39" s="25"/>
      <c r="B39" s="17" t="s">
        <v>2654</v>
      </c>
      <c r="C39" s="2" t="s">
        <v>2516</v>
      </c>
      <c r="D39" s="3">
        <v>0.03216689559052302</v>
      </c>
      <c r="E39" s="3">
        <v>0.16327363725990204</v>
      </c>
      <c r="F39" s="3">
        <v>0.60027663583267543</v>
      </c>
      <c r="G39" s="3">
        <v>51.319682121351981</v>
      </c>
      <c r="H39" s="3">
        <v>5.6529409529621306</v>
      </c>
      <c r="I39" s="3">
        <v>7.1546549592700153</v>
      </c>
      <c r="J39" s="3">
        <v>0.0081380056874025344</v>
      </c>
      <c r="K39" s="3">
        <v>41604.557371371629</v>
      </c>
      <c r="L39" s="3">
        <v>6.6761072250919558</v>
      </c>
      <c r="M39" s="3">
        <v>0.60725677666448241</v>
      </c>
      <c r="N39" s="3">
        <v>1449026826.9290402</v>
      </c>
      <c r="O39" s="3"/>
      <c r="P39" s="3"/>
      <c r="Q39" s="3"/>
      <c r="R39" s="3"/>
      <c r="S39" s="2" t="s">
        <v>12</v>
      </c>
      <c r="T39" s="2" t="s">
        <v>23</v>
      </c>
      <c r="V39" s="8">
        <f t="shared" ref="V39" si="166">_xlfn.RANK.EQ(D39,$D39:$R39,1)</f>
        <v>2</v>
      </c>
      <c r="W39" s="8">
        <f t="shared" ref="W39" si="167">_xlfn.RANK.EQ(E39,$D39:$R39,1)</f>
        <v>3</v>
      </c>
      <c r="X39" s="8">
        <f t="shared" ref="X39" si="168">_xlfn.RANK.EQ(F39,$D39:$R39,1)</f>
        <v>1</v>
      </c>
      <c r="Y39" s="8">
        <f t="shared" ref="Y39" si="169">_xlfn.RANK.EQ(G39,$D39:$R39,1)</f>
        <v>8</v>
      </c>
      <c r="Z39" s="8">
        <f t="shared" ref="Z39" si="170">_xlfn.RANK.EQ(H39,$D39:$R39,1)</f>
        <v>9</v>
      </c>
      <c r="AA39" s="8">
        <f t="shared" ref="AA39" si="171">_xlfn.RANK.EQ(I39,$D39:$R39,1)</f>
        <v>6</v>
      </c>
      <c r="AB39" s="8">
        <f t="shared" ref="AB39" si="172">_xlfn.RANK.EQ(J39,$D39:$R39,1)</f>
        <v>5</v>
      </c>
      <c r="AC39" s="8">
        <f t="shared" ref="AC39" si="173">_xlfn.RANK.EQ(K39,$D39:$R39,1)</f>
        <v>7</v>
      </c>
      <c r="AD39" s="8">
        <f t="shared" ref="AD39" si="174">_xlfn.RANK.EQ(L39,$D39:$R39,1)</f>
        <v>4</v>
      </c>
      <c r="AE39" s="8" t="e">
        <f t="shared" ref="AE39" si="175">_xlfn.RANK.EQ(M39,$D39:$R39,1)</f>
        <v>#N/A</v>
      </c>
      <c r="AF39" s="8" t="e">
        <f t="shared" ref="AF39" si="176">_xlfn.RANK.EQ(N39,$D39:$R39,1)</f>
        <v>#N/A</v>
      </c>
      <c r="AG39" s="8" t="e">
        <f t="shared" ref="AG39" si="177">_xlfn.RANK.EQ(O39,$D39:$R39,1)</f>
        <v>#N/A</v>
      </c>
      <c r="AH39" s="8" t="e">
        <f t="shared" ref="AH39" si="178">_xlfn.RANK.EQ(P39,$D39:$R39,1)</f>
        <v>#N/A</v>
      </c>
      <c r="AI39" s="8" t="e">
        <f t="shared" ref="AI39" si="179">_xlfn.RANK.EQ(Q39,$D39:$R39,1)</f>
        <v>#N/A</v>
      </c>
      <c r="AJ39" s="8" t="e">
        <f t="shared" ref="AJ39" si="180">_xlfn.RANK.EQ(R39,$D39:$R39,1)</f>
        <v>#N/A</v>
      </c>
    </row>
    <row xmlns:x14ac="http://schemas.microsoft.com/office/spreadsheetml/2009/9/ac" r="40" x14ac:dyDescent="0.3">
      <c r="A40" s="25"/>
      <c r="B40" s="18" t="s">
        <v>2654</v>
      </c>
      <c r="C40" s="4" t="s">
        <v>2517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7.6020337219259089</v>
      </c>
      <c r="J40" s="5">
        <v>0.0051446141913288656</v>
      </c>
      <c r="K40" s="5">
        <v>89750.778777214524</v>
      </c>
      <c r="L40" s="10">
        <v>2.7513982867289317</v>
      </c>
      <c r="M40" s="10">
        <v>0.19306774111528721</v>
      </c>
      <c r="N40" s="10">
        <v>0</v>
      </c>
      <c r="O40" s="10"/>
      <c r="P40" s="10"/>
      <c r="Q40" s="10"/>
      <c r="R40" s="10"/>
      <c r="S40" s="4"/>
      <c r="T40" s="4" t="s">
        <v>24</v>
      </c>
    </row>
    <row xmlns:x14ac="http://schemas.microsoft.com/office/spreadsheetml/2009/9/ac" r="41" x14ac:dyDescent="0.3">
      <c r="A41" s="25"/>
      <c r="B41" s="19" t="s">
        <v>2654</v>
      </c>
      <c r="C41" s="6" t="s">
        <v>2518</v>
      </c>
      <c r="D41" s="7">
        <v>0.703125</v>
      </c>
      <c r="E41" s="7">
        <v>0.515625</v>
      </c>
      <c r="F41" s="7">
        <v>0.9375</v>
      </c>
      <c r="G41" s="7">
        <v>0.515625</v>
      </c>
      <c r="H41" s="7">
        <v>1.078125</v>
      </c>
      <c r="I41" s="7">
        <v>0.36406250000000001</v>
      </c>
      <c r="J41" s="7">
        <v>0.86197916666666663</v>
      </c>
      <c r="K41" s="7">
        <v>0.29947916666666669</v>
      </c>
      <c r="L41" s="7">
        <v>0.33750000000000002</v>
      </c>
      <c r="M41" s="7">
        <v>0.35572916666666665</v>
      </c>
      <c r="N41" s="7">
        <v>0.46875</v>
      </c>
      <c r="O41" s="7"/>
      <c r="P41" s="7"/>
      <c r="Q41" s="7"/>
      <c r="R41" s="7"/>
      <c r="S41" s="6"/>
      <c r="T41" s="6" t="s">
        <v>25</v>
      </c>
    </row>
    <row xmlns:x14ac="http://schemas.microsoft.com/office/spreadsheetml/2009/9/ac" r="42" x14ac:dyDescent="0.3">
      <c r="A42" s="25"/>
      <c r="B42" s="17" t="s">
        <v>2655</v>
      </c>
      <c r="C42" s="2" t="s">
        <v>2516</v>
      </c>
      <c r="D42" s="3">
        <v>12.670505811136477</v>
      </c>
      <c r="E42" s="3">
        <v>12.670505811135666</v>
      </c>
      <c r="F42" s="3">
        <v>10.763180666900022</v>
      </c>
      <c r="G42" s="3">
        <v>0.99800383779444957</v>
      </c>
      <c r="H42" s="3">
        <v>1.002582595755243</v>
      </c>
      <c r="I42" s="3">
        <v>1.8767734713697202</v>
      </c>
      <c r="J42" s="3">
        <v>9.7600025449384464</v>
      </c>
      <c r="K42" s="3">
        <v>1.1304090192569416</v>
      </c>
      <c r="L42" s="3">
        <v>1.3493176402899862</v>
      </c>
      <c r="M42" s="3">
        <v>5.3672817987611792</v>
      </c>
      <c r="N42" s="3">
        <v>499.98487302946859</v>
      </c>
      <c r="O42" s="3"/>
      <c r="P42" s="3"/>
      <c r="Q42" s="3"/>
      <c r="R42" s="3"/>
      <c r="S42" s="2" t="s">
        <v>13</v>
      </c>
      <c r="T42" s="2" t="s">
        <v>23</v>
      </c>
      <c r="V42" s="8">
        <f t="shared" ref="V42" si="181">_xlfn.RANK.EQ(D42,$D42:$R42,1)</f>
        <v>7</v>
      </c>
      <c r="W42" s="8">
        <f t="shared" ref="W42" si="182">_xlfn.RANK.EQ(E42,$D42:$R42,1)</f>
        <v>4</v>
      </c>
      <c r="X42" s="8">
        <f t="shared" ref="X42" si="183">_xlfn.RANK.EQ(F42,$D42:$R42,1)</f>
        <v>9</v>
      </c>
      <c r="Y42" s="8">
        <f t="shared" ref="Y42" si="184">_xlfn.RANK.EQ(G42,$D42:$R42,1)</f>
        <v>2</v>
      </c>
      <c r="Z42" s="8">
        <f t="shared" ref="Z42" si="185">_xlfn.RANK.EQ(H42,$D42:$R42,1)</f>
        <v>6</v>
      </c>
      <c r="AA42" s="8">
        <f t="shared" ref="AA42" si="186">_xlfn.RANK.EQ(I42,$D42:$R42,1)</f>
        <v>3</v>
      </c>
      <c r="AB42" s="8">
        <f t="shared" ref="AB42" si="187">_xlfn.RANK.EQ(J42,$D42:$R42,1)</f>
        <v>8</v>
      </c>
      <c r="AC42" s="8">
        <f t="shared" ref="AC42" si="188">_xlfn.RANK.EQ(K42,$D42:$R42,1)</f>
        <v>1</v>
      </c>
      <c r="AD42" s="8">
        <f t="shared" ref="AD42" si="189">_xlfn.RANK.EQ(L42,$D42:$R42,1)</f>
        <v>5</v>
      </c>
      <c r="AE42" s="8" t="e">
        <f t="shared" ref="AE42" si="190">_xlfn.RANK.EQ(M42,$D42:$R42,1)</f>
        <v>#N/A</v>
      </c>
      <c r="AF42" s="8" t="e">
        <f t="shared" ref="AF42" si="191">_xlfn.RANK.EQ(N42,$D42:$R42,1)</f>
        <v>#N/A</v>
      </c>
      <c r="AG42" s="8" t="e">
        <f t="shared" ref="AG42" si="192">_xlfn.RANK.EQ(O42,$D42:$R42,1)</f>
        <v>#N/A</v>
      </c>
      <c r="AH42" s="8" t="e">
        <f t="shared" ref="AH42" si="193">_xlfn.RANK.EQ(P42,$D42:$R42,1)</f>
        <v>#N/A</v>
      </c>
      <c r="AI42" s="8" t="e">
        <f t="shared" ref="AI42" si="194">_xlfn.RANK.EQ(Q42,$D42:$R42,1)</f>
        <v>#N/A</v>
      </c>
      <c r="AJ42" s="8" t="e">
        <f t="shared" ref="AJ42" si="195">_xlfn.RANK.EQ(R42,$D42:$R42,1)</f>
        <v>#N/A</v>
      </c>
    </row>
    <row xmlns:x14ac="http://schemas.microsoft.com/office/spreadsheetml/2009/9/ac" r="43" x14ac:dyDescent="0.3">
      <c r="A43" s="25"/>
      <c r="B43" s="18" t="s">
        <v>2655</v>
      </c>
      <c r="C43" s="4" t="s">
        <v>2517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1.5390692863961091</v>
      </c>
      <c r="J43" s="5">
        <v>4.7189483312747615</v>
      </c>
      <c r="K43" s="5">
        <v>0.43099338675916254</v>
      </c>
      <c r="L43" s="10">
        <v>0.56665511433218108</v>
      </c>
      <c r="M43" s="10">
        <v>4.5244152204942534</v>
      </c>
      <c r="N43" s="10">
        <v>0</v>
      </c>
      <c r="O43" s="10"/>
      <c r="P43" s="10"/>
      <c r="Q43" s="10"/>
      <c r="R43" s="10"/>
      <c r="S43" s="4"/>
      <c r="T43" s="4" t="s">
        <v>24</v>
      </c>
    </row>
    <row xmlns:x14ac="http://schemas.microsoft.com/office/spreadsheetml/2009/9/ac" r="44" x14ac:dyDescent="0.3">
      <c r="A44" s="25"/>
      <c r="B44" s="19" t="s">
        <v>2655</v>
      </c>
      <c r="C44" s="6" t="s">
        <v>2518</v>
      </c>
      <c r="D44" s="7">
        <v>1.0625</v>
      </c>
      <c r="E44" s="7">
        <v>0.796875</v>
      </c>
      <c r="F44" s="7">
        <v>1.046875</v>
      </c>
      <c r="G44" s="7">
        <v>0.859375</v>
      </c>
      <c r="H44" s="7">
        <v>1.359375</v>
      </c>
      <c r="I44" s="7">
        <v>0.83697916666666672</v>
      </c>
      <c r="J44" s="7">
        <v>0.59270833333333328</v>
      </c>
      <c r="K44" s="7">
        <v>0.43802083333333336</v>
      </c>
      <c r="L44" s="7">
        <v>0.48385416666666664</v>
      </c>
      <c r="M44" s="7">
        <v>0.453125</v>
      </c>
      <c r="N44" s="7">
        <v>0.53125</v>
      </c>
      <c r="O44" s="7"/>
      <c r="P44" s="7"/>
      <c r="Q44" s="7"/>
      <c r="R44" s="7"/>
      <c r="S44" s="6"/>
      <c r="T44" s="6" t="s">
        <v>25</v>
      </c>
    </row>
    <row xmlns:x14ac="http://schemas.microsoft.com/office/spreadsheetml/2009/9/ac" r="45" x14ac:dyDescent="0.3">
      <c r="A45" s="25"/>
      <c r="B45" s="17" t="s">
        <v>2656</v>
      </c>
      <c r="C45" s="2" t="s">
        <v>2516</v>
      </c>
      <c r="D45" s="3">
        <v>0.00034894733846082307</v>
      </c>
      <c r="E45" s="3">
        <v>0.00049536556500426191</v>
      </c>
      <c r="F45" s="3">
        <v>0.00036753955343110022</v>
      </c>
      <c r="G45" s="3">
        <v>0.020823317859429185</v>
      </c>
      <c r="H45" s="3">
        <v>0.0091692920420934718</v>
      </c>
      <c r="I45" s="3">
        <v>0.01348468470143299</v>
      </c>
      <c r="J45" s="3">
        <v>0.0026722243782291558</v>
      </c>
      <c r="K45" s="3">
        <v>0.0020067157041038434</v>
      </c>
      <c r="L45" s="3">
        <v>0.016219406369919184</v>
      </c>
      <c r="M45" s="3">
        <v>0.0023730710242274708</v>
      </c>
      <c r="N45" s="3">
        <v>13.22701921988711</v>
      </c>
      <c r="O45" s="3"/>
      <c r="P45" s="3"/>
      <c r="Q45" s="3"/>
      <c r="R45" s="3"/>
      <c r="S45" s="2" t="s">
        <v>14</v>
      </c>
      <c r="T45" s="2" t="s">
        <v>23</v>
      </c>
      <c r="V45" s="8">
        <f t="shared" ref="V45" si="196">_xlfn.RANK.EQ(D45,$D45:$R45,1)</f>
        <v>3</v>
      </c>
      <c r="W45" s="8">
        <f t="shared" ref="W45" si="197">_xlfn.RANK.EQ(E45,$D45:$R45,1)</f>
        <v>5</v>
      </c>
      <c r="X45" s="8">
        <f t="shared" ref="X45" si="198">_xlfn.RANK.EQ(F45,$D45:$R45,1)</f>
        <v>6</v>
      </c>
      <c r="Y45" s="8">
        <f t="shared" ref="Y45" si="199">_xlfn.RANK.EQ(G45,$D45:$R45,1)</f>
        <v>1</v>
      </c>
      <c r="Z45" s="8">
        <f t="shared" ref="Z45" si="200">_xlfn.RANK.EQ(H45,$D45:$R45,1)</f>
        <v>4</v>
      </c>
      <c r="AA45" s="8">
        <f t="shared" ref="AA45" si="201">_xlfn.RANK.EQ(I45,$D45:$R45,1)</f>
        <v>2</v>
      </c>
      <c r="AB45" s="8">
        <f t="shared" ref="AB45" si="202">_xlfn.RANK.EQ(J45,$D45:$R45,1)</f>
        <v>8</v>
      </c>
      <c r="AC45" s="8">
        <f t="shared" ref="AC45" si="203">_xlfn.RANK.EQ(K45,$D45:$R45,1)</f>
        <v>7</v>
      </c>
      <c r="AD45" s="8">
        <f t="shared" ref="AD45" si="204">_xlfn.RANK.EQ(L45,$D45:$R45,1)</f>
        <v>9</v>
      </c>
      <c r="AE45" s="8" t="e">
        <f t="shared" ref="AE45" si="205">_xlfn.RANK.EQ(M45,$D45:$R45,1)</f>
        <v>#N/A</v>
      </c>
      <c r="AF45" s="8" t="e">
        <f t="shared" ref="AF45" si="206">_xlfn.RANK.EQ(N45,$D45:$R45,1)</f>
        <v>#N/A</v>
      </c>
      <c r="AG45" s="8" t="e">
        <f t="shared" ref="AG45" si="207">_xlfn.RANK.EQ(O45,$D45:$R45,1)</f>
        <v>#N/A</v>
      </c>
      <c r="AH45" s="8" t="e">
        <f t="shared" ref="AH45" si="208">_xlfn.RANK.EQ(P45,$D45:$R45,1)</f>
        <v>#N/A</v>
      </c>
      <c r="AI45" s="8" t="e">
        <f t="shared" ref="AI45" si="209">_xlfn.RANK.EQ(Q45,$D45:$R45,1)</f>
        <v>#N/A</v>
      </c>
      <c r="AJ45" s="8" t="e">
        <f t="shared" ref="AJ45" si="210">_xlfn.RANK.EQ(R45,$D45:$R45,1)</f>
        <v>#N/A</v>
      </c>
    </row>
    <row xmlns:x14ac="http://schemas.microsoft.com/office/spreadsheetml/2009/9/ac" r="46" x14ac:dyDescent="0.3">
      <c r="A46" s="25"/>
      <c r="B46" s="18" t="s">
        <v>2656</v>
      </c>
      <c r="C46" s="4" t="s">
        <v>2517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0.017832465360579391</v>
      </c>
      <c r="J46" s="5">
        <v>0.0048876586177832712</v>
      </c>
      <c r="K46" s="5">
        <v>0.0050054502811407815</v>
      </c>
      <c r="L46" s="10">
        <v>0.016230496132425901</v>
      </c>
      <c r="M46" s="10">
        <v>0.006101118274125219</v>
      </c>
      <c r="N46" s="10">
        <v>0</v>
      </c>
      <c r="O46" s="10"/>
      <c r="P46" s="10"/>
      <c r="Q46" s="10"/>
      <c r="R46" s="10"/>
      <c r="S46" s="4"/>
      <c r="T46" s="4" t="s">
        <v>24</v>
      </c>
    </row>
    <row xmlns:x14ac="http://schemas.microsoft.com/office/spreadsheetml/2009/9/ac" r="47" x14ac:dyDescent="0.3">
      <c r="A47" s="25"/>
      <c r="B47" s="19" t="s">
        <v>2656</v>
      </c>
      <c r="C47" s="6" t="s">
        <v>2518</v>
      </c>
      <c r="D47" s="7">
        <v>0.40625</v>
      </c>
      <c r="E47" s="7">
        <v>0.328125</v>
      </c>
      <c r="F47" s="7">
        <v>0.21875</v>
      </c>
      <c r="G47" s="7">
        <v>0.46875</v>
      </c>
      <c r="H47" s="7">
        <v>0.390625</v>
      </c>
      <c r="I47" s="7">
        <v>0.14739583333333334</v>
      </c>
      <c r="J47" s="7">
        <v>0.23072916666666668</v>
      </c>
      <c r="K47" s="7">
        <v>0.064062499999999994</v>
      </c>
      <c r="L47" s="7">
        <v>0.11927083333333334</v>
      </c>
      <c r="M47" s="7">
        <v>0.054166666666666669</v>
      </c>
      <c r="N47" s="7">
        <v>0.203125</v>
      </c>
      <c r="O47" s="7"/>
      <c r="P47" s="7"/>
      <c r="Q47" s="7"/>
      <c r="R47" s="7"/>
      <c r="S47" s="6"/>
      <c r="T47" s="6" t="s">
        <v>25</v>
      </c>
    </row>
    <row xmlns:x14ac="http://schemas.microsoft.com/office/spreadsheetml/2009/9/ac" r="48" x14ac:dyDescent="0.3">
      <c r="A48" s="25"/>
      <c r="B48" s="17" t="s">
        <v>2657</v>
      </c>
      <c r="C48" s="2" t="s">
        <v>2516</v>
      </c>
      <c r="D48" s="3">
        <v>-0.95403138805650056</v>
      </c>
      <c r="E48" s="3">
        <v>-1.0316230417876535</v>
      </c>
      <c r="F48" s="3">
        <v>-1.0316284428077283</v>
      </c>
      <c r="G48" s="3">
        <v>-1.0316284534898776</v>
      </c>
      <c r="H48" s="3">
        <v>-1.0093576391181489</v>
      </c>
      <c r="I48" s="3">
        <v>-1.008208141461213</v>
      </c>
      <c r="J48" s="3">
        <v>-1.0316278271613732</v>
      </c>
      <c r="K48" s="3">
        <v>-1.0316284534898772</v>
      </c>
      <c r="L48" s="3">
        <v>-1.0159487256933919</v>
      </c>
      <c r="M48" s="3">
        <v>-1.0316284410604202</v>
      </c>
      <c r="N48" s="3">
        <v>2292.2493411768892</v>
      </c>
      <c r="O48" s="3"/>
      <c r="P48" s="3"/>
      <c r="Q48" s="3"/>
      <c r="R48" s="3"/>
      <c r="S48" s="2" t="s">
        <v>15</v>
      </c>
      <c r="T48" s="2" t="s">
        <v>23</v>
      </c>
      <c r="V48" s="8">
        <f t="shared" ref="V48" si="211">_xlfn.RANK.EQ(D48,$D48:$R48,1)</f>
        <v>6</v>
      </c>
      <c r="W48" s="8">
        <f t="shared" ref="W48" si="212">_xlfn.RANK.EQ(E48,$D48:$R48,1)</f>
        <v>1</v>
      </c>
      <c r="X48" s="8">
        <f t="shared" ref="X48" si="213">_xlfn.RANK.EQ(F48,$D48:$R48,1)</f>
        <v>9</v>
      </c>
      <c r="Y48" s="8">
        <f t="shared" ref="Y48" si="214">_xlfn.RANK.EQ(G48,$D48:$R48,1)</f>
        <v>4</v>
      </c>
      <c r="Z48" s="8">
        <f t="shared" ref="Z48" si="215">_xlfn.RANK.EQ(H48,$D48:$R48,1)</f>
        <v>7</v>
      </c>
      <c r="AA48" s="8">
        <f t="shared" ref="AA48" si="216">_xlfn.RANK.EQ(I48,$D48:$R48,1)</f>
        <v>5</v>
      </c>
      <c r="AB48" s="8">
        <f t="shared" ref="AB48" si="217">_xlfn.RANK.EQ(J48,$D48:$R48,1)</f>
        <v>1</v>
      </c>
      <c r="AC48" s="8">
        <f t="shared" ref="AC48" si="218">_xlfn.RANK.EQ(K48,$D48:$R48,1)</f>
        <v>1</v>
      </c>
      <c r="AD48" s="8">
        <f t="shared" ref="AD48" si="219">_xlfn.RANK.EQ(L48,$D48:$R48,1)</f>
        <v>8</v>
      </c>
      <c r="AE48" s="8" t="e">
        <f t="shared" ref="AE48" si="220">_xlfn.RANK.EQ(M48,$D48:$R48,1)</f>
        <v>#N/A</v>
      </c>
      <c r="AF48" s="8" t="e">
        <f t="shared" ref="AF48" si="221">_xlfn.RANK.EQ(N48,$D48:$R48,1)</f>
        <v>#N/A</v>
      </c>
      <c r="AG48" s="8" t="e">
        <f t="shared" ref="AG48" si="222">_xlfn.RANK.EQ(O48,$D48:$R48,1)</f>
        <v>#N/A</v>
      </c>
      <c r="AH48" s="8" t="e">
        <f t="shared" ref="AH48" si="223">_xlfn.RANK.EQ(P48,$D48:$R48,1)</f>
        <v>#N/A</v>
      </c>
      <c r="AI48" s="8" t="e">
        <f t="shared" ref="AI48" si="224">_xlfn.RANK.EQ(Q48,$D48:$R48,1)</f>
        <v>#N/A</v>
      </c>
      <c r="AJ48" s="8" t="e">
        <f t="shared" ref="AJ48" si="225">_xlfn.RANK.EQ(R48,$D48:$R48,1)</f>
        <v>#N/A</v>
      </c>
    </row>
    <row xmlns:x14ac="http://schemas.microsoft.com/office/spreadsheetml/2009/9/ac" r="49" x14ac:dyDescent="0.3">
      <c r="A49" s="25"/>
      <c r="B49" s="18" t="s">
        <v>2657</v>
      </c>
      <c r="C49" s="4" t="s">
        <v>2517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0.02737550225896344</v>
      </c>
      <c r="J49" s="5">
        <v>1.4113080321587135e-06</v>
      </c>
      <c r="K49" s="5">
        <v>6.7752154249004421e-16</v>
      </c>
      <c r="L49" s="10">
        <v>0.018784296486727203</v>
      </c>
      <c r="M49" s="10">
        <v>1.5422890803981085e-08</v>
      </c>
      <c r="N49" s="10">
        <v>0</v>
      </c>
      <c r="O49" s="10"/>
      <c r="P49" s="10"/>
      <c r="Q49" s="10"/>
      <c r="R49" s="10"/>
      <c r="S49" s="4"/>
      <c r="T49" s="4" t="s">
        <v>24</v>
      </c>
    </row>
    <row xmlns:x14ac="http://schemas.microsoft.com/office/spreadsheetml/2009/9/ac" r="50" x14ac:dyDescent="0.3">
      <c r="A50" s="22"/>
      <c r="B50" s="19" t="s">
        <v>2657</v>
      </c>
      <c r="C50" s="6" t="s">
        <v>2518</v>
      </c>
      <c r="D50" s="7">
        <v>0.59375</v>
      </c>
      <c r="E50" s="7">
        <v>0.546875</v>
      </c>
      <c r="F50" s="7">
        <v>0.203125</v>
      </c>
      <c r="G50" s="7">
        <v>0.546875</v>
      </c>
      <c r="H50" s="7">
        <v>0.34375</v>
      </c>
      <c r="I50" s="7">
        <v>0.11979166666666667</v>
      </c>
      <c r="J50" s="7">
        <v>0.20572916666666666</v>
      </c>
      <c r="K50" s="7">
        <v>0.08020833333333334</v>
      </c>
      <c r="L50" s="7">
        <v>0.12395833333333334</v>
      </c>
      <c r="M50" s="7">
        <v>0.050520833333333334</v>
      </c>
      <c r="N50" s="7">
        <v>0.171875</v>
      </c>
      <c r="O50" s="7"/>
      <c r="P50" s="7"/>
      <c r="Q50" s="7"/>
      <c r="R50" s="7"/>
      <c r="S50" s="6"/>
      <c r="T50" s="6" t="s">
        <v>25</v>
      </c>
    </row>
    <row xmlns:x14ac="http://schemas.microsoft.com/office/spreadsheetml/2009/9/ac" r="51" ht="14.4" customHeight="true" x14ac:dyDescent="0.3">
      <c r="A51" s="24" t="s">
        <v>31</v>
      </c>
      <c r="B51" s="17" t="s">
        <v>2658</v>
      </c>
      <c r="C51" s="2" t="s">
        <v>2516</v>
      </c>
      <c r="D51" s="3">
        <v>1.3393494921937048</v>
      </c>
      <c r="E51" s="3">
        <v>2.0762124523197905</v>
      </c>
      <c r="F51" s="3">
        <v>0.3978873990928804</v>
      </c>
      <c r="G51" s="3">
        <v>0.39788735772973816</v>
      </c>
      <c r="H51" s="3">
        <v>0.42084060961759562</v>
      </c>
      <c r="I51" s="3">
        <v>0.41283163731743167</v>
      </c>
      <c r="J51" s="3">
        <v>0.39788792223764646</v>
      </c>
      <c r="K51" s="3">
        <v>0.39788735772973816</v>
      </c>
      <c r="L51" s="3">
        <v>0.4169465381396768</v>
      </c>
      <c r="M51" s="3">
        <v>0.39788784551196493</v>
      </c>
      <c r="N51" s="3">
        <v>2.4881359746429554</v>
      </c>
      <c r="O51" s="3"/>
      <c r="P51" s="3"/>
      <c r="Q51" s="3"/>
      <c r="R51" s="3"/>
      <c r="S51" s="2" t="s">
        <v>16</v>
      </c>
      <c r="T51" s="2" t="s">
        <v>23</v>
      </c>
      <c r="V51" s="8">
        <f t="shared" ref="V51" si="226">_xlfn.RANK.EQ(D51,$D51:$R51,1)</f>
        <v>6</v>
      </c>
      <c r="W51" s="8">
        <f t="shared" ref="W51" si="227">_xlfn.RANK.EQ(E51,$D51:$R51,1)</f>
        <v>1</v>
      </c>
      <c r="X51" s="8">
        <f t="shared" ref="X51" si="228">_xlfn.RANK.EQ(F51,$D51:$R51,1)</f>
        <v>8</v>
      </c>
      <c r="Y51" s="8">
        <f t="shared" ref="Y51" si="229">_xlfn.RANK.EQ(G51,$D51:$R51,1)</f>
        <v>1</v>
      </c>
      <c r="Z51" s="8">
        <f t="shared" ref="Z51" si="230">_xlfn.RANK.EQ(H51,$D51:$R51,1)</f>
        <v>7</v>
      </c>
      <c r="AA51" s="8">
        <f t="shared" ref="AA51" si="231">_xlfn.RANK.EQ(I51,$D51:$R51,1)</f>
        <v>5</v>
      </c>
      <c r="AB51" s="8">
        <f t="shared" ref="AB51" si="232">_xlfn.RANK.EQ(J51,$D51:$R51,1)</f>
        <v>1</v>
      </c>
      <c r="AC51" s="8">
        <f t="shared" ref="AC51" si="233">_xlfn.RANK.EQ(K51,$D51:$R51,1)</f>
        <v>1</v>
      </c>
      <c r="AD51" s="8">
        <f t="shared" ref="AD51" si="234">_xlfn.RANK.EQ(L51,$D51:$R51,1)</f>
        <v>9</v>
      </c>
      <c r="AE51" s="8" t="e">
        <f t="shared" ref="AE51" si="235">_xlfn.RANK.EQ(M51,$D51:$R51,1)</f>
        <v>#N/A</v>
      </c>
      <c r="AF51" s="8" t="e">
        <f t="shared" ref="AF51" si="236">_xlfn.RANK.EQ(N51,$D51:$R51,1)</f>
        <v>#N/A</v>
      </c>
      <c r="AG51" s="8" t="e">
        <f t="shared" ref="AG51" si="237">_xlfn.RANK.EQ(O51,$D51:$R51,1)</f>
        <v>#N/A</v>
      </c>
      <c r="AH51" s="8" t="e">
        <f t="shared" ref="AH51" si="238">_xlfn.RANK.EQ(P51,$D51:$R51,1)</f>
        <v>#N/A</v>
      </c>
      <c r="AI51" s="8" t="e">
        <f t="shared" ref="AI51" si="239">_xlfn.RANK.EQ(Q51,$D51:$R51,1)</f>
        <v>#N/A</v>
      </c>
      <c r="AJ51" s="8" t="e">
        <f t="shared" ref="AJ51" si="240">_xlfn.RANK.EQ(R51,$D51:$R51,1)</f>
        <v>#N/A</v>
      </c>
    </row>
    <row xmlns:x14ac="http://schemas.microsoft.com/office/spreadsheetml/2009/9/ac" r="52" x14ac:dyDescent="0.3">
      <c r="A52" s="25"/>
      <c r="B52" s="18" t="s">
        <v>2658</v>
      </c>
      <c r="C52" s="4" t="s">
        <v>2517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0.022366002190518996</v>
      </c>
      <c r="J52" s="5">
        <v>1.039946833271106e-06</v>
      </c>
      <c r="K52" s="5">
        <v>0</v>
      </c>
      <c r="L52" s="10">
        <v>0.049309888358874815</v>
      </c>
      <c r="M52" s="10">
        <v>6.7516369672546787e-07</v>
      </c>
      <c r="N52" s="10">
        <v>0</v>
      </c>
      <c r="O52" s="10"/>
      <c r="P52" s="10"/>
      <c r="Q52" s="10"/>
      <c r="R52" s="10"/>
      <c r="S52" s="4"/>
      <c r="T52" s="4" t="s">
        <v>24</v>
      </c>
    </row>
    <row xmlns:x14ac="http://schemas.microsoft.com/office/spreadsheetml/2009/9/ac" r="53" x14ac:dyDescent="0.3">
      <c r="A53" s="25"/>
      <c r="B53" s="19" t="s">
        <v>2658</v>
      </c>
      <c r="C53" s="6" t="s">
        <v>2518</v>
      </c>
      <c r="D53" s="7">
        <v>0.734375</v>
      </c>
      <c r="E53" s="7">
        <v>0.5</v>
      </c>
      <c r="F53" s="7">
        <v>0.109375</v>
      </c>
      <c r="G53" s="7">
        <v>0.484375</v>
      </c>
      <c r="H53" s="7">
        <v>0.390625</v>
      </c>
      <c r="I53" s="7">
        <v>0.10000000000000001</v>
      </c>
      <c r="J53" s="7">
        <v>0.20156250000000001</v>
      </c>
      <c r="K53" s="7">
        <v>0.074479166666666666</v>
      </c>
      <c r="L53" s="7">
        <v>0.11927083333333334</v>
      </c>
      <c r="M53" s="7">
        <v>0.021874999999999999</v>
      </c>
      <c r="N53" s="7">
        <v>0.125</v>
      </c>
      <c r="O53" s="7"/>
      <c r="P53" s="7"/>
      <c r="Q53" s="7"/>
      <c r="R53" s="7"/>
      <c r="S53" s="6"/>
      <c r="T53" s="6" t="s">
        <v>25</v>
      </c>
    </row>
    <row xmlns:x14ac="http://schemas.microsoft.com/office/spreadsheetml/2009/9/ac" r="54" x14ac:dyDescent="0.3">
      <c r="A54" s="25"/>
      <c r="B54" s="17" t="s">
        <v>2659</v>
      </c>
      <c r="C54" s="2" t="s">
        <v>2516</v>
      </c>
      <c r="D54" s="3">
        <v>30.046895546395746</v>
      </c>
      <c r="E54" s="3">
        <v>24.094073321972715</v>
      </c>
      <c r="F54" s="3">
        <v>3.0000246741996595</v>
      </c>
      <c r="G54" s="3">
        <v>3</v>
      </c>
      <c r="H54" s="3">
        <v>3.7079627331530634</v>
      </c>
      <c r="I54" s="3">
        <v>14.605130698826072</v>
      </c>
      <c r="J54" s="3">
        <v>3.0000234987762378</v>
      </c>
      <c r="K54" s="3">
        <v>3</v>
      </c>
      <c r="L54" s="3">
        <v>13.506987540489707</v>
      </c>
      <c r="M54" s="3">
        <v>3.0000231081909017</v>
      </c>
      <c r="N54" s="3">
        <v>132405.57922367306</v>
      </c>
      <c r="O54" s="3"/>
      <c r="P54" s="3"/>
      <c r="Q54" s="3"/>
      <c r="R54" s="3"/>
      <c r="S54" s="2" t="s">
        <v>17</v>
      </c>
      <c r="T54" s="2" t="s">
        <v>23</v>
      </c>
      <c r="V54" s="8">
        <f t="shared" ref="V54" si="241">_xlfn.RANK.EQ(D54,$D54:$R54,1)</f>
        <v>7</v>
      </c>
      <c r="W54" s="8">
        <f t="shared" ref="W54" si="242">_xlfn.RANK.EQ(E54,$D54:$R54,1)</f>
        <v>1</v>
      </c>
      <c r="X54" s="8">
        <f t="shared" ref="X54" si="243">_xlfn.RANK.EQ(F54,$D54:$R54,1)</f>
        <v>8</v>
      </c>
      <c r="Y54" s="8">
        <f t="shared" ref="Y54" si="244">_xlfn.RANK.EQ(G54,$D54:$R54,1)</f>
        <v>1</v>
      </c>
      <c r="Z54" s="8">
        <f t="shared" ref="Z54" si="245">_xlfn.RANK.EQ(H54,$D54:$R54,1)</f>
        <v>6</v>
      </c>
      <c r="AA54" s="8">
        <f t="shared" ref="AA54" si="246">_xlfn.RANK.EQ(I54,$D54:$R54,1)</f>
        <v>5</v>
      </c>
      <c r="AB54" s="8">
        <f t="shared" ref="AB54" si="247">_xlfn.RANK.EQ(J54,$D54:$R54,1)</f>
        <v>1</v>
      </c>
      <c r="AC54" s="8">
        <f t="shared" ref="AC54" si="248">_xlfn.RANK.EQ(K54,$D54:$R54,1)</f>
        <v>1</v>
      </c>
      <c r="AD54" s="8">
        <f t="shared" ref="AD54" si="249">_xlfn.RANK.EQ(L54,$D54:$R54,1)</f>
        <v>9</v>
      </c>
      <c r="AE54" s="8" t="e">
        <f t="shared" ref="AE54" si="250">_xlfn.RANK.EQ(M54,$D54:$R54,1)</f>
        <v>#N/A</v>
      </c>
      <c r="AF54" s="8" t="e">
        <f t="shared" ref="AF54" si="251">_xlfn.RANK.EQ(N54,$D54:$R54,1)</f>
        <v>#N/A</v>
      </c>
      <c r="AG54" s="8" t="e">
        <f t="shared" ref="AG54" si="252">_xlfn.RANK.EQ(O54,$D54:$R54,1)</f>
        <v>#N/A</v>
      </c>
      <c r="AH54" s="8" t="e">
        <f t="shared" ref="AH54" si="253">_xlfn.RANK.EQ(P54,$D54:$R54,1)</f>
        <v>#N/A</v>
      </c>
      <c r="AI54" s="8" t="e">
        <f t="shared" ref="AI54" si="254">_xlfn.RANK.EQ(Q54,$D54:$R54,1)</f>
        <v>#N/A</v>
      </c>
      <c r="AJ54" s="8" t="e">
        <f t="shared" ref="AJ54" si="255">_xlfn.RANK.EQ(R54,$D54:$R54,1)</f>
        <v>#N/A</v>
      </c>
    </row>
    <row xmlns:x14ac="http://schemas.microsoft.com/office/spreadsheetml/2009/9/ac" r="55" x14ac:dyDescent="0.3">
      <c r="A55" s="25"/>
      <c r="B55" s="18" t="s">
        <v>2659</v>
      </c>
      <c r="C55" s="4" t="s">
        <v>2517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20.155634523747811</v>
      </c>
      <c r="J55" s="5">
        <v>4.1876465842229893e-05</v>
      </c>
      <c r="K55" s="5">
        <v>1.5603166236739012e-15</v>
      </c>
      <c r="L55" s="10">
        <v>22.259489977345961</v>
      </c>
      <c r="M55" s="10">
        <v>2.7683570804479037e-05</v>
      </c>
      <c r="N55" s="10">
        <v>0</v>
      </c>
      <c r="O55" s="10"/>
      <c r="P55" s="10"/>
      <c r="Q55" s="10"/>
      <c r="R55" s="10"/>
      <c r="S55" s="4"/>
      <c r="T55" s="4" t="s">
        <v>24</v>
      </c>
    </row>
    <row xmlns:x14ac="http://schemas.microsoft.com/office/spreadsheetml/2009/9/ac" r="56" x14ac:dyDescent="0.3">
      <c r="A56" s="25"/>
      <c r="B56" s="19" t="s">
        <v>2659</v>
      </c>
      <c r="C56" s="6" t="s">
        <v>2518</v>
      </c>
      <c r="D56" s="7">
        <v>0.6875</v>
      </c>
      <c r="E56" s="7">
        <v>0.546875</v>
      </c>
      <c r="F56" s="7">
        <v>0.171875</v>
      </c>
      <c r="G56" s="7">
        <v>0.609375</v>
      </c>
      <c r="H56" s="7">
        <v>0.421875</v>
      </c>
      <c r="I56" s="7">
        <v>0.1046875</v>
      </c>
      <c r="J56" s="7">
        <v>0.21718750000000001</v>
      </c>
      <c r="K56" s="7">
        <v>0.06822916666666666</v>
      </c>
      <c r="L56" s="7">
        <v>0.11197916666666667</v>
      </c>
      <c r="M56" s="7">
        <v>0.0390625</v>
      </c>
      <c r="N56" s="7">
        <v>0.15625</v>
      </c>
      <c r="O56" s="7"/>
      <c r="P56" s="7"/>
      <c r="Q56" s="7"/>
      <c r="R56" s="7"/>
      <c r="S56" s="6"/>
      <c r="T56" s="6" t="s">
        <v>25</v>
      </c>
    </row>
    <row xmlns:x14ac="http://schemas.microsoft.com/office/spreadsheetml/2009/9/ac" r="57" x14ac:dyDescent="0.3">
      <c r="A57" s="25"/>
      <c r="B57" s="17" t="s">
        <v>2660</v>
      </c>
      <c r="C57" s="2" t="s">
        <v>2516</v>
      </c>
      <c r="D57" s="3">
        <v>-1.0000669411394865</v>
      </c>
      <c r="E57" s="3">
        <v>-1.3897531496305433</v>
      </c>
      <c r="F57" s="3">
        <v>-3.8627557288588728</v>
      </c>
      <c r="G57" s="3">
        <v>-3.8627821478207558</v>
      </c>
      <c r="H57" s="3">
        <v>-3.8498874702421735</v>
      </c>
      <c r="I57" s="3">
        <v>-3.8613063582512113</v>
      </c>
      <c r="J57" s="3">
        <v>-3.8370147840148978</v>
      </c>
      <c r="K57" s="3">
        <v>-3.8627821478207531</v>
      </c>
      <c r="L57" s="3">
        <v>-3.834440303619258</v>
      </c>
      <c r="M57" s="3">
        <v>-3.8617094139219392</v>
      </c>
      <c r="N57" s="3">
        <v>-0.54883803819929222</v>
      </c>
      <c r="O57" s="3"/>
      <c r="P57" s="3"/>
      <c r="Q57" s="3"/>
      <c r="R57" s="3"/>
      <c r="S57" s="2" t="s">
        <v>18</v>
      </c>
      <c r="T57" s="2" t="s">
        <v>23</v>
      </c>
      <c r="V57" s="8">
        <f t="shared" ref="V57" si="256">_xlfn.RANK.EQ(D57,$D57:$R57,1)</f>
        <v>4</v>
      </c>
      <c r="W57" s="8">
        <f t="shared" ref="W57" si="257">_xlfn.RANK.EQ(E57,$D57:$R57,1)</f>
        <v>5</v>
      </c>
      <c r="X57" s="8">
        <f t="shared" ref="X57" si="258">_xlfn.RANK.EQ(F57,$D57:$R57,1)</f>
        <v>8</v>
      </c>
      <c r="Y57" s="8">
        <f t="shared" ref="Y57" si="259">_xlfn.RANK.EQ(G57,$D57:$R57,1)</f>
        <v>2</v>
      </c>
      <c r="Z57" s="8">
        <f t="shared" ref="Z57" si="260">_xlfn.RANK.EQ(H57,$D57:$R57,1)</f>
        <v>6</v>
      </c>
      <c r="AA57" s="8">
        <f t="shared" ref="AA57" si="261">_xlfn.RANK.EQ(I57,$D57:$R57,1)</f>
        <v>3</v>
      </c>
      <c r="AB57" s="8">
        <f t="shared" ref="AB57" si="262">_xlfn.RANK.EQ(J57,$D57:$R57,1)</f>
        <v>9</v>
      </c>
      <c r="AC57" s="8">
        <f t="shared" ref="AC57" si="263">_xlfn.RANK.EQ(K57,$D57:$R57,1)</f>
        <v>1</v>
      </c>
      <c r="AD57" s="8">
        <f t="shared" ref="AD57" si="264">_xlfn.RANK.EQ(L57,$D57:$R57,1)</f>
        <v>7</v>
      </c>
      <c r="AE57" s="8" t="e">
        <f t="shared" ref="AE57" si="265">_xlfn.RANK.EQ(M57,$D57:$R57,1)</f>
        <v>#N/A</v>
      </c>
      <c r="AF57" s="8" t="e">
        <f t="shared" ref="AF57" si="266">_xlfn.RANK.EQ(N57,$D57:$R57,1)</f>
        <v>#N/A</v>
      </c>
      <c r="AG57" s="8" t="e">
        <f t="shared" ref="AG57" si="267">_xlfn.RANK.EQ(O57,$D57:$R57,1)</f>
        <v>#N/A</v>
      </c>
      <c r="AH57" s="8" t="e">
        <f t="shared" ref="AH57" si="268">_xlfn.RANK.EQ(P57,$D57:$R57,1)</f>
        <v>#N/A</v>
      </c>
      <c r="AI57" s="8" t="e">
        <f t="shared" ref="AI57" si="269">_xlfn.RANK.EQ(Q57,$D57:$R57,1)</f>
        <v>#N/A</v>
      </c>
      <c r="AJ57" s="8" t="e">
        <f t="shared" ref="AJ57" si="270">_xlfn.RANK.EQ(R57,$D57:$R57,1)</f>
        <v>#N/A</v>
      </c>
    </row>
    <row xmlns:x14ac="http://schemas.microsoft.com/office/spreadsheetml/2009/9/ac" r="58" x14ac:dyDescent="0.3">
      <c r="A58" s="25"/>
      <c r="B58" s="18" t="s">
        <v>2660</v>
      </c>
      <c r="C58" s="4" t="s">
        <v>2517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0.0017903508862761592</v>
      </c>
      <c r="J58" s="5">
        <v>0.14113312978300899</v>
      </c>
      <c r="K58" s="5">
        <v>2.7100861699601768e-15</v>
      </c>
      <c r="L58" s="10">
        <v>0.14118675448156845</v>
      </c>
      <c r="M58" s="10">
        <v>0.002175104223121786</v>
      </c>
      <c r="N58" s="10">
        <v>0</v>
      </c>
      <c r="O58" s="10"/>
      <c r="P58" s="10"/>
      <c r="Q58" s="10"/>
      <c r="R58" s="10"/>
      <c r="S58" s="4"/>
      <c r="T58" s="4" t="s">
        <v>24</v>
      </c>
    </row>
    <row xmlns:x14ac="http://schemas.microsoft.com/office/spreadsheetml/2009/9/ac" r="59" x14ac:dyDescent="0.3">
      <c r="A59" s="25"/>
      <c r="B59" s="19" t="s">
        <v>2660</v>
      </c>
      <c r="C59" s="6" t="s">
        <v>2518</v>
      </c>
      <c r="D59" s="7">
        <v>0.75</v>
      </c>
      <c r="E59" s="7">
        <v>0.75</v>
      </c>
      <c r="F59" s="7">
        <v>0.28125</v>
      </c>
      <c r="G59" s="7">
        <v>0.625</v>
      </c>
      <c r="H59" s="7">
        <v>0.484375</v>
      </c>
      <c r="I59" s="7">
        <v>0.10729166666666666</v>
      </c>
      <c r="J59" s="7">
        <v>0.22395833333333334</v>
      </c>
      <c r="K59" s="7">
        <v>0.10781250000000001</v>
      </c>
      <c r="L59" s="7">
        <v>0.15416666666666667</v>
      </c>
      <c r="M59" s="7">
        <v>0.058854166666666666</v>
      </c>
      <c r="N59" s="7">
        <v>0.171875</v>
      </c>
      <c r="O59" s="7"/>
      <c r="P59" s="7"/>
      <c r="Q59" s="7"/>
      <c r="R59" s="7"/>
      <c r="S59" s="6"/>
      <c r="T59" s="6" t="s">
        <v>25</v>
      </c>
    </row>
    <row xmlns:x14ac="http://schemas.microsoft.com/office/spreadsheetml/2009/9/ac" r="60" x14ac:dyDescent="0.3">
      <c r="A60" s="25"/>
      <c r="B60" s="17" t="s">
        <v>2661</v>
      </c>
      <c r="C60" s="2" t="s">
        <v>2516</v>
      </c>
      <c r="D60" s="3">
        <v>-1.5632109822793498</v>
      </c>
      <c r="E60" s="3">
        <v>-1.6546726962406439</v>
      </c>
      <c r="F60" s="3">
        <v>-3.3219832043674353</v>
      </c>
      <c r="G60" s="3">
        <v>-3.3219951715842426</v>
      </c>
      <c r="H60" s="3">
        <v>-3.3147904648529396</v>
      </c>
      <c r="I60" s="3">
        <v>-3.3004470395253813</v>
      </c>
      <c r="J60" s="3">
        <v>-3.2942533228537432</v>
      </c>
      <c r="K60" s="3">
        <v>-3.2506592987922955</v>
      </c>
      <c r="L60" s="3">
        <v>-3.2787053665509021</v>
      </c>
      <c r="M60" s="3">
        <v>-3.2656330037481731</v>
      </c>
      <c r="N60" s="3">
        <v>-0.0036857883799585457</v>
      </c>
      <c r="O60" s="3"/>
      <c r="P60" s="3"/>
      <c r="Q60" s="3"/>
      <c r="R60" s="3"/>
      <c r="S60" s="2" t="s">
        <v>19</v>
      </c>
      <c r="T60" s="2" t="s">
        <v>23</v>
      </c>
      <c r="V60" s="8">
        <f t="shared" ref="V60" si="271">_xlfn.RANK.EQ(D60,$D60:$R60,1)</f>
        <v>3</v>
      </c>
      <c r="W60" s="8">
        <f t="shared" ref="W60" si="272">_xlfn.RANK.EQ(E60,$D60:$R60,1)</f>
        <v>5</v>
      </c>
      <c r="X60" s="8">
        <f t="shared" ref="X60" si="273">_xlfn.RANK.EQ(F60,$D60:$R60,1)</f>
        <v>1</v>
      </c>
      <c r="Y60" s="8">
        <f t="shared" ref="Y60" si="274">_xlfn.RANK.EQ(G60,$D60:$R60,1)</f>
        <v>6</v>
      </c>
      <c r="Z60" s="8">
        <f t="shared" ref="Z60" si="275">_xlfn.RANK.EQ(H60,$D60:$R60,1)</f>
        <v>8</v>
      </c>
      <c r="AA60" s="8">
        <f t="shared" ref="AA60" si="276">_xlfn.RANK.EQ(I60,$D60:$R60,1)</f>
        <v>7</v>
      </c>
      <c r="AB60" s="8">
        <f t="shared" ref="AB60" si="277">_xlfn.RANK.EQ(J60,$D60:$R60,1)</f>
        <v>9</v>
      </c>
      <c r="AC60" s="8">
        <f t="shared" ref="AC60" si="278">_xlfn.RANK.EQ(K60,$D60:$R60,1)</f>
        <v>4</v>
      </c>
      <c r="AD60" s="8">
        <f t="shared" ref="AD60" si="279">_xlfn.RANK.EQ(L60,$D60:$R60,1)</f>
        <v>2</v>
      </c>
      <c r="AE60" s="8" t="e">
        <f t="shared" ref="AE60" si="280">_xlfn.RANK.EQ(M60,$D60:$R60,1)</f>
        <v>#N/A</v>
      </c>
      <c r="AF60" s="8" t="e">
        <f t="shared" ref="AF60" si="281">_xlfn.RANK.EQ(N60,$D60:$R60,1)</f>
        <v>#N/A</v>
      </c>
      <c r="AG60" s="8" t="e">
        <f t="shared" ref="AG60" si="282">_xlfn.RANK.EQ(O60,$D60:$R60,1)</f>
        <v>#N/A</v>
      </c>
      <c r="AH60" s="8" t="e">
        <f t="shared" ref="AH60" si="283">_xlfn.RANK.EQ(P60,$D60:$R60,1)</f>
        <v>#N/A</v>
      </c>
      <c r="AI60" s="8" t="e">
        <f t="shared" ref="AI60" si="284">_xlfn.RANK.EQ(Q60,$D60:$R60,1)</f>
        <v>#N/A</v>
      </c>
      <c r="AJ60" s="8" t="e">
        <f t="shared" ref="AJ60" si="285">_xlfn.RANK.EQ(R60,$D60:$R60,1)</f>
        <v>#N/A</v>
      </c>
    </row>
    <row xmlns:x14ac="http://schemas.microsoft.com/office/spreadsheetml/2009/9/ac" r="61" x14ac:dyDescent="0.3">
      <c r="A61" s="25"/>
      <c r="B61" s="18" t="s">
        <v>2661</v>
      </c>
      <c r="C61" s="4" t="s">
        <v>2517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0.048024626847572534</v>
      </c>
      <c r="J61" s="5">
        <v>0.051145769861042828</v>
      </c>
      <c r="K61" s="5">
        <v>0.059241217867927333</v>
      </c>
      <c r="L61" s="10">
        <v>0.057620508823078752</v>
      </c>
      <c r="M61" s="10">
        <v>0.074444840977224744</v>
      </c>
      <c r="N61" s="10">
        <v>0</v>
      </c>
      <c r="O61" s="10"/>
      <c r="P61" s="10"/>
      <c r="Q61" s="10"/>
      <c r="R61" s="10"/>
      <c r="S61" s="4"/>
      <c r="T61" s="4" t="s">
        <v>24</v>
      </c>
    </row>
    <row xmlns:x14ac="http://schemas.microsoft.com/office/spreadsheetml/2009/9/ac" r="62" x14ac:dyDescent="0.3">
      <c r="A62" s="25"/>
      <c r="B62" s="19" t="s">
        <v>2661</v>
      </c>
      <c r="C62" s="6" t="s">
        <v>2518</v>
      </c>
      <c r="D62" s="7">
        <v>0.96875</v>
      </c>
      <c r="E62" s="7">
        <v>0.859375</v>
      </c>
      <c r="F62" s="7">
        <v>0.40625</v>
      </c>
      <c r="G62" s="7">
        <v>0.78125</v>
      </c>
      <c r="H62" s="7">
        <v>0.609375</v>
      </c>
      <c r="I62" s="7">
        <v>0.11562500000000001</v>
      </c>
      <c r="J62" s="7">
        <v>0.27083333333333331</v>
      </c>
      <c r="K62" s="7">
        <v>0.087499999999999994</v>
      </c>
      <c r="L62" s="7">
        <v>0.1171875</v>
      </c>
      <c r="M62" s="7">
        <v>0.059374999999999997</v>
      </c>
      <c r="N62" s="7">
        <v>0.15625</v>
      </c>
      <c r="O62" s="7"/>
      <c r="P62" s="7"/>
      <c r="Q62" s="7"/>
      <c r="R62" s="7"/>
      <c r="S62" s="6"/>
      <c r="T62" s="6" t="s">
        <v>25</v>
      </c>
    </row>
    <row xmlns:x14ac="http://schemas.microsoft.com/office/spreadsheetml/2009/9/ac" r="63" x14ac:dyDescent="0.3">
      <c r="A63" s="25"/>
      <c r="B63" s="17" t="s">
        <v>2662</v>
      </c>
      <c r="C63" s="2" t="s">
        <v>2516</v>
      </c>
      <c r="D63" s="3">
        <v>-7.4260651172762024</v>
      </c>
      <c r="E63" s="3">
        <v>-7.0214499677302245</v>
      </c>
      <c r="F63" s="3">
        <v>-5.0551881638125664</v>
      </c>
      <c r="G63" s="3">
        <v>-10.153199679058229</v>
      </c>
      <c r="H63" s="3">
        <v>-2.6360064207333749</v>
      </c>
      <c r="I63" s="3">
        <v>-4.9286201552184519</v>
      </c>
      <c r="J63" s="3">
        <v>-6.5726829313823663</v>
      </c>
      <c r="K63" s="3">
        <v>-9.3989456157400983</v>
      </c>
      <c r="L63" s="3">
        <v>-4.7920391838961525</v>
      </c>
      <c r="M63" s="3">
        <v>-7.4355103113055359</v>
      </c>
      <c r="N63" s="3">
        <v>-0.19463149328073387</v>
      </c>
      <c r="O63" s="3"/>
      <c r="P63" s="3"/>
      <c r="Q63" s="3"/>
      <c r="R63" s="3"/>
      <c r="S63" s="2" t="s">
        <v>20</v>
      </c>
      <c r="T63" s="2" t="s">
        <v>23</v>
      </c>
      <c r="V63" s="8">
        <f t="shared" ref="V63" si="286">_xlfn.RANK.EQ(D63,$D63:$R63,1)</f>
        <v>1</v>
      </c>
      <c r="W63" s="8">
        <f t="shared" ref="W63" si="287">_xlfn.RANK.EQ(E63,$D63:$R63,1)</f>
        <v>5</v>
      </c>
      <c r="X63" s="8">
        <f t="shared" ref="X63" si="288">_xlfn.RANK.EQ(F63,$D63:$R63,1)</f>
        <v>6</v>
      </c>
      <c r="Y63" s="8">
        <f t="shared" ref="Y63" si="289">_xlfn.RANK.EQ(G63,$D63:$R63,1)</f>
        <v>2</v>
      </c>
      <c r="Z63" s="8">
        <f t="shared" ref="Z63" si="290">_xlfn.RANK.EQ(H63,$D63:$R63,1)</f>
        <v>7</v>
      </c>
      <c r="AA63" s="8">
        <f t="shared" ref="AA63" si="291">_xlfn.RANK.EQ(I63,$D63:$R63,1)</f>
        <v>3</v>
      </c>
      <c r="AB63" s="8">
        <f t="shared" ref="AB63" si="292">_xlfn.RANK.EQ(J63,$D63:$R63,1)</f>
        <v>9</v>
      </c>
      <c r="AC63" s="8">
        <f t="shared" ref="AC63" si="293">_xlfn.RANK.EQ(K63,$D63:$R63,1)</f>
        <v>4</v>
      </c>
      <c r="AD63" s="8">
        <f t="shared" ref="AD63" si="294">_xlfn.RANK.EQ(L63,$D63:$R63,1)</f>
        <v>8</v>
      </c>
      <c r="AE63" s="8" t="e">
        <f t="shared" ref="AE63" si="295">_xlfn.RANK.EQ(M63,$D63:$R63,1)</f>
        <v>#N/A</v>
      </c>
      <c r="AF63" s="8" t="e">
        <f t="shared" ref="AF63" si="296">_xlfn.RANK.EQ(N63,$D63:$R63,1)</f>
        <v>#N/A</v>
      </c>
      <c r="AG63" s="8" t="e">
        <f t="shared" ref="AG63" si="297">_xlfn.RANK.EQ(O63,$D63:$R63,1)</f>
        <v>#N/A</v>
      </c>
      <c r="AH63" s="8" t="e">
        <f t="shared" ref="AH63" si="298">_xlfn.RANK.EQ(P63,$D63:$R63,1)</f>
        <v>#N/A</v>
      </c>
      <c r="AI63" s="8" t="e">
        <f t="shared" ref="AI63" si="299">_xlfn.RANK.EQ(Q63,$D63:$R63,1)</f>
        <v>#N/A</v>
      </c>
      <c r="AJ63" s="8" t="e">
        <f t="shared" ref="AJ63" si="300">_xlfn.RANK.EQ(R63,$D63:$R63,1)</f>
        <v>#N/A</v>
      </c>
    </row>
    <row xmlns:x14ac="http://schemas.microsoft.com/office/spreadsheetml/2009/9/ac" r="64" x14ac:dyDescent="0.3">
      <c r="A64" s="25"/>
      <c r="B64" s="18" t="s">
        <v>2662</v>
      </c>
      <c r="C64" s="4" t="s">
        <v>2517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2.9229447428910924</v>
      </c>
      <c r="J64" s="5">
        <v>3.6879379203726383</v>
      </c>
      <c r="K64" s="5">
        <v>1.9941298798176785</v>
      </c>
      <c r="L64" s="10">
        <v>2.9617950230392989</v>
      </c>
      <c r="M64" s="10">
        <v>2.5851549260144564</v>
      </c>
      <c r="N64" s="10">
        <v>0</v>
      </c>
      <c r="O64" s="10"/>
      <c r="P64" s="10"/>
      <c r="Q64" s="10"/>
      <c r="R64" s="10"/>
      <c r="S64" s="4"/>
      <c r="T64" s="4" t="s">
        <v>24</v>
      </c>
    </row>
    <row xmlns:x14ac="http://schemas.microsoft.com/office/spreadsheetml/2009/9/ac" r="65" x14ac:dyDescent="0.3">
      <c r="A65" s="25"/>
      <c r="B65" s="19" t="s">
        <v>2662</v>
      </c>
      <c r="C65" s="6" t="s">
        <v>2518</v>
      </c>
      <c r="D65" s="7">
        <v>0.921875</v>
      </c>
      <c r="E65" s="7">
        <v>0.859375</v>
      </c>
      <c r="F65" s="7">
        <v>0.328125</v>
      </c>
      <c r="G65" s="7">
        <v>0.828125</v>
      </c>
      <c r="H65" s="7">
        <v>0.625</v>
      </c>
      <c r="I65" s="7">
        <v>0.13958333333333334</v>
      </c>
      <c r="J65" s="7">
        <v>0.22500000000000001</v>
      </c>
      <c r="K65" s="7">
        <v>0.08802083333333334</v>
      </c>
      <c r="L65" s="7">
        <v>0.13177083333333334</v>
      </c>
      <c r="M65" s="7">
        <v>0.075520833333333329</v>
      </c>
      <c r="N65" s="7">
        <v>0.21875</v>
      </c>
      <c r="O65" s="7"/>
      <c r="P65" s="7"/>
      <c r="Q65" s="7"/>
      <c r="R65" s="7"/>
      <c r="S65" s="6"/>
      <c r="T65" s="6" t="s">
        <v>25</v>
      </c>
    </row>
    <row xmlns:x14ac="http://schemas.microsoft.com/office/spreadsheetml/2009/9/ac" r="66" x14ac:dyDescent="0.3">
      <c r="A66" s="25"/>
      <c r="B66" s="17" t="s">
        <v>2663</v>
      </c>
      <c r="C66" s="2" t="s">
        <v>2516</v>
      </c>
      <c r="D66" s="3">
        <v>-8.0441477059997464</v>
      </c>
      <c r="E66" s="3">
        <v>-4.8571579281802935</v>
      </c>
      <c r="F66" s="3">
        <v>-5.0876590702190088</v>
      </c>
      <c r="G66" s="3">
        <v>-10.402940566818664</v>
      </c>
      <c r="H66" s="3">
        <v>-3.6923922322238392</v>
      </c>
      <c r="I66" s="3">
        <v>-6.138692109815918</v>
      </c>
      <c r="J66" s="3">
        <v>-6.8650949812133737</v>
      </c>
      <c r="K66" s="3">
        <v>-10.402940566818664</v>
      </c>
      <c r="L66" s="3">
        <v>-5.1529381349935095</v>
      </c>
      <c r="M66" s="3">
        <v>-8.4537620483340508</v>
      </c>
      <c r="N66" s="3">
        <v>-0.22229311838103893</v>
      </c>
      <c r="O66" s="3"/>
      <c r="P66" s="3"/>
      <c r="Q66" s="3"/>
      <c r="R66" s="3"/>
      <c r="S66" s="2" t="s">
        <v>21</v>
      </c>
      <c r="T66" s="2" t="s">
        <v>23</v>
      </c>
      <c r="V66" s="8">
        <f t="shared" ref="V66" si="301">_xlfn.RANK.EQ(D66,$D66:$R66,1)</f>
        <v>1</v>
      </c>
      <c r="W66" s="8">
        <f t="shared" ref="W66" si="302">_xlfn.RANK.EQ(E66,$D66:$R66,1)</f>
        <v>3</v>
      </c>
      <c r="X66" s="8">
        <f t="shared" ref="X66" si="303">_xlfn.RANK.EQ(F66,$D66:$R66,1)</f>
        <v>7</v>
      </c>
      <c r="Y66" s="8">
        <f t="shared" ref="Y66" si="304">_xlfn.RANK.EQ(G66,$D66:$R66,1)</f>
        <v>2</v>
      </c>
      <c r="Z66" s="8">
        <f t="shared" ref="Z66" si="305">_xlfn.RANK.EQ(H66,$D66:$R66,1)</f>
        <v>8</v>
      </c>
      <c r="AA66" s="8">
        <f t="shared" ref="AA66" si="306">_xlfn.RANK.EQ(I66,$D66:$R66,1)</f>
        <v>6</v>
      </c>
      <c r="AB66" s="8">
        <f t="shared" ref="AB66" si="307">_xlfn.RANK.EQ(J66,$D66:$R66,1)</f>
        <v>4</v>
      </c>
      <c r="AC66" s="8">
        <f t="shared" ref="AC66" si="308">_xlfn.RANK.EQ(K66,$D66:$R66,1)</f>
        <v>5</v>
      </c>
      <c r="AD66" s="8">
        <f t="shared" ref="AD66" si="309">_xlfn.RANK.EQ(L66,$D66:$R66,1)</f>
        <v>9</v>
      </c>
      <c r="AE66" s="8" t="e">
        <f t="shared" ref="AE66" si="310">_xlfn.RANK.EQ(M66,$D66:$R66,1)</f>
        <v>#N/A</v>
      </c>
      <c r="AF66" s="8" t="e">
        <f t="shared" ref="AF66" si="311">_xlfn.RANK.EQ(N66,$D66:$R66,1)</f>
        <v>#N/A</v>
      </c>
      <c r="AG66" s="8" t="e">
        <f t="shared" ref="AG66" si="312">_xlfn.RANK.EQ(O66,$D66:$R66,1)</f>
        <v>#N/A</v>
      </c>
      <c r="AH66" s="8" t="e">
        <f t="shared" ref="AH66" si="313">_xlfn.RANK.EQ(P66,$D66:$R66,1)</f>
        <v>#N/A</v>
      </c>
      <c r="AI66" s="8" t="e">
        <f t="shared" ref="AI66" si="314">_xlfn.RANK.EQ(Q66,$D66:$R66,1)</f>
        <v>#N/A</v>
      </c>
      <c r="AJ66" s="8" t="e">
        <f t="shared" ref="AJ66" si="315">_xlfn.RANK.EQ(R66,$D66:$R66,1)</f>
        <v>#N/A</v>
      </c>
    </row>
    <row xmlns:x14ac="http://schemas.microsoft.com/office/spreadsheetml/2009/9/ac" r="67" x14ac:dyDescent="0.3">
      <c r="A67" s="25"/>
      <c r="B67" s="18" t="s">
        <v>2663</v>
      </c>
      <c r="C67" s="4" t="s">
        <v>2517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3.5523639385116716</v>
      </c>
      <c r="J67" s="5">
        <v>3.6455476067938162</v>
      </c>
      <c r="K67" s="5">
        <v>1.04311265316906e-15</v>
      </c>
      <c r="L67" s="10">
        <v>3.2066770645771374</v>
      </c>
      <c r="M67" s="10">
        <v>2.6050028154751432</v>
      </c>
      <c r="N67" s="10">
        <v>0</v>
      </c>
      <c r="O67" s="10"/>
      <c r="P67" s="10"/>
      <c r="Q67" s="10"/>
      <c r="R67" s="10"/>
      <c r="S67" s="4"/>
      <c r="T67" s="4" t="s">
        <v>24</v>
      </c>
    </row>
    <row xmlns:x14ac="http://schemas.microsoft.com/office/spreadsheetml/2009/9/ac" r="68" x14ac:dyDescent="0.3">
      <c r="A68" s="25"/>
      <c r="B68" s="19" t="s">
        <v>2663</v>
      </c>
      <c r="C68" s="6" t="s">
        <v>2518</v>
      </c>
      <c r="D68" s="7">
        <v>1</v>
      </c>
      <c r="E68" s="7">
        <v>1.140625</v>
      </c>
      <c r="F68" s="7">
        <v>0.4375</v>
      </c>
      <c r="G68" s="7">
        <v>0.5625</v>
      </c>
      <c r="H68" s="7">
        <v>0.65625</v>
      </c>
      <c r="I68" s="7">
        <v>0.14791666666666667</v>
      </c>
      <c r="J68" s="7">
        <v>0.24895833333333334</v>
      </c>
      <c r="K68" s="7">
        <v>0.086458333333333331</v>
      </c>
      <c r="L68" s="7">
        <v>0.15208333333333332</v>
      </c>
      <c r="M68" s="7">
        <v>0.057291666666666664</v>
      </c>
      <c r="N68" s="7">
        <v>0.171875</v>
      </c>
      <c r="O68" s="7"/>
      <c r="P68" s="7"/>
      <c r="Q68" s="7"/>
      <c r="R68" s="7"/>
      <c r="S68" s="6"/>
      <c r="T68" s="6" t="s">
        <v>25</v>
      </c>
    </row>
    <row xmlns:x14ac="http://schemas.microsoft.com/office/spreadsheetml/2009/9/ac" r="69" ht="14.4" customHeight="true" x14ac:dyDescent="0.3">
      <c r="A69" s="25"/>
      <c r="B69" s="17" t="s">
        <v>2664</v>
      </c>
      <c r="C69" s="2" t="s">
        <v>2516</v>
      </c>
      <c r="D69" s="3">
        <v>-6.7731133727204034</v>
      </c>
      <c r="E69" s="3">
        <v>-4.4091682887448034</v>
      </c>
      <c r="F69" s="3">
        <v>-10.535809708356831</v>
      </c>
      <c r="G69" s="3">
        <v>-10.536409816692046</v>
      </c>
      <c r="H69" s="3">
        <v>-2.8152419457772488</v>
      </c>
      <c r="I69" s="3">
        <v>-5.6331489142028026</v>
      </c>
      <c r="J69" s="3">
        <v>-5.6123488655974709</v>
      </c>
      <c r="K69" s="3">
        <v>-10.280900912976648</v>
      </c>
      <c r="L69" s="3">
        <v>-5.6030061050695847</v>
      </c>
      <c r="M69" s="3">
        <v>-8.6431451823335408</v>
      </c>
      <c r="N69" s="3">
        <v>-0.1620627949331882</v>
      </c>
      <c r="O69" s="3"/>
      <c r="P69" s="3"/>
      <c r="Q69" s="3"/>
      <c r="R69" s="3"/>
      <c r="S69" s="2" t="s">
        <v>22</v>
      </c>
      <c r="T69" s="2" t="s">
        <v>23</v>
      </c>
      <c r="V69" s="8">
        <f t="shared" ref="V69" si="316">_xlfn.RANK.EQ(D69,$D69:$R69,1)</f>
        <v>1</v>
      </c>
      <c r="W69" s="8">
        <f t="shared" ref="W69" si="317">_xlfn.RANK.EQ(E69,$D69:$R69,1)</f>
        <v>4</v>
      </c>
      <c r="X69" s="8">
        <f t="shared" ref="X69" si="318">_xlfn.RANK.EQ(F69,$D69:$R69,1)</f>
        <v>8</v>
      </c>
      <c r="Y69" s="8">
        <f t="shared" ref="Y69" si="319">_xlfn.RANK.EQ(G69,$D69:$R69,1)</f>
        <v>2</v>
      </c>
      <c r="Z69" s="8">
        <f t="shared" ref="Z69" si="320">_xlfn.RANK.EQ(H69,$D69:$R69,1)</f>
        <v>9</v>
      </c>
      <c r="AA69" s="8">
        <f t="shared" ref="AA69" si="321">_xlfn.RANK.EQ(I69,$D69:$R69,1)</f>
        <v>5</v>
      </c>
      <c r="AB69" s="8">
        <f t="shared" ref="AB69" si="322">_xlfn.RANK.EQ(J69,$D69:$R69,1)</f>
        <v>6</v>
      </c>
      <c r="AC69" s="8">
        <f t="shared" ref="AC69" si="323">_xlfn.RANK.EQ(K69,$D69:$R69,1)</f>
        <v>3</v>
      </c>
      <c r="AD69" s="8">
        <f t="shared" ref="AD69" si="324">_xlfn.RANK.EQ(L69,$D69:$R69,1)</f>
        <v>7</v>
      </c>
      <c r="AE69" s="8" t="e">
        <f t="shared" ref="AE69" si="325">_xlfn.RANK.EQ(M69,$D69:$R69,1)</f>
        <v>#N/A</v>
      </c>
      <c r="AF69" s="8" t="e">
        <f t="shared" ref="AF69" si="326">_xlfn.RANK.EQ(N69,$D69:$R69,1)</f>
        <v>#N/A</v>
      </c>
      <c r="AG69" s="8" t="e">
        <f t="shared" ref="AG69" si="327">_xlfn.RANK.EQ(O69,$D69:$R69,1)</f>
        <v>#N/A</v>
      </c>
      <c r="AH69" s="8" t="e">
        <f t="shared" ref="AH69" si="328">_xlfn.RANK.EQ(P69,$D69:$R69,1)</f>
        <v>#N/A</v>
      </c>
      <c r="AI69" s="8" t="e">
        <f t="shared" ref="AI69" si="329">_xlfn.RANK.EQ(Q69,$D69:$R69,1)</f>
        <v>#N/A</v>
      </c>
      <c r="AJ69" s="8" t="e">
        <f t="shared" ref="AJ69" si="330">_xlfn.RANK.EQ(R69,$D69:$R69,1)</f>
        <v>#N/A</v>
      </c>
    </row>
    <row xmlns:x14ac="http://schemas.microsoft.com/office/spreadsheetml/2009/9/ac" r="70" x14ac:dyDescent="0.3">
      <c r="A70" s="25"/>
      <c r="B70" s="18" t="s">
        <v>2664</v>
      </c>
      <c r="C70" s="4" t="s">
        <v>2517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3.6061883779765576</v>
      </c>
      <c r="J70" s="5">
        <v>3.6261942418960325</v>
      </c>
      <c r="K70" s="5">
        <v>1.3994799020834023</v>
      </c>
      <c r="L70" s="10">
        <v>3.4244708312934855</v>
      </c>
      <c r="M70" s="10">
        <v>2.7638481355436899</v>
      </c>
      <c r="N70" s="10">
        <v>0</v>
      </c>
      <c r="O70" s="10"/>
      <c r="P70" s="10"/>
      <c r="Q70" s="10"/>
      <c r="R70" s="10"/>
      <c r="S70" s="4"/>
      <c r="T70" s="4" t="s">
        <v>24</v>
      </c>
    </row>
    <row xmlns:x14ac="http://schemas.microsoft.com/office/spreadsheetml/2009/9/ac" r="71" x14ac:dyDescent="0.3">
      <c r="A71" s="22"/>
      <c r="B71" s="19" t="s">
        <v>2664</v>
      </c>
      <c r="C71" s="6" t="s">
        <v>2518</v>
      </c>
      <c r="D71" s="7">
        <v>0.9375</v>
      </c>
      <c r="E71" s="7">
        <v>0.84375</v>
      </c>
      <c r="F71" s="7">
        <v>0.484375</v>
      </c>
      <c r="G71" s="7">
        <v>0.609375</v>
      </c>
      <c r="H71" s="7">
        <v>0.578125</v>
      </c>
      <c r="I71" s="7">
        <v>0.15416666666666667</v>
      </c>
      <c r="J71" s="7">
        <v>0.25885416666666666</v>
      </c>
      <c r="K71" s="7">
        <v>0.090624999999999997</v>
      </c>
      <c r="L71" s="7">
        <v>0.12760416666666666</v>
      </c>
      <c r="M71" s="7">
        <v>0.077604166666666669</v>
      </c>
      <c r="N71" s="7">
        <v>0.171875</v>
      </c>
      <c r="O71" s="7"/>
      <c r="P71" s="7"/>
      <c r="Q71" s="7"/>
      <c r="R71" s="7"/>
      <c r="S71" s="6"/>
      <c r="T71" s="6" t="s">
        <v>25</v>
      </c>
    </row>
    <row xmlns:x14ac="http://schemas.microsoft.com/office/spreadsheetml/2009/9/ac" r="72" ht="32.4" customHeight="true" x14ac:dyDescent="0.3">
      <c r="A72" s="24" t="s">
        <v>34</v>
      </c>
      <c r="B72" s="17"/>
      <c r="C72" s="17"/>
      <c r="D72" s="8">
        <f>COUNTIF(V3:V71,1)</f>
        <v>13</v>
      </c>
      <c r="E72" s="8">
        <f t="shared" ref="E72:R72" si="331">COUNTIF(W3:W71,1)</f>
        <v>6</v>
      </c>
      <c r="F72" s="8">
        <f t="shared" si="331"/>
        <v>2</v>
      </c>
      <c r="G72" s="8">
        <f t="shared" si="331"/>
        <v>3</v>
      </c>
      <c r="H72" s="8">
        <f t="shared" si="331"/>
        <v>0</v>
      </c>
      <c r="I72" s="8">
        <f t="shared" si="331"/>
        <v>0</v>
      </c>
      <c r="J72" s="8">
        <f t="shared" si="331"/>
        <v>3</v>
      </c>
      <c r="K72" s="8">
        <f t="shared" si="331"/>
        <v>5</v>
      </c>
      <c r="L72" s="8">
        <f t="shared" si="331"/>
        <v>1</v>
      </c>
      <c r="M72" s="8">
        <f t="shared" si="331"/>
        <v>2</v>
      </c>
      <c r="N72" s="8">
        <f t="shared" si="331"/>
        <v>2</v>
      </c>
      <c r="O72" s="8">
        <f t="shared" si="331"/>
        <v>2</v>
      </c>
      <c r="P72" s="8">
        <f t="shared" si="331"/>
        <v>2</v>
      </c>
      <c r="Q72" s="8">
        <f t="shared" si="331"/>
        <v>2</v>
      </c>
      <c r="R72" s="8">
        <f t="shared" si="331"/>
        <v>2</v>
      </c>
    </row>
    <row xmlns:x14ac="http://schemas.microsoft.com/office/spreadsheetml/2009/9/ac" r="73" ht="32.4" customHeight="true" x14ac:dyDescent="0.3">
      <c r="A73" s="23" t="s">
        <v>35</v>
      </c>
      <c r="B73" s="18"/>
      <c r="C73" s="18"/>
      <c r="D73" s="8">
        <f>_xlfn.RANK.EQ(D72,$D72:$R72,0)</f>
        <v>1</v>
      </c>
      <c r="E73" s="8">
        <f t="shared" ref="E73:R73" si="332">_xlfn.RANK.EQ(E72,$D72:$R72,0)</f>
        <v>2</v>
      </c>
      <c r="F73" s="8">
        <f t="shared" si="332"/>
        <v>6</v>
      </c>
      <c r="G73" s="8">
        <f t="shared" si="332"/>
        <v>4</v>
      </c>
      <c r="H73" s="8">
        <f t="shared" si="332"/>
        <v>14</v>
      </c>
      <c r="I73" s="8">
        <f t="shared" si="332"/>
        <v>14</v>
      </c>
      <c r="J73" s="8">
        <f t="shared" si="332"/>
        <v>4</v>
      </c>
      <c r="K73" s="8">
        <f t="shared" si="332"/>
        <v>3</v>
      </c>
      <c r="L73" s="8">
        <f t="shared" si="332"/>
        <v>13</v>
      </c>
      <c r="M73" s="8">
        <f t="shared" si="332"/>
        <v>6</v>
      </c>
      <c r="N73" s="8">
        <f t="shared" si="332"/>
        <v>6</v>
      </c>
      <c r="O73" s="8">
        <f t="shared" si="332"/>
        <v>6</v>
      </c>
      <c r="P73" s="8">
        <f t="shared" si="332"/>
        <v>6</v>
      </c>
      <c r="Q73" s="8">
        <f t="shared" si="332"/>
        <v>6</v>
      </c>
      <c r="R73" s="8">
        <f t="shared" si="332"/>
        <v>6</v>
      </c>
    </row>
    <row xmlns:x14ac="http://schemas.microsoft.com/office/spreadsheetml/2009/9/ac" r="74" ht="32.4" customHeight="true" x14ac:dyDescent="0.3">
      <c r="A74" s="21" t="s">
        <v>33</v>
      </c>
      <c r="B74" s="18"/>
      <c r="C74" s="18"/>
      <c r="D74" s="9">
        <f>AVERAGE(V3:V71)</f>
        <v>2.4347826086956523</v>
      </c>
      <c r="E74" s="9">
        <f t="shared" ref="E74:R74" si="333">AVERAGE(W3:W71)</f>
        <v>2.6956521739130435</v>
      </c>
      <c r="F74" s="9">
        <f t="shared" si="333"/>
        <v>5.3478260869565215</v>
      </c>
      <c r="G74" s="9">
        <f t="shared" si="333"/>
        <v>5.4347826086956523</v>
      </c>
      <c r="H74" s="9">
        <f t="shared" si="333"/>
        <v>7.7826086956521738</v>
      </c>
      <c r="I74" s="9">
        <f t="shared" si="333"/>
        <v>4.7391304347826084</v>
      </c>
      <c r="J74" s="9">
        <f t="shared" si="333"/>
        <v>5.2608695652173916</v>
      </c>
      <c r="K74" s="9">
        <f t="shared" si="333"/>
        <v>4.2608695652173916</v>
      </c>
      <c r="L74" s="9">
        <f t="shared" si="333"/>
        <v>6.3043478260869561</v>
      </c>
      <c r="M74" s="9" t="e">
        <f t="shared" si="333"/>
        <v>#N/A</v>
      </c>
      <c r="N74" s="9" t="e">
        <f t="shared" si="333"/>
        <v>#N/A</v>
      </c>
      <c r="O74" s="9" t="e">
        <f t="shared" si="333"/>
        <v>#N/A</v>
      </c>
      <c r="P74" s="9" t="e">
        <f t="shared" si="333"/>
        <v>#N/A</v>
      </c>
      <c r="Q74" s="9" t="e">
        <f t="shared" si="333"/>
        <v>#N/A</v>
      </c>
      <c r="R74" s="9" t="e">
        <f t="shared" si="333"/>
        <v>#N/A</v>
      </c>
    </row>
    <row xmlns:x14ac="http://schemas.microsoft.com/office/spreadsheetml/2009/9/ac" r="75" ht="32.4" customHeight="true" x14ac:dyDescent="0.3">
      <c r="A75" s="22" t="s">
        <v>36</v>
      </c>
      <c r="B75" s="19"/>
      <c r="C75" s="19"/>
      <c r="D75" s="6" t="e">
        <f>_xlfn.RANK.EQ(D74,$D74:$R74,1)</f>
        <v>#N/A</v>
      </c>
      <c r="E75" s="6" t="e">
        <f t="shared" ref="E75:R75" si="334">_xlfn.RANK.EQ(E74,$D74:$R74,1)</f>
        <v>#N/A</v>
      </c>
      <c r="F75" s="6" t="e">
        <f t="shared" si="334"/>
        <v>#N/A</v>
      </c>
      <c r="G75" s="6" t="e">
        <f t="shared" si="334"/>
        <v>#N/A</v>
      </c>
      <c r="H75" s="6" t="e">
        <f t="shared" si="334"/>
        <v>#N/A</v>
      </c>
      <c r="I75" s="6" t="e">
        <f t="shared" si="334"/>
        <v>#N/A</v>
      </c>
      <c r="J75" s="6" t="e">
        <f t="shared" si="334"/>
        <v>#N/A</v>
      </c>
      <c r="K75" s="6" t="e">
        <f t="shared" si="334"/>
        <v>#N/A</v>
      </c>
      <c r="L75" s="6" t="e">
        <f t="shared" si="334"/>
        <v>#N/A</v>
      </c>
      <c r="M75" s="6" t="e">
        <f t="shared" si="334"/>
        <v>#N/A</v>
      </c>
      <c r="N75" s="6" t="e">
        <f t="shared" si="334"/>
        <v>#N/A</v>
      </c>
      <c r="O75" s="6" t="e">
        <f t="shared" si="334"/>
        <v>#N/A</v>
      </c>
      <c r="P75" s="6" t="e">
        <f t="shared" si="334"/>
        <v>#N/A</v>
      </c>
      <c r="Q75" s="6" t="e">
        <f t="shared" si="334"/>
        <v>#N/A</v>
      </c>
      <c r="R75" s="6" t="e">
        <f t="shared" si="334"/>
        <v>#N/A</v>
      </c>
    </row>
  </sheetData>
  <mergeCells count="8">
    <mergeCell ref="A1:R1"/>
    <mergeCell ref="A74:C74"/>
    <mergeCell ref="A75:C75"/>
    <mergeCell ref="A73:C73"/>
    <mergeCell ref="A3:A23"/>
    <mergeCell ref="A24:A50"/>
    <mergeCell ref="A51:A71"/>
    <mergeCell ref="A72:C72"/>
  </mergeCells>
  <phoneticPr fontId="3" type="noConversion"/>
  <conditionalFormatting sqref="D3:R3">
    <cfRule type="top10" dxfId="26" priority="31" bottom="true" rank="1"/>
  </conditionalFormatting>
  <conditionalFormatting sqref="D6:R6">
    <cfRule type="top10" dxfId="25" priority="32" bottom="true" rank="1"/>
  </conditionalFormatting>
  <conditionalFormatting sqref="D9:R9">
    <cfRule type="top10" dxfId="24" priority="33" bottom="true" rank="1"/>
  </conditionalFormatting>
  <conditionalFormatting sqref="D12:R12">
    <cfRule type="top10" dxfId="23" priority="34" bottom="true" rank="1"/>
  </conditionalFormatting>
  <conditionalFormatting sqref="D15:R15">
    <cfRule type="top10" dxfId="22" priority="35" bottom="true" rank="1"/>
  </conditionalFormatting>
  <conditionalFormatting sqref="D18:R18">
    <cfRule type="top10" dxfId="21" priority="36" bottom="true" rank="1"/>
  </conditionalFormatting>
  <conditionalFormatting sqref="D21:R21">
    <cfRule type="top10" dxfId="20" priority="37" bottom="true" rank="1"/>
  </conditionalFormatting>
  <conditionalFormatting sqref="D24:R24">
    <cfRule type="top10" dxfId="19" priority="38" bottom="true" rank="1"/>
  </conditionalFormatting>
  <conditionalFormatting sqref="D27:R27">
    <cfRule type="top10" dxfId="18" priority="39" bottom="true" rank="1"/>
  </conditionalFormatting>
  <conditionalFormatting sqref="D30:R30">
    <cfRule type="top10" dxfId="17" priority="40" bottom="true" rank="1"/>
  </conditionalFormatting>
  <conditionalFormatting sqref="D33:R33">
    <cfRule type="top10" dxfId="16" priority="41" bottom="true" rank="1"/>
  </conditionalFormatting>
  <conditionalFormatting sqref="D36:R36">
    <cfRule type="top10" dxfId="15" priority="42" bottom="true" rank="1"/>
  </conditionalFormatting>
  <conditionalFormatting sqref="D39:R39">
    <cfRule type="top10" dxfId="14" priority="43" bottom="true" rank="1"/>
  </conditionalFormatting>
  <conditionalFormatting sqref="D42:R42">
    <cfRule type="top10" dxfId="13" priority="44" bottom="true" rank="1"/>
  </conditionalFormatting>
  <conditionalFormatting sqref="D45:R45">
    <cfRule type="top10" dxfId="12" priority="45" bottom="true" rank="1"/>
  </conditionalFormatting>
  <conditionalFormatting sqref="D48:R48">
    <cfRule type="top10" dxfId="11" priority="46" bottom="true" rank="1"/>
  </conditionalFormatting>
  <conditionalFormatting sqref="D51:R51">
    <cfRule type="top10" dxfId="10" priority="47" bottom="true" rank="1"/>
  </conditionalFormatting>
  <conditionalFormatting sqref="D54:R54">
    <cfRule type="top10" dxfId="9" priority="48" bottom="true" rank="1"/>
  </conditionalFormatting>
  <conditionalFormatting sqref="D57:R57">
    <cfRule type="top10" dxfId="8" priority="49" bottom="true" rank="1"/>
  </conditionalFormatting>
  <conditionalFormatting sqref="D60:R60">
    <cfRule type="top10" dxfId="7" priority="50" bottom="true" rank="1"/>
  </conditionalFormatting>
  <conditionalFormatting sqref="D63:R63">
    <cfRule type="top10" dxfId="6" priority="51" bottom="true" rank="1"/>
  </conditionalFormatting>
  <conditionalFormatting sqref="D66:R66">
    <cfRule type="top10" dxfId="5" priority="52" bottom="true" rank="1"/>
  </conditionalFormatting>
  <conditionalFormatting sqref="D69:R69">
    <cfRule type="top10" dxfId="4" priority="53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C11" sqref="C11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3" max="3" width="15.44140625" style="8" bestFit="true" customWidth="true"/>
    <col min="4" max="4" width="14.33203125" style="8" bestFit="true" customWidth="true"/>
    <col min="5" max="5" width="13.44140625" style="8" bestFit="true" customWidth="true"/>
    <col min="6" max="6" width="16.046875" style="8" bestFit="true" customWidth="true"/>
    <col min="7" max="7" width="12.6015625" style="8" bestFit="true" customWidth="true"/>
    <col min="9" max="9" width="11.6015625" style="8" bestFit="true" customWidth="true"/>
    <col min="10" max="10" width="15.37890625" style="8" bestFit="true" customWidth="true"/>
    <col min="14" max="15" width="8.88671875" style="8"/>
    <col min="8" max="8" width="11.48828125" style="8" bestFit="true" customWidth="true"/>
    <col min="11" max="11" width="14.93359375" style="8" bestFit="true" customWidth="true"/>
    <col min="12" max="13" width="8.21875" style="8" bestFit="true" customWidth="true"/>
  </cols>
  <sheetData>
    <row xmlns:x14ac="http://schemas.microsoft.com/office/spreadsheetml/2009/9/ac" r="1" ht="15" thickBot="true" x14ac:dyDescent="0.35">
      <c r="A1" s="26" t="s">
        <v>254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xmlns:x14ac="http://schemas.microsoft.com/office/spreadsheetml/2009/9/ac" r="2" x14ac:dyDescent="0.3">
      <c r="A2" s="6" t="s">
        <v>2641</v>
      </c>
      <c r="B2" s="6" t="s">
        <v>2677</v>
      </c>
      <c r="C2" s="6" t="s">
        <v>2678</v>
      </c>
      <c r="D2" s="6" t="s">
        <v>2679</v>
      </c>
      <c r="E2" s="6" t="s">
        <v>2680</v>
      </c>
      <c r="F2" s="6" t="s">
        <v>2553</v>
      </c>
      <c r="G2" s="6" t="s">
        <v>2043</v>
      </c>
      <c r="H2" s="6" t="s">
        <v>2044</v>
      </c>
      <c r="I2" s="6" t="s">
        <v>2045</v>
      </c>
      <c r="J2" s="6" t="s">
        <v>1775</v>
      </c>
      <c r="K2" s="6" t="s">
        <v>1227</v>
      </c>
      <c r="L2" s="6"/>
      <c r="M2" s="6"/>
      <c r="N2" s="6"/>
      <c r="O2" s="6"/>
    </row>
    <row xmlns:x14ac="http://schemas.microsoft.com/office/spreadsheetml/2009/9/ac" r="3" x14ac:dyDescent="0.3">
      <c r="A3" s="2" t="s">
        <v>2642</v>
      </c>
      <c r="B3" s="3"/>
      <c r="C3" s="3"/>
      <c r="D3" s="3"/>
      <c r="E3" s="3"/>
      <c r="F3" s="3">
        <v>1.4256941622796114e-17</v>
      </c>
      <c r="G3" s="3">
        <v>3.8187278080755609e-12</v>
      </c>
      <c r="H3" s="3">
        <v>0.11136856313055421</v>
      </c>
      <c r="I3" s="3">
        <v>4.0987457454282495e-13</v>
      </c>
      <c r="J3" s="3">
        <v>0.00010651648445993809</v>
      </c>
      <c r="K3" s="3"/>
      <c r="L3" s="3">
        <v>3.8264479402818397E-13</v>
      </c>
      <c r="M3" s="3">
        <v>2.2321863819308862E-14</v>
      </c>
      <c r="N3" s="3"/>
      <c r="O3" s="3"/>
    </row>
    <row xmlns:x14ac="http://schemas.microsoft.com/office/spreadsheetml/2009/9/ac" r="4" x14ac:dyDescent="0.3">
      <c r="A4" s="15" t="s">
        <v>2643</v>
      </c>
      <c r="B4" s="10"/>
      <c r="C4" s="10"/>
      <c r="D4" s="10"/>
      <c r="E4" s="10"/>
      <c r="F4" s="10">
        <v>2.6829715003468841e-22</v>
      </c>
      <c r="G4" s="10">
        <v>2.7460604564093647e-20</v>
      </c>
      <c r="H4" s="10">
        <v>0.064965630150349243</v>
      </c>
      <c r="I4" s="10">
        <v>5.5123444809576647e-21</v>
      </c>
      <c r="J4" s="10">
        <v>1.1011664777544967e-06</v>
      </c>
      <c r="K4" s="10"/>
      <c r="L4" s="10">
        <v>1.0748636654212881E-13</v>
      </c>
      <c r="M4" s="10">
        <v>6.6225509428500568E-23</v>
      </c>
      <c r="N4" s="10"/>
      <c r="O4" s="10"/>
    </row>
    <row xmlns:x14ac="http://schemas.microsoft.com/office/spreadsheetml/2009/9/ac" r="5" x14ac:dyDescent="0.3">
      <c r="A5" s="15" t="s">
        <v>2644</v>
      </c>
      <c r="B5" s="10"/>
      <c r="C5" s="10"/>
      <c r="D5" s="10"/>
      <c r="E5" s="10"/>
      <c r="F5" s="10">
        <v>4.4368808115404916e-22</v>
      </c>
      <c r="G5" s="10">
        <v>1.0595171415135702e-18</v>
      </c>
      <c r="H5" s="10">
        <v>7.3251246499250172e-11</v>
      </c>
      <c r="I5" s="10">
        <v>1.5322497046117383e-21</v>
      </c>
      <c r="J5" s="10">
        <v>0.13060190541882188</v>
      </c>
      <c r="K5" s="10"/>
      <c r="L5" s="10">
        <v>1.1732850999819481E-4</v>
      </c>
      <c r="M5" s="10">
        <v>3.028498046686335E-20</v>
      </c>
      <c r="N5" s="10"/>
      <c r="O5" s="10"/>
    </row>
    <row xmlns:x14ac="http://schemas.microsoft.com/office/spreadsheetml/2009/9/ac" r="6" x14ac:dyDescent="0.3">
      <c r="A6" s="15" t="s">
        <v>2645</v>
      </c>
      <c r="B6" s="10"/>
      <c r="C6" s="10"/>
      <c r="D6" s="10"/>
      <c r="E6" s="10"/>
      <c r="F6" s="10">
        <v>1.4337763903498291e-24</v>
      </c>
      <c r="G6" s="10">
        <v>2.0797212406517172e-16</v>
      </c>
      <c r="H6" s="10">
        <v>5.507703030211404e-18</v>
      </c>
      <c r="I6" s="10">
        <v>9.1915066244048395e-28</v>
      </c>
      <c r="J6" s="10">
        <v>1.2715157759692896e-06</v>
      </c>
      <c r="K6" s="10"/>
      <c r="L6" s="10">
        <v>6.4198001872907253E-10</v>
      </c>
      <c r="M6" s="10">
        <v>9.5698371311144665E-18</v>
      </c>
      <c r="N6" s="10"/>
      <c r="O6" s="10"/>
    </row>
    <row xmlns:x14ac="http://schemas.microsoft.com/office/spreadsheetml/2009/9/ac" r="7" x14ac:dyDescent="0.3">
      <c r="A7" s="15" t="s">
        <v>2646</v>
      </c>
      <c r="B7" s="10"/>
      <c r="C7" s="10"/>
      <c r="D7" s="10"/>
      <c r="E7" s="10"/>
      <c r="F7" s="10">
        <v>5.5231050768907215e-09</v>
      </c>
      <c r="G7" s="10">
        <v>0.0035151802130663841</v>
      </c>
      <c r="H7" s="10">
        <v>0.030959916517809143</v>
      </c>
      <c r="I7" s="10">
        <v>5.2528753084293479e-12</v>
      </c>
      <c r="J7" s="10">
        <v>8.2797760500153412e-19</v>
      </c>
      <c r="K7" s="10"/>
      <c r="L7" s="10">
        <v>2.7460461783619766E-6</v>
      </c>
      <c r="M7" s="10">
        <v>4.693661714874714E-13</v>
      </c>
      <c r="N7" s="10"/>
      <c r="O7" s="10"/>
    </row>
    <row xmlns:x14ac="http://schemas.microsoft.com/office/spreadsheetml/2009/9/ac" r="8" x14ac:dyDescent="0.3">
      <c r="A8" s="15" t="s">
        <v>2647</v>
      </c>
      <c r="B8" s="10"/>
      <c r="C8" s="10"/>
      <c r="D8" s="10"/>
      <c r="E8" s="10"/>
      <c r="F8" s="10">
        <v>2.1109416024315957e-13</v>
      </c>
      <c r="G8" s="10">
        <v>0.7863484910528532</v>
      </c>
      <c r="H8" s="10">
        <v>0.008827757553121646</v>
      </c>
      <c r="I8" s="10">
        <v>1.4965441503950143e-15</v>
      </c>
      <c r="J8" s="10">
        <v>1.0657539225303453e-10</v>
      </c>
      <c r="K8" s="10"/>
      <c r="L8" s="10">
        <v>5.5530349832479257E-16</v>
      </c>
      <c r="M8" s="10">
        <v>1.3050561311600928E-15</v>
      </c>
      <c r="N8" s="10"/>
      <c r="O8" s="10"/>
    </row>
    <row xmlns:x14ac="http://schemas.microsoft.com/office/spreadsheetml/2009/9/ac" r="9" x14ac:dyDescent="0.3">
      <c r="A9" s="15" t="s">
        <v>2648</v>
      </c>
      <c r="B9" s="10"/>
      <c r="C9" s="10"/>
      <c r="D9" s="10"/>
      <c r="E9" s="10"/>
      <c r="F9" s="10">
        <v>1.3660334367675683e-16</v>
      </c>
      <c r="G9" s="10">
        <v>1.2563343402050453e-21</v>
      </c>
      <c r="H9" s="10">
        <v>4.4704432989975088e-12</v>
      </c>
      <c r="I9" s="10">
        <v>1.4411806992008339e-14</v>
      </c>
      <c r="J9" s="10">
        <v>3.5188231391117417e-07</v>
      </c>
      <c r="K9" s="10"/>
      <c r="L9" s="10">
        <v>5.3752250431605216E-11</v>
      </c>
      <c r="M9" s="10">
        <v>4.5531425824738968E-3</v>
      </c>
      <c r="N9" s="10"/>
      <c r="O9" s="10"/>
    </row>
    <row xmlns:x14ac="http://schemas.microsoft.com/office/spreadsheetml/2009/9/ac" r="10" x14ac:dyDescent="0.3">
      <c r="A10" s="15" t="s">
        <v>2649</v>
      </c>
      <c r="B10" s="10"/>
      <c r="C10" s="10"/>
      <c r="D10" s="10"/>
      <c r="E10" s="10"/>
      <c r="F10" s="10">
        <v>2.0858209298395616e-19</v>
      </c>
      <c r="G10" s="10">
        <v>1.1698203203237976e-18</v>
      </c>
      <c r="H10" s="10">
        <v>3.1177139583856769e-19</v>
      </c>
      <c r="I10" s="10">
        <v>4.0420525034492601e-32</v>
      </c>
      <c r="J10" s="10">
        <v>1.8029120937120977e-14</v>
      </c>
      <c r="K10" s="10"/>
      <c r="L10" s="10">
        <v>6.3757727813626217E-22</v>
      </c>
      <c r="M10" s="10">
        <v>5.819473453857206E-26</v>
      </c>
      <c r="N10" s="10"/>
      <c r="O10" s="10"/>
    </row>
    <row xmlns:x14ac="http://schemas.microsoft.com/office/spreadsheetml/2009/9/ac" r="11" x14ac:dyDescent="0.3">
      <c r="A11" s="15" t="s">
        <v>2650</v>
      </c>
      <c r="B11" s="10"/>
      <c r="C11" s="10"/>
      <c r="D11" s="10"/>
      <c r="E11" s="10"/>
      <c r="F11" s="10">
        <v>5.0257218783553243e-26</v>
      </c>
      <c r="G11" s="10">
        <v>1.0926192663460855e-18</v>
      </c>
      <c r="H11" s="10">
        <v>2.0383391929291515e-21</v>
      </c>
      <c r="I11" s="10">
        <v>1.1094276653713725e-22</v>
      </c>
      <c r="J11" s="10">
        <v>5.7609186058722549e-07</v>
      </c>
      <c r="K11" s="10"/>
      <c r="L11" s="10">
        <v>5.8920188669279124E-17</v>
      </c>
      <c r="M11" s="10">
        <v>4.9266646959743689E-14</v>
      </c>
      <c r="N11" s="10"/>
      <c r="O11" s="10"/>
    </row>
    <row xmlns:x14ac="http://schemas.microsoft.com/office/spreadsheetml/2009/9/ac" r="12" x14ac:dyDescent="0.3">
      <c r="A12" s="15" t="s">
        <v>2651</v>
      </c>
      <c r="B12" s="10"/>
      <c r="C12" s="10"/>
      <c r="D12" s="10"/>
      <c r="E12" s="10"/>
      <c r="F12" s="10">
        <v>4.2672749914532793e-31</v>
      </c>
      <c r="G12" s="10">
        <v>0.11497505521168272</v>
      </c>
      <c r="H12" s="10">
        <v>1.9102528660073205e-10</v>
      </c>
      <c r="I12" s="10">
        <v>1.8658087427575659e-31</v>
      </c>
      <c r="J12" s="10">
        <v>3.2285233614518919e-29</v>
      </c>
      <c r="K12" s="10"/>
      <c r="L12" s="10">
        <v>5.9513524246952587E-10</v>
      </c>
      <c r="M12" s="10">
        <v>0.92610178802861975</v>
      </c>
      <c r="N12" s="10"/>
      <c r="O12" s="10"/>
    </row>
    <row xmlns:x14ac="http://schemas.microsoft.com/office/spreadsheetml/2009/9/ac" r="13" x14ac:dyDescent="0.3">
      <c r="A13" s="15" t="s">
        <v>2652</v>
      </c>
      <c r="B13" s="10"/>
      <c r="C13" s="10"/>
      <c r="D13" s="10"/>
      <c r="E13" s="10"/>
      <c r="F13" s="10">
        <v>2.6481867622644171e-26</v>
      </c>
      <c r="G13" s="10">
        <v>0.017920720840074181</v>
      </c>
      <c r="H13" s="10">
        <v>0.017630549210544272</v>
      </c>
      <c r="I13" s="10">
        <v>0.020452562717363901</v>
      </c>
      <c r="J13" s="10">
        <v>0.0013293893069816121</v>
      </c>
      <c r="K13" s="10"/>
      <c r="L13" s="10">
        <v>1.971557785329813E-6</v>
      </c>
      <c r="M13" s="10">
        <v>7.3390380461186918E-24</v>
      </c>
      <c r="N13" s="10"/>
      <c r="O13" s="10"/>
    </row>
    <row xmlns:x14ac="http://schemas.microsoft.com/office/spreadsheetml/2009/9/ac" r="14" x14ac:dyDescent="0.3">
      <c r="A14" s="15" t="s">
        <v>2653</v>
      </c>
      <c r="B14" s="10"/>
      <c r="C14" s="10"/>
      <c r="D14" s="10"/>
      <c r="E14" s="10"/>
      <c r="F14" s="10">
        <v>5.2049127775126047e-15</v>
      </c>
      <c r="G14" s="10">
        <v>0.00032692650902651322</v>
      </c>
      <c r="H14" s="10">
        <v>0.060313986708052957</v>
      </c>
      <c r="I14" s="10">
        <v>5.0701415426920339e-13</v>
      </c>
      <c r="J14" s="10">
        <v>6.5915446171781347e-12</v>
      </c>
      <c r="K14" s="10"/>
      <c r="L14" s="10">
        <v>0.61739964322248075</v>
      </c>
      <c r="M14" s="10">
        <v>2.035185684059873E-14</v>
      </c>
      <c r="N14" s="10"/>
      <c r="O14" s="10"/>
    </row>
    <row xmlns:x14ac="http://schemas.microsoft.com/office/spreadsheetml/2009/9/ac" r="15" x14ac:dyDescent="0.3">
      <c r="A15" s="15" t="s">
        <v>2654</v>
      </c>
      <c r="B15" s="10"/>
      <c r="C15" s="10"/>
      <c r="D15" s="10"/>
      <c r="E15" s="10"/>
      <c r="F15" s="10">
        <v>1.6492140081923838e-05</v>
      </c>
      <c r="G15" s="10">
        <v>2.5883449154951783e-05</v>
      </c>
      <c r="H15" s="10">
        <v>0.016740922491917849</v>
      </c>
      <c r="I15" s="10">
        <v>8.1356385035213698e-14</v>
      </c>
      <c r="J15" s="10">
        <v>3.8681447874309165e-16</v>
      </c>
      <c r="K15" s="10"/>
      <c r="L15" s="10">
        <v>0.10210801695016725</v>
      </c>
      <c r="M15" s="10">
        <v>5.2503763215641853E-17</v>
      </c>
      <c r="N15" s="10"/>
      <c r="O15" s="10"/>
    </row>
    <row xmlns:x14ac="http://schemas.microsoft.com/office/spreadsheetml/2009/9/ac" r="16" x14ac:dyDescent="0.3">
      <c r="A16" s="15" t="s">
        <v>2655</v>
      </c>
      <c r="B16" s="10"/>
      <c r="C16" s="10"/>
      <c r="D16" s="10"/>
      <c r="E16" s="10"/>
      <c r="F16" s="10">
        <v>0.0069722585926779244</v>
      </c>
      <c r="G16" s="10">
        <v>0.35847733629372669</v>
      </c>
      <c r="H16" s="10">
        <v>4.0716957588108573e-14</v>
      </c>
      <c r="I16" s="10">
        <v>1.0644069978286033e-13</v>
      </c>
      <c r="J16" s="10">
        <v>0.00074953985800498642</v>
      </c>
      <c r="K16" s="10"/>
      <c r="L16" s="10">
        <v>5.6457671851629671E-2</v>
      </c>
      <c r="M16" s="10">
        <v>6.8122387826736293E-6</v>
      </c>
      <c r="N16" s="10"/>
      <c r="O16" s="10"/>
    </row>
    <row xmlns:x14ac="http://schemas.microsoft.com/office/spreadsheetml/2009/9/ac" r="17" x14ac:dyDescent="0.3">
      <c r="A17" s="15" t="s">
        <v>2656</v>
      </c>
      <c r="B17" s="10"/>
      <c r="C17" s="10"/>
      <c r="D17" s="10"/>
      <c r="E17" s="10"/>
      <c r="F17" s="10">
        <v>0.00035174270144046099</v>
      </c>
      <c r="G17" s="10">
        <v>0.069770936778289702</v>
      </c>
      <c r="H17" s="10">
        <v>0.27105646701985175</v>
      </c>
      <c r="I17" s="10">
        <v>1.8879944845595528e-05</v>
      </c>
      <c r="J17" s="10">
        <v>0.30407871984258295</v>
      </c>
      <c r="K17" s="10"/>
      <c r="L17" s="10">
        <v>1.6617578188759748E-2</v>
      </c>
      <c r="M17" s="10">
        <v>6.3224349331249296E-4</v>
      </c>
      <c r="N17" s="10"/>
      <c r="O17" s="10"/>
    </row>
    <row xmlns:x14ac="http://schemas.microsoft.com/office/spreadsheetml/2009/9/ac" r="18" x14ac:dyDescent="0.3">
      <c r="A18" s="15" t="s">
        <v>2657</v>
      </c>
      <c r="B18" s="10"/>
      <c r="C18" s="10"/>
      <c r="D18" s="10"/>
      <c r="E18" s="10"/>
      <c r="F18" s="10">
        <v>6.0690557748326436e-05</v>
      </c>
      <c r="G18" s="10">
        <v>0.0028929498953066202</v>
      </c>
      <c r="H18" s="10">
        <v>0.0028928632968892773</v>
      </c>
      <c r="I18" s="10">
        <v>0.0063214307340703629</v>
      </c>
      <c r="J18" s="10">
        <v>0.00033942601202249854</v>
      </c>
      <c r="K18" s="10"/>
      <c r="L18" s="10">
        <v>1.1367432314719659E-4</v>
      </c>
      <c r="M18" s="10">
        <v>1.5498183777184291E-3</v>
      </c>
      <c r="N18" s="10"/>
      <c r="O18" s="10"/>
    </row>
    <row xmlns:x14ac="http://schemas.microsoft.com/office/spreadsheetml/2009/9/ac" r="19" x14ac:dyDescent="0.3">
      <c r="A19" s="15" t="s">
        <v>2658</v>
      </c>
      <c r="B19" s="10"/>
      <c r="C19" s="10"/>
      <c r="D19" s="10"/>
      <c r="E19" s="10"/>
      <c r="F19" s="10">
        <v>0.00099917591447626786</v>
      </c>
      <c r="G19" s="10">
        <v>0.016982707161656344</v>
      </c>
      <c r="H19" s="10">
        <v>0.016982666426531446</v>
      </c>
      <c r="I19" s="10">
        <v>0.01842463320805425</v>
      </c>
      <c r="J19" s="10">
        <v>0.00045251686522799079</v>
      </c>
      <c r="K19" s="10"/>
      <c r="L19" s="10">
        <v>9.5798968127560026E-6</v>
      </c>
      <c r="M19" s="10">
        <v>1.3891909657515985E-2</v>
      </c>
      <c r="N19" s="10"/>
      <c r="O19" s="10"/>
    </row>
    <row xmlns:x14ac="http://schemas.microsoft.com/office/spreadsheetml/2009/9/ac" r="20" x14ac:dyDescent="0.3">
      <c r="A20" s="15" t="s">
        <v>2659</v>
      </c>
      <c r="B20" s="10"/>
      <c r="C20" s="10"/>
      <c r="D20" s="10"/>
      <c r="E20" s="10"/>
      <c r="F20" s="10">
        <v>0.0037343804528330265</v>
      </c>
      <c r="G20" s="10">
        <v>4.0223460208683992e-07</v>
      </c>
      <c r="H20" s="10">
        <v>4.0221875022369624e-07</v>
      </c>
      <c r="I20" s="10">
        <v>0.17607763556197153</v>
      </c>
      <c r="J20" s="10">
        <v>8.7412548560152187e-05</v>
      </c>
      <c r="K20" s="10"/>
      <c r="L20" s="10">
        <v>0.3254001311250232</v>
      </c>
      <c r="M20" s="10">
        <v>7.1598882754675009E-3</v>
      </c>
      <c r="N20" s="10"/>
      <c r="O20" s="10"/>
    </row>
    <row xmlns:x14ac="http://schemas.microsoft.com/office/spreadsheetml/2009/9/ac" r="21" x14ac:dyDescent="0.3">
      <c r="A21" s="15" t="s">
        <v>2660</v>
      </c>
      <c r="B21" s="10"/>
      <c r="C21" s="10"/>
      <c r="D21" s="10"/>
      <c r="E21" s="10"/>
      <c r="F21" s="10">
        <v>9.8744977580163116e-05</v>
      </c>
      <c r="G21" s="10">
        <v>6.8543552502172554e-25</v>
      </c>
      <c r="H21" s="10">
        <v>3.2836048577325713e-25</v>
      </c>
      <c r="I21" s="10">
        <v>8.010962555959863e-25</v>
      </c>
      <c r="J21" s="10">
        <v>0.011414576446204574</v>
      </c>
      <c r="K21" s="10"/>
      <c r="L21" s="10">
        <v>2.351850912203635E-2</v>
      </c>
      <c r="M21" s="10">
        <v>2.5865856164664525E-5</v>
      </c>
      <c r="N21" s="10"/>
      <c r="O21" s="10"/>
    </row>
    <row xmlns:x14ac="http://schemas.microsoft.com/office/spreadsheetml/2009/9/ac" r="22" x14ac:dyDescent="0.3">
      <c r="A22" s="15" t="s">
        <v>2661</v>
      </c>
      <c r="B22" s="10"/>
      <c r="C22" s="10"/>
      <c r="D22" s="10"/>
      <c r="E22" s="10"/>
      <c r="F22" s="10">
        <v>0.56019885644244471</v>
      </c>
      <c r="G22" s="10">
        <v>1.068309564806442e-23</v>
      </c>
      <c r="H22" s="10">
        <v>5.6509729849709752e-24</v>
      </c>
      <c r="I22" s="10">
        <v>2.7505617336213587e-23</v>
      </c>
      <c r="J22" s="10">
        <v>0.26132406267715436</v>
      </c>
      <c r="K22" s="10"/>
      <c r="L22" s="10">
        <v>0.91307445371253348</v>
      </c>
      <c r="M22" s="10">
        <v>0.43163088894978585</v>
      </c>
      <c r="N22" s="10"/>
      <c r="O22" s="10"/>
    </row>
    <row xmlns:x14ac="http://schemas.microsoft.com/office/spreadsheetml/2009/9/ac" r="23" x14ac:dyDescent="0.3">
      <c r="A23" s="15" t="s">
        <v>2662</v>
      </c>
      <c r="B23" s="10"/>
      <c r="C23" s="10"/>
      <c r="D23" s="10"/>
      <c r="E23" s="10"/>
      <c r="F23" s="10">
        <v>1.0664688405361968e-10</v>
      </c>
      <c r="G23" s="10">
        <v>0.88173417244643448</v>
      </c>
      <c r="H23" s="10">
        <v>1.35349491406723e-05</v>
      </c>
      <c r="I23" s="10">
        <v>0.010874363094944004</v>
      </c>
      <c r="J23" s="10">
        <v>3.0995856865296259e-06</v>
      </c>
      <c r="K23" s="10"/>
      <c r="L23" s="10">
        <v>3.6467187877636952E-3</v>
      </c>
      <c r="M23" s="10">
        <v>4.4319107056375032E-4</v>
      </c>
      <c r="N23" s="10"/>
      <c r="O23" s="10"/>
    </row>
    <row xmlns:x14ac="http://schemas.microsoft.com/office/spreadsheetml/2009/9/ac" r="24" x14ac:dyDescent="0.3">
      <c r="A24" s="15" t="s">
        <v>2663</v>
      </c>
      <c r="B24" s="10"/>
      <c r="C24" s="10"/>
      <c r="D24" s="10"/>
      <c r="E24" s="10"/>
      <c r="F24" s="10">
        <v>3.3395318562080374e-07</v>
      </c>
      <c r="G24" s="10">
        <v>0.89737764011440202</v>
      </c>
      <c r="H24" s="10">
        <v>4.0178326619634775e-10</v>
      </c>
      <c r="I24" s="10">
        <v>0.030881641461798542</v>
      </c>
      <c r="J24" s="10">
        <v>0.00030614760475130149</v>
      </c>
      <c r="K24" s="10"/>
      <c r="L24" s="10">
        <v>3.9495990239874846E-4</v>
      </c>
      <c r="M24" s="10">
        <v>3.9913727682938469E-3</v>
      </c>
      <c r="N24" s="10"/>
      <c r="O24" s="10"/>
    </row>
    <row xmlns:x14ac="http://schemas.microsoft.com/office/spreadsheetml/2009/9/ac" r="25" x14ac:dyDescent="0.3">
      <c r="A25" s="6" t="s">
        <v>2664</v>
      </c>
      <c r="B25" s="14"/>
      <c r="C25" s="14"/>
      <c r="D25" s="14"/>
      <c r="E25" s="14"/>
      <c r="F25" s="14">
        <v>3.3105454116656518e-08</v>
      </c>
      <c r="G25" s="14">
        <v>0.35484426793184942</v>
      </c>
      <c r="H25" s="14">
        <v>4.1247298468266794e-12</v>
      </c>
      <c r="I25" s="14">
        <v>0.33104670121689228</v>
      </c>
      <c r="J25" s="14">
        <v>0.00141907509311019</v>
      </c>
      <c r="K25" s="14"/>
      <c r="L25" s="14">
        <v>4.2272416973104519E-6</v>
      </c>
      <c r="M25" s="14">
        <v>0.20662454125896235</v>
      </c>
      <c r="N25" s="14"/>
      <c r="O25" s="14"/>
    </row>
  </sheetData>
  <mergeCells count="1">
    <mergeCell ref="A1:O1"/>
  </mergeCells>
  <conditionalFormatting sqref="B3:O25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activeCell="R11" sqref="R11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3" max="3" width="15.44140625" style="8" bestFit="true" customWidth="true"/>
    <col min="4" max="4" width="14.33203125" style="8" bestFit="true" customWidth="true"/>
    <col min="5" max="5" width="13.44140625" style="8" bestFit="true" customWidth="true"/>
    <col min="6" max="6" width="16.046875" style="8" bestFit="true" customWidth="true"/>
    <col min="7" max="7" width="12.6015625" style="8" bestFit="true" customWidth="true"/>
    <col min="9" max="9" width="11.6015625" style="8" bestFit="true" customWidth="true"/>
    <col min="10" max="10" width="15.37890625" style="8" bestFit="true" customWidth="true"/>
    <col min="14" max="16384" width="8.88671875" style="8"/>
    <col min="8" max="8" width="11.48828125" style="8" bestFit="true" customWidth="true"/>
    <col min="11" max="11" width="14.93359375" style="8" bestFit="true" customWidth="true"/>
    <col min="12" max="13" width="2" style="8" bestFit="true" customWidth="true"/>
  </cols>
  <sheetData>
    <row xmlns:x14ac="http://schemas.microsoft.com/office/spreadsheetml/2009/9/ac" r="1" ht="15" thickBot="true" x14ac:dyDescent="0.35">
      <c r="A1" s="26" t="s">
        <v>255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xmlns:x14ac="http://schemas.microsoft.com/office/spreadsheetml/2009/9/ac" r="2" x14ac:dyDescent="0.3">
      <c r="A2" s="6" t="s">
        <v>2641</v>
      </c>
      <c r="B2" s="6" t="s">
        <v>2677</v>
      </c>
      <c r="C2" s="6" t="s">
        <v>2678</v>
      </c>
      <c r="D2" s="6" t="s">
        <v>2679</v>
      </c>
      <c r="E2" s="6" t="s">
        <v>2680</v>
      </c>
      <c r="F2" s="6" t="s">
        <v>2582</v>
      </c>
      <c r="G2" s="6" t="s">
        <v>2075</v>
      </c>
      <c r="H2" s="6" t="s">
        <v>2076</v>
      </c>
      <c r="I2" s="6" t="s">
        <v>2077</v>
      </c>
      <c r="J2" s="6" t="s">
        <v>1808</v>
      </c>
      <c r="K2" s="6" t="s">
        <v>1261</v>
      </c>
      <c r="L2" s="6"/>
      <c r="M2" s="6"/>
      <c r="N2" s="6"/>
      <c r="O2" s="6"/>
    </row>
    <row xmlns:x14ac="http://schemas.microsoft.com/office/spreadsheetml/2009/9/ac" r="3" x14ac:dyDescent="0.3">
      <c r="A3" s="2" t="s">
        <v>2642</v>
      </c>
      <c r="B3" s="27"/>
      <c r="C3" s="27"/>
      <c r="D3" s="27"/>
      <c r="E3" s="27"/>
      <c r="F3" s="27">
        <v>1</v>
      </c>
      <c r="G3" s="27">
        <v>1</v>
      </c>
      <c r="H3" s="27">
        <v>0</v>
      </c>
      <c r="I3" s="27">
        <v>1</v>
      </c>
      <c r="J3" s="27">
        <v>1</v>
      </c>
      <c r="K3" s="27"/>
      <c r="L3" s="27">
        <v>1</v>
      </c>
      <c r="M3" s="27">
        <v>1</v>
      </c>
      <c r="N3" s="27"/>
      <c r="O3" s="27"/>
    </row>
    <row xmlns:x14ac="http://schemas.microsoft.com/office/spreadsheetml/2009/9/ac" r="4" x14ac:dyDescent="0.3">
      <c r="A4" s="15" t="s">
        <v>2643</v>
      </c>
      <c r="B4" s="28"/>
      <c r="C4" s="28"/>
      <c r="D4" s="28"/>
      <c r="E4" s="28"/>
      <c r="F4" s="28">
        <v>1</v>
      </c>
      <c r="G4" s="28">
        <v>1</v>
      </c>
      <c r="H4" s="28">
        <v>0</v>
      </c>
      <c r="I4" s="28">
        <v>1</v>
      </c>
      <c r="J4" s="28">
        <v>1</v>
      </c>
      <c r="K4" s="28"/>
      <c r="L4" s="28">
        <v>1</v>
      </c>
      <c r="M4" s="28">
        <v>1</v>
      </c>
      <c r="N4" s="28"/>
      <c r="O4" s="28"/>
    </row>
    <row xmlns:x14ac="http://schemas.microsoft.com/office/spreadsheetml/2009/9/ac" r="5" x14ac:dyDescent="0.3">
      <c r="A5" s="15" t="s">
        <v>2644</v>
      </c>
      <c r="B5" s="28"/>
      <c r="C5" s="28"/>
      <c r="D5" s="28"/>
      <c r="E5" s="28"/>
      <c r="F5" s="28">
        <v>1</v>
      </c>
      <c r="G5" s="28">
        <v>1</v>
      </c>
      <c r="H5" s="28">
        <v>1</v>
      </c>
      <c r="I5" s="28">
        <v>1</v>
      </c>
      <c r="J5" s="28">
        <v>0</v>
      </c>
      <c r="K5" s="28"/>
      <c r="L5" s="28">
        <v>1</v>
      </c>
      <c r="M5" s="28">
        <v>1</v>
      </c>
      <c r="N5" s="28"/>
      <c r="O5" s="28"/>
    </row>
    <row xmlns:x14ac="http://schemas.microsoft.com/office/spreadsheetml/2009/9/ac" r="6" x14ac:dyDescent="0.3">
      <c r="A6" s="15" t="s">
        <v>2645</v>
      </c>
      <c r="B6" s="28"/>
      <c r="C6" s="28"/>
      <c r="D6" s="28"/>
      <c r="E6" s="28"/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/>
      <c r="L6" s="28">
        <v>1</v>
      </c>
      <c r="M6" s="28">
        <v>1</v>
      </c>
      <c r="N6" s="28"/>
      <c r="O6" s="28"/>
    </row>
    <row xmlns:x14ac="http://schemas.microsoft.com/office/spreadsheetml/2009/9/ac" r="7" x14ac:dyDescent="0.3">
      <c r="A7" s="15" t="s">
        <v>2646</v>
      </c>
      <c r="B7" s="28"/>
      <c r="C7" s="28"/>
      <c r="D7" s="28"/>
      <c r="E7" s="28"/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/>
      <c r="L7" s="28">
        <v>1</v>
      </c>
      <c r="M7" s="28">
        <v>1</v>
      </c>
      <c r="N7" s="28"/>
      <c r="O7" s="28"/>
    </row>
    <row xmlns:x14ac="http://schemas.microsoft.com/office/spreadsheetml/2009/9/ac" r="8" x14ac:dyDescent="0.3">
      <c r="A8" s="15" t="s">
        <v>2647</v>
      </c>
      <c r="B8" s="28"/>
      <c r="C8" s="28"/>
      <c r="D8" s="28"/>
      <c r="E8" s="28"/>
      <c r="F8" s="28">
        <v>1</v>
      </c>
      <c r="G8" s="28">
        <v>0</v>
      </c>
      <c r="H8" s="28">
        <v>1</v>
      </c>
      <c r="I8" s="28">
        <v>1</v>
      </c>
      <c r="J8" s="28">
        <v>1</v>
      </c>
      <c r="K8" s="28"/>
      <c r="L8" s="28">
        <v>1</v>
      </c>
      <c r="M8" s="28">
        <v>1</v>
      </c>
      <c r="N8" s="28"/>
      <c r="O8" s="28"/>
    </row>
    <row xmlns:x14ac="http://schemas.microsoft.com/office/spreadsheetml/2009/9/ac" r="9" x14ac:dyDescent="0.3">
      <c r="A9" s="15" t="s">
        <v>2648</v>
      </c>
      <c r="B9" s="28"/>
      <c r="C9" s="28"/>
      <c r="D9" s="28"/>
      <c r="E9" s="28"/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/>
      <c r="L9" s="28">
        <v>1</v>
      </c>
      <c r="M9" s="28">
        <v>1</v>
      </c>
      <c r="N9" s="28"/>
      <c r="O9" s="28"/>
    </row>
    <row xmlns:x14ac="http://schemas.microsoft.com/office/spreadsheetml/2009/9/ac" r="10" x14ac:dyDescent="0.3">
      <c r="A10" s="15" t="s">
        <v>2649</v>
      </c>
      <c r="B10" s="28"/>
      <c r="C10" s="28"/>
      <c r="D10" s="28"/>
      <c r="E10" s="28"/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/>
      <c r="L10" s="28">
        <v>1</v>
      </c>
      <c r="M10" s="28">
        <v>1</v>
      </c>
      <c r="N10" s="28"/>
      <c r="O10" s="28"/>
    </row>
    <row xmlns:x14ac="http://schemas.microsoft.com/office/spreadsheetml/2009/9/ac" r="11" x14ac:dyDescent="0.3">
      <c r="A11" s="15" t="s">
        <v>2650</v>
      </c>
      <c r="B11" s="28"/>
      <c r="C11" s="28"/>
      <c r="D11" s="28"/>
      <c r="E11" s="28"/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/>
      <c r="L11" s="28">
        <v>1</v>
      </c>
      <c r="M11" s="28">
        <v>1</v>
      </c>
      <c r="N11" s="28"/>
      <c r="O11" s="28"/>
    </row>
    <row xmlns:x14ac="http://schemas.microsoft.com/office/spreadsheetml/2009/9/ac" r="12" x14ac:dyDescent="0.3">
      <c r="A12" s="15" t="s">
        <v>2651</v>
      </c>
      <c r="B12" s="28"/>
      <c r="C12" s="28"/>
      <c r="D12" s="28"/>
      <c r="E12" s="28"/>
      <c r="F12" s="28">
        <v>1</v>
      </c>
      <c r="G12" s="28">
        <v>0</v>
      </c>
      <c r="H12" s="28">
        <v>1</v>
      </c>
      <c r="I12" s="28">
        <v>1</v>
      </c>
      <c r="J12" s="28">
        <v>1</v>
      </c>
      <c r="K12" s="28"/>
      <c r="L12" s="28">
        <v>1</v>
      </c>
      <c r="M12" s="28">
        <v>0</v>
      </c>
      <c r="N12" s="28"/>
      <c r="O12" s="28"/>
    </row>
    <row xmlns:x14ac="http://schemas.microsoft.com/office/spreadsheetml/2009/9/ac" r="13" x14ac:dyDescent="0.3">
      <c r="A13" s="15" t="s">
        <v>2652</v>
      </c>
      <c r="B13" s="28"/>
      <c r="C13" s="28"/>
      <c r="D13" s="28"/>
      <c r="E13" s="28"/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/>
      <c r="L13" s="28">
        <v>1</v>
      </c>
      <c r="M13" s="28">
        <v>1</v>
      </c>
      <c r="N13" s="28"/>
      <c r="O13" s="28"/>
    </row>
    <row xmlns:x14ac="http://schemas.microsoft.com/office/spreadsheetml/2009/9/ac" r="14" x14ac:dyDescent="0.3">
      <c r="A14" s="15" t="s">
        <v>2653</v>
      </c>
      <c r="B14" s="28"/>
      <c r="C14" s="28"/>
      <c r="D14" s="28"/>
      <c r="E14" s="28"/>
      <c r="F14" s="28">
        <v>1</v>
      </c>
      <c r="G14" s="28">
        <v>1</v>
      </c>
      <c r="H14" s="28">
        <v>0</v>
      </c>
      <c r="I14" s="28">
        <v>1</v>
      </c>
      <c r="J14" s="28">
        <v>1</v>
      </c>
      <c r="K14" s="28"/>
      <c r="L14" s="28">
        <v>0</v>
      </c>
      <c r="M14" s="28">
        <v>1</v>
      </c>
      <c r="N14" s="28"/>
      <c r="O14" s="28"/>
    </row>
    <row xmlns:x14ac="http://schemas.microsoft.com/office/spreadsheetml/2009/9/ac" r="15" x14ac:dyDescent="0.3">
      <c r="A15" s="15" t="s">
        <v>2654</v>
      </c>
      <c r="B15" s="28"/>
      <c r="C15" s="28"/>
      <c r="D15" s="28"/>
      <c r="E15" s="28"/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/>
      <c r="L15" s="28">
        <v>0</v>
      </c>
      <c r="M15" s="28">
        <v>1</v>
      </c>
      <c r="N15" s="28"/>
      <c r="O15" s="28"/>
    </row>
    <row xmlns:x14ac="http://schemas.microsoft.com/office/spreadsheetml/2009/9/ac" r="16" x14ac:dyDescent="0.3">
      <c r="A16" s="15" t="s">
        <v>2655</v>
      </c>
      <c r="B16" s="28"/>
      <c r="C16" s="28"/>
      <c r="D16" s="28"/>
      <c r="E16" s="28"/>
      <c r="F16" s="28">
        <v>1</v>
      </c>
      <c r="G16" s="28">
        <v>0</v>
      </c>
      <c r="H16" s="28">
        <v>1</v>
      </c>
      <c r="I16" s="28">
        <v>1</v>
      </c>
      <c r="J16" s="28">
        <v>1</v>
      </c>
      <c r="K16" s="28"/>
      <c r="L16" s="28">
        <v>0</v>
      </c>
      <c r="M16" s="28">
        <v>1</v>
      </c>
      <c r="N16" s="28"/>
      <c r="O16" s="28"/>
    </row>
    <row xmlns:x14ac="http://schemas.microsoft.com/office/spreadsheetml/2009/9/ac" r="17" x14ac:dyDescent="0.3">
      <c r="A17" s="15" t="s">
        <v>2656</v>
      </c>
      <c r="B17" s="28"/>
      <c r="C17" s="28"/>
      <c r="D17" s="28"/>
      <c r="E17" s="28"/>
      <c r="F17" s="28">
        <v>1</v>
      </c>
      <c r="G17" s="28">
        <v>0</v>
      </c>
      <c r="H17" s="28">
        <v>0</v>
      </c>
      <c r="I17" s="28">
        <v>1</v>
      </c>
      <c r="J17" s="28">
        <v>0</v>
      </c>
      <c r="K17" s="28"/>
      <c r="L17" s="28">
        <v>1</v>
      </c>
      <c r="M17" s="28">
        <v>1</v>
      </c>
      <c r="N17" s="28"/>
      <c r="O17" s="28"/>
    </row>
    <row xmlns:x14ac="http://schemas.microsoft.com/office/spreadsheetml/2009/9/ac" r="18" x14ac:dyDescent="0.3">
      <c r="A18" s="15" t="s">
        <v>2657</v>
      </c>
      <c r="B18" s="28"/>
      <c r="C18" s="28"/>
      <c r="D18" s="28"/>
      <c r="E18" s="28"/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/>
      <c r="L18" s="28">
        <v>1</v>
      </c>
      <c r="M18" s="28">
        <v>1</v>
      </c>
      <c r="N18" s="28"/>
      <c r="O18" s="28"/>
    </row>
    <row xmlns:x14ac="http://schemas.microsoft.com/office/spreadsheetml/2009/9/ac" r="19" x14ac:dyDescent="0.3">
      <c r="A19" s="15" t="s">
        <v>2658</v>
      </c>
      <c r="B19" s="28"/>
      <c r="C19" s="28"/>
      <c r="D19" s="28"/>
      <c r="E19" s="28"/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/>
      <c r="L19" s="28">
        <v>1</v>
      </c>
      <c r="M19" s="28">
        <v>1</v>
      </c>
      <c r="N19" s="28"/>
      <c r="O19" s="28"/>
    </row>
    <row xmlns:x14ac="http://schemas.microsoft.com/office/spreadsheetml/2009/9/ac" r="20" x14ac:dyDescent="0.3">
      <c r="A20" s="15" t="s">
        <v>2659</v>
      </c>
      <c r="B20" s="28"/>
      <c r="C20" s="28"/>
      <c r="D20" s="28"/>
      <c r="E20" s="28"/>
      <c r="F20" s="28">
        <v>1</v>
      </c>
      <c r="G20" s="28">
        <v>1</v>
      </c>
      <c r="H20" s="28">
        <v>1</v>
      </c>
      <c r="I20" s="28">
        <v>0</v>
      </c>
      <c r="J20" s="28">
        <v>1</v>
      </c>
      <c r="K20" s="28"/>
      <c r="L20" s="28">
        <v>0</v>
      </c>
      <c r="M20" s="28">
        <v>1</v>
      </c>
      <c r="N20" s="28"/>
      <c r="O20" s="28"/>
    </row>
    <row xmlns:x14ac="http://schemas.microsoft.com/office/spreadsheetml/2009/9/ac" r="21" x14ac:dyDescent="0.3">
      <c r="A21" s="15" t="s">
        <v>2660</v>
      </c>
      <c r="B21" s="28"/>
      <c r="C21" s="28"/>
      <c r="D21" s="28"/>
      <c r="E21" s="28"/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/>
      <c r="L21" s="28">
        <v>1</v>
      </c>
      <c r="M21" s="28">
        <v>1</v>
      </c>
      <c r="N21" s="28"/>
      <c r="O21" s="28"/>
    </row>
    <row xmlns:x14ac="http://schemas.microsoft.com/office/spreadsheetml/2009/9/ac" r="22" x14ac:dyDescent="0.3">
      <c r="A22" s="15" t="s">
        <v>2661</v>
      </c>
      <c r="B22" s="28"/>
      <c r="C22" s="28"/>
      <c r="D22" s="28"/>
      <c r="E22" s="28"/>
      <c r="F22" s="28">
        <v>0</v>
      </c>
      <c r="G22" s="28">
        <v>1</v>
      </c>
      <c r="H22" s="28">
        <v>1</v>
      </c>
      <c r="I22" s="28">
        <v>1</v>
      </c>
      <c r="J22" s="28">
        <v>0</v>
      </c>
      <c r="K22" s="28"/>
      <c r="L22" s="28">
        <v>0</v>
      </c>
      <c r="M22" s="28">
        <v>0</v>
      </c>
      <c r="N22" s="28"/>
      <c r="O22" s="28"/>
    </row>
    <row xmlns:x14ac="http://schemas.microsoft.com/office/spreadsheetml/2009/9/ac" r="23" x14ac:dyDescent="0.3">
      <c r="A23" s="15" t="s">
        <v>2662</v>
      </c>
      <c r="B23" s="28"/>
      <c r="C23" s="28"/>
      <c r="D23" s="28"/>
      <c r="E23" s="28"/>
      <c r="F23" s="28">
        <v>1</v>
      </c>
      <c r="G23" s="28">
        <v>0</v>
      </c>
      <c r="H23" s="28">
        <v>1</v>
      </c>
      <c r="I23" s="28">
        <v>1</v>
      </c>
      <c r="J23" s="28">
        <v>1</v>
      </c>
      <c r="K23" s="28"/>
      <c r="L23" s="28">
        <v>1</v>
      </c>
      <c r="M23" s="28">
        <v>1</v>
      </c>
      <c r="N23" s="28"/>
      <c r="O23" s="28"/>
    </row>
    <row xmlns:x14ac="http://schemas.microsoft.com/office/spreadsheetml/2009/9/ac" r="24" x14ac:dyDescent="0.3">
      <c r="A24" s="15" t="s">
        <v>2663</v>
      </c>
      <c r="B24" s="28"/>
      <c r="C24" s="28"/>
      <c r="D24" s="28"/>
      <c r="E24" s="28"/>
      <c r="F24" s="28">
        <v>1</v>
      </c>
      <c r="G24" s="28">
        <v>0</v>
      </c>
      <c r="H24" s="28">
        <v>1</v>
      </c>
      <c r="I24" s="28">
        <v>1</v>
      </c>
      <c r="J24" s="28">
        <v>1</v>
      </c>
      <c r="K24" s="28"/>
      <c r="L24" s="28">
        <v>1</v>
      </c>
      <c r="M24" s="28">
        <v>1</v>
      </c>
      <c r="N24" s="28"/>
      <c r="O24" s="28"/>
    </row>
    <row xmlns:x14ac="http://schemas.microsoft.com/office/spreadsheetml/2009/9/ac" r="25" x14ac:dyDescent="0.3">
      <c r="A25" s="6" t="s">
        <v>2664</v>
      </c>
      <c r="B25" s="29"/>
      <c r="C25" s="29"/>
      <c r="D25" s="29"/>
      <c r="E25" s="29"/>
      <c r="F25" s="29">
        <v>1</v>
      </c>
      <c r="G25" s="29">
        <v>0</v>
      </c>
      <c r="H25" s="29">
        <v>1</v>
      </c>
      <c r="I25" s="29">
        <v>0</v>
      </c>
      <c r="J25" s="29">
        <v>1</v>
      </c>
      <c r="K25" s="29"/>
      <c r="L25" s="29">
        <v>1</v>
      </c>
      <c r="M25" s="29">
        <v>0</v>
      </c>
      <c r="N25" s="29"/>
      <c r="O25" s="29"/>
    </row>
  </sheetData>
  <mergeCells count="1">
    <mergeCell ref="A1:O1"/>
  </mergeCells>
  <conditionalFormatting sqref="B3:O25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K11" sqref="K11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3" max="3" width="15.44140625" bestFit="true" customWidth="true"/>
    <col min="4" max="4" width="14.33203125" bestFit="true" customWidth="true"/>
    <col min="5" max="5" width="13.44140625" bestFit="true" customWidth="true"/>
    <col min="6" max="6" width="16.046875" bestFit="true" customWidth="true"/>
    <col min="7" max="7" width="12.6015625" bestFit="true" customWidth="true"/>
    <col min="9" max="9" width="11.6015625" bestFit="true" customWidth="true"/>
    <col min="8" max="8" width="11.48828125" bestFit="true" customWidth="true"/>
    <col min="10" max="10" width="15.37890625" customWidth="true"/>
    <col min="11" max="11" width="14.93359375" customWidth="true"/>
  </cols>
  <sheetData>
    <row xmlns:x14ac="http://schemas.microsoft.com/office/spreadsheetml/2009/9/ac" r="1" ht="15" thickBot="true" x14ac:dyDescent="0.35">
      <c r="A1" s="26" t="s">
        <v>229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xmlns:x14ac="http://schemas.microsoft.com/office/spreadsheetml/2009/9/ac" r="2" x14ac:dyDescent="0.3">
      <c r="A2" s="11" t="s">
        <v>2641</v>
      </c>
      <c r="B2" s="11" t="s">
        <v>2677</v>
      </c>
      <c r="C2" s="11" t="s">
        <v>2678</v>
      </c>
      <c r="D2" s="11" t="s">
        <v>2679</v>
      </c>
      <c r="E2" s="11" t="s">
        <v>2680</v>
      </c>
      <c r="F2" s="11" t="s">
        <v>2611</v>
      </c>
      <c r="G2" s="11" t="s">
        <v>2107</v>
      </c>
      <c r="H2" s="11" t="s">
        <v>2108</v>
      </c>
      <c r="I2" s="11" t="s">
        <v>2109</v>
      </c>
      <c r="J2" s="11" t="s">
        <v>1841</v>
      </c>
      <c r="K2" s="11" t="s">
        <v>1295</v>
      </c>
      <c r="L2" s="11"/>
      <c r="M2" s="11"/>
      <c r="N2" s="11"/>
      <c r="O2" s="11"/>
    </row>
    <row xmlns:x14ac="http://schemas.microsoft.com/office/spreadsheetml/2009/9/ac" r="3" x14ac:dyDescent="0.3">
      <c r="A3" s="12" t="s">
        <v>2642</v>
      </c>
      <c r="B3" s="3">
        <v>1</v>
      </c>
      <c r="C3" s="3">
        <v>1</v>
      </c>
      <c r="D3" s="3">
        <v>1</v>
      </c>
      <c r="E3" s="3">
        <v>1</v>
      </c>
      <c r="F3" s="3">
        <v>1.7343976283205826e-06</v>
      </c>
      <c r="G3" s="3">
        <v>1.7343976283205826e-06</v>
      </c>
      <c r="H3" s="3">
        <v>1.7343976283205826e-06</v>
      </c>
      <c r="I3" s="3">
        <v>1.7343976283205826e-06</v>
      </c>
      <c r="J3" s="3">
        <v>1.7343976283205826e-06</v>
      </c>
      <c r="K3" s="3">
        <v>1</v>
      </c>
      <c r="L3" s="3"/>
      <c r="M3" s="3"/>
      <c r="N3" s="3"/>
      <c r="O3" s="3"/>
    </row>
    <row xmlns:x14ac="http://schemas.microsoft.com/office/spreadsheetml/2009/9/ac" r="4" x14ac:dyDescent="0.3">
      <c r="A4" s="13" t="s">
        <v>2643</v>
      </c>
      <c r="B4" s="10">
        <v>1</v>
      </c>
      <c r="C4" s="10">
        <v>1</v>
      </c>
      <c r="D4" s="10">
        <v>1</v>
      </c>
      <c r="E4" s="10">
        <v>1</v>
      </c>
      <c r="F4" s="10">
        <v>1.7343976283205826e-06</v>
      </c>
      <c r="G4" s="10">
        <v>1.7343976283205826e-06</v>
      </c>
      <c r="H4" s="10">
        <v>0.67327980652330466</v>
      </c>
      <c r="I4" s="10">
        <v>1.7343976283205826e-06</v>
      </c>
      <c r="J4" s="10">
        <v>1.7343976283205826e-06</v>
      </c>
      <c r="K4" s="10">
        <v>1</v>
      </c>
      <c r="L4" s="10"/>
      <c r="M4" s="10"/>
      <c r="N4" s="10"/>
      <c r="O4" s="10"/>
    </row>
    <row xmlns:x14ac="http://schemas.microsoft.com/office/spreadsheetml/2009/9/ac" r="5" x14ac:dyDescent="0.3">
      <c r="A5" s="13" t="s">
        <v>2644</v>
      </c>
      <c r="B5" s="10">
        <v>1</v>
      </c>
      <c r="C5" s="10">
        <v>1</v>
      </c>
      <c r="D5" s="10">
        <v>1</v>
      </c>
      <c r="E5" s="10">
        <v>1</v>
      </c>
      <c r="F5" s="10">
        <v>1.7343976283205826e-06</v>
      </c>
      <c r="G5" s="10">
        <v>1.7343976283205826e-06</v>
      </c>
      <c r="H5" s="10">
        <v>1.7343976283205826e-06</v>
      </c>
      <c r="I5" s="10">
        <v>1.7343976283205826e-06</v>
      </c>
      <c r="J5" s="10">
        <v>1.7343976283205826e-06</v>
      </c>
      <c r="K5" s="10">
        <v>1</v>
      </c>
      <c r="L5" s="10"/>
      <c r="M5" s="10"/>
      <c r="N5" s="10"/>
      <c r="O5" s="10"/>
    </row>
    <row xmlns:x14ac="http://schemas.microsoft.com/office/spreadsheetml/2009/9/ac" r="6" x14ac:dyDescent="0.3">
      <c r="A6" s="13" t="s">
        <v>2645</v>
      </c>
      <c r="B6" s="10">
        <v>1</v>
      </c>
      <c r="C6" s="10">
        <v>1</v>
      </c>
      <c r="D6" s="10">
        <v>1</v>
      </c>
      <c r="E6" s="10">
        <v>1</v>
      </c>
      <c r="F6" s="10">
        <v>1.7343976283205826e-06</v>
      </c>
      <c r="G6" s="10">
        <v>1.7343976283205826e-06</v>
      </c>
      <c r="H6" s="10">
        <v>1.7343976283205826e-06</v>
      </c>
      <c r="I6" s="10">
        <v>1.7343976283205826e-06</v>
      </c>
      <c r="J6" s="10">
        <v>1.7343976283205826e-06</v>
      </c>
      <c r="K6" s="10">
        <v>1</v>
      </c>
      <c r="L6" s="10"/>
      <c r="M6" s="10"/>
      <c r="N6" s="10"/>
      <c r="O6" s="10"/>
    </row>
    <row xmlns:x14ac="http://schemas.microsoft.com/office/spreadsheetml/2009/9/ac" r="7" x14ac:dyDescent="0.3">
      <c r="A7" s="13" t="s">
        <v>2646</v>
      </c>
      <c r="B7" s="10">
        <v>1</v>
      </c>
      <c r="C7" s="10">
        <v>1</v>
      </c>
      <c r="D7" s="10">
        <v>1</v>
      </c>
      <c r="E7" s="10">
        <v>1</v>
      </c>
      <c r="F7" s="10">
        <v>1.7343976283205826e-06</v>
      </c>
      <c r="G7" s="10">
        <v>1.7343976283205826e-06</v>
      </c>
      <c r="H7" s="10">
        <v>1.7343976283205826e-06</v>
      </c>
      <c r="I7" s="10">
        <v>1.7343976283205826e-06</v>
      </c>
      <c r="J7" s="10">
        <v>1.7343976283205826e-06</v>
      </c>
      <c r="K7" s="10">
        <v>1</v>
      </c>
      <c r="L7" s="10"/>
      <c r="M7" s="10"/>
      <c r="N7" s="10"/>
      <c r="O7" s="10"/>
    </row>
    <row xmlns:x14ac="http://schemas.microsoft.com/office/spreadsheetml/2009/9/ac" r="8" x14ac:dyDescent="0.3">
      <c r="A8" s="13" t="s">
        <v>2647</v>
      </c>
      <c r="B8" s="10">
        <v>1</v>
      </c>
      <c r="C8" s="10">
        <v>1</v>
      </c>
      <c r="D8" s="10">
        <v>1</v>
      </c>
      <c r="E8" s="10">
        <v>1</v>
      </c>
      <c r="F8" s="10">
        <v>1.7343976283205826e-06</v>
      </c>
      <c r="G8" s="10">
        <v>0.37093530784512468</v>
      </c>
      <c r="H8" s="10">
        <v>3.1123151153729202e-05</v>
      </c>
      <c r="I8" s="10">
        <v>1.7343976283205826e-06</v>
      </c>
      <c r="J8" s="10">
        <v>1.7343976283205826e-06</v>
      </c>
      <c r="K8" s="10">
        <v>1</v>
      </c>
      <c r="L8" s="10"/>
      <c r="M8" s="10"/>
      <c r="N8" s="10"/>
      <c r="O8" s="10"/>
    </row>
    <row xmlns:x14ac="http://schemas.microsoft.com/office/spreadsheetml/2009/9/ac" r="9" x14ac:dyDescent="0.3">
      <c r="A9" s="13" t="s">
        <v>2648</v>
      </c>
      <c r="B9" s="10">
        <v>1</v>
      </c>
      <c r="C9" s="10">
        <v>1</v>
      </c>
      <c r="D9" s="10">
        <v>1</v>
      </c>
      <c r="E9" s="10">
        <v>1</v>
      </c>
      <c r="F9" s="10">
        <v>1.7343976283205826e-06</v>
      </c>
      <c r="G9" s="10">
        <v>1.7343976283205826e-06</v>
      </c>
      <c r="H9" s="10">
        <v>1.7343976283205826e-06</v>
      </c>
      <c r="I9" s="10">
        <v>1.7343976283205826e-06</v>
      </c>
      <c r="J9" s="10">
        <v>1.9209211049031476e-06</v>
      </c>
      <c r="K9" s="10">
        <v>1</v>
      </c>
      <c r="L9" s="10"/>
      <c r="M9" s="10"/>
      <c r="N9" s="10"/>
      <c r="O9" s="10"/>
    </row>
    <row xmlns:x14ac="http://schemas.microsoft.com/office/spreadsheetml/2009/9/ac" r="10" x14ac:dyDescent="0.3">
      <c r="A10" s="13" t="s">
        <v>2649</v>
      </c>
      <c r="B10" s="10">
        <v>1</v>
      </c>
      <c r="C10" s="10">
        <v>1</v>
      </c>
      <c r="D10" s="10">
        <v>1</v>
      </c>
      <c r="E10" s="10">
        <v>1</v>
      </c>
      <c r="F10" s="10">
        <v>1.7343976283205826e-06</v>
      </c>
      <c r="G10" s="10">
        <v>1.7343976283205826e-06</v>
      </c>
      <c r="H10" s="10">
        <v>1.7343976283205826e-06</v>
      </c>
      <c r="I10" s="10">
        <v>1.7343976283205826e-06</v>
      </c>
      <c r="J10" s="10">
        <v>1.7343976283205826e-06</v>
      </c>
      <c r="K10" s="10">
        <v>1</v>
      </c>
      <c r="L10" s="10"/>
      <c r="M10" s="10"/>
      <c r="N10" s="10"/>
      <c r="O10" s="10"/>
    </row>
    <row xmlns:x14ac="http://schemas.microsoft.com/office/spreadsheetml/2009/9/ac" r="11" x14ac:dyDescent="0.3">
      <c r="A11" s="13" t="s">
        <v>2650</v>
      </c>
      <c r="B11" s="10">
        <v>1</v>
      </c>
      <c r="C11" s="10">
        <v>1</v>
      </c>
      <c r="D11" s="10">
        <v>1</v>
      </c>
      <c r="E11" s="10">
        <v>1</v>
      </c>
      <c r="F11" s="10">
        <v>1.7343976283205826e-06</v>
      </c>
      <c r="G11" s="10">
        <v>1.7343976283205826e-06</v>
      </c>
      <c r="H11" s="10">
        <v>1.7343976283205826e-06</v>
      </c>
      <c r="I11" s="10">
        <v>1.7343976283205826e-06</v>
      </c>
      <c r="J11" s="10">
        <v>1.712686559944356e-06</v>
      </c>
      <c r="K11" s="10">
        <v>1</v>
      </c>
      <c r="L11" s="10"/>
      <c r="M11" s="10"/>
      <c r="N11" s="10"/>
      <c r="O11" s="10"/>
    </row>
    <row xmlns:x14ac="http://schemas.microsoft.com/office/spreadsheetml/2009/9/ac" r="12" x14ac:dyDescent="0.3">
      <c r="A12" s="13" t="s">
        <v>2651</v>
      </c>
      <c r="B12" s="10">
        <v>1</v>
      </c>
      <c r="C12" s="10">
        <v>1</v>
      </c>
      <c r="D12" s="10">
        <v>1</v>
      </c>
      <c r="E12" s="10">
        <v>1</v>
      </c>
      <c r="F12" s="10">
        <v>1.7343976283205826e-06</v>
      </c>
      <c r="G12" s="10">
        <v>1.7343976283205826e-06</v>
      </c>
      <c r="H12" s="10">
        <v>1.9209211049031476e-06</v>
      </c>
      <c r="I12" s="10">
        <v>1.7343976283205826e-06</v>
      </c>
      <c r="J12" s="10">
        <v>9.4435681235260007e-07</v>
      </c>
      <c r="K12" s="10">
        <v>1</v>
      </c>
      <c r="L12" s="10"/>
      <c r="M12" s="10"/>
      <c r="N12" s="10"/>
      <c r="O12" s="10"/>
    </row>
    <row xmlns:x14ac="http://schemas.microsoft.com/office/spreadsheetml/2009/9/ac" r="13" x14ac:dyDescent="0.3">
      <c r="A13" s="13" t="s">
        <v>2652</v>
      </c>
      <c r="B13" s="10">
        <v>1</v>
      </c>
      <c r="C13" s="10">
        <v>1</v>
      </c>
      <c r="D13" s="10">
        <v>1</v>
      </c>
      <c r="E13" s="10">
        <v>1</v>
      </c>
      <c r="F13" s="10">
        <v>1.7343976283205826e-06</v>
      </c>
      <c r="G13" s="10">
        <v>1.9209211049031476e-06</v>
      </c>
      <c r="H13" s="10">
        <v>1.9209211049031476e-06</v>
      </c>
      <c r="I13" s="10">
        <v>0.00077121736520955296</v>
      </c>
      <c r="J13" s="10">
        <v>0.001953125</v>
      </c>
      <c r="K13" s="10">
        <v>1</v>
      </c>
      <c r="L13" s="10"/>
      <c r="M13" s="10"/>
      <c r="N13" s="10"/>
      <c r="O13" s="10"/>
    </row>
    <row xmlns:x14ac="http://schemas.microsoft.com/office/spreadsheetml/2009/9/ac" r="14" x14ac:dyDescent="0.3">
      <c r="A14" s="13" t="s">
        <v>2653</v>
      </c>
      <c r="B14" s="10">
        <v>1</v>
      </c>
      <c r="C14" s="10">
        <v>1</v>
      </c>
      <c r="D14" s="10">
        <v>1</v>
      </c>
      <c r="E14" s="10">
        <v>1</v>
      </c>
      <c r="F14" s="10">
        <v>1.7343976283205826e-06</v>
      </c>
      <c r="G14" s="10">
        <v>2.1630223983536977e-05</v>
      </c>
      <c r="H14" s="10">
        <v>1.7343976283205826e-06</v>
      </c>
      <c r="I14" s="10">
        <v>1.7343976283205826e-06</v>
      </c>
      <c r="J14" s="10">
        <v>1.7343976283205826e-06</v>
      </c>
      <c r="K14" s="10">
        <v>1</v>
      </c>
      <c r="L14" s="10"/>
      <c r="M14" s="10"/>
      <c r="N14" s="10"/>
      <c r="O14" s="10"/>
    </row>
    <row xmlns:x14ac="http://schemas.microsoft.com/office/spreadsheetml/2009/9/ac" r="15" x14ac:dyDescent="0.3">
      <c r="A15" s="13" t="s">
        <v>2654</v>
      </c>
      <c r="B15" s="10">
        <v>1</v>
      </c>
      <c r="C15" s="10">
        <v>1</v>
      </c>
      <c r="D15" s="10">
        <v>1</v>
      </c>
      <c r="E15" s="10">
        <v>1</v>
      </c>
      <c r="F15" s="10">
        <v>1.7343976283205826e-06</v>
      </c>
      <c r="G15" s="10">
        <v>0.00061564062070142307</v>
      </c>
      <c r="H15" s="10">
        <v>1.7343976283205826e-06</v>
      </c>
      <c r="I15" s="10">
        <v>1.7343976283205826e-06</v>
      </c>
      <c r="J15" s="10">
        <v>1.7343976283205826e-06</v>
      </c>
      <c r="K15" s="10">
        <v>1</v>
      </c>
      <c r="L15" s="10"/>
      <c r="M15" s="10"/>
      <c r="N15" s="10"/>
      <c r="O15" s="10"/>
    </row>
    <row xmlns:x14ac="http://schemas.microsoft.com/office/spreadsheetml/2009/9/ac" r="16" x14ac:dyDescent="0.3">
      <c r="A16" s="13" t="s">
        <v>2655</v>
      </c>
      <c r="B16" s="10">
        <v>1</v>
      </c>
      <c r="C16" s="10">
        <v>1</v>
      </c>
      <c r="D16" s="10">
        <v>1</v>
      </c>
      <c r="E16" s="10">
        <v>1</v>
      </c>
      <c r="F16" s="10">
        <v>1.7343976283205826e-06</v>
      </c>
      <c r="G16" s="10">
        <v>0.13590778549641164</v>
      </c>
      <c r="H16" s="10">
        <v>1.7300371292901292e-06</v>
      </c>
      <c r="I16" s="10">
        <v>2.12663601073143e-06</v>
      </c>
      <c r="J16" s="10">
        <v>8.1842004205397159e-05</v>
      </c>
      <c r="K16" s="10">
        <v>1</v>
      </c>
      <c r="L16" s="10"/>
      <c r="M16" s="10"/>
      <c r="N16" s="10"/>
      <c r="O16" s="10"/>
    </row>
    <row xmlns:x14ac="http://schemas.microsoft.com/office/spreadsheetml/2009/9/ac" r="17" x14ac:dyDescent="0.3">
      <c r="A17" s="13" t="s">
        <v>2656</v>
      </c>
      <c r="B17" s="10">
        <v>1</v>
      </c>
      <c r="C17" s="10">
        <v>1</v>
      </c>
      <c r="D17" s="10">
        <v>1</v>
      </c>
      <c r="E17" s="10">
        <v>1</v>
      </c>
      <c r="F17" s="10">
        <v>1.7343976283205826e-06</v>
      </c>
      <c r="G17" s="10">
        <v>0.0064242118721631065</v>
      </c>
      <c r="H17" s="10">
        <v>0.20588822305607396</v>
      </c>
      <c r="I17" s="10">
        <v>1.9209211049031476e-06</v>
      </c>
      <c r="J17" s="10">
        <v>2.3704477025504914e-05</v>
      </c>
      <c r="K17" s="10">
        <v>1</v>
      </c>
      <c r="L17" s="10"/>
      <c r="M17" s="10"/>
      <c r="N17" s="10"/>
      <c r="O17" s="10"/>
    </row>
    <row xmlns:x14ac="http://schemas.microsoft.com/office/spreadsheetml/2009/9/ac" r="18" x14ac:dyDescent="0.3">
      <c r="A18" s="13" t="s">
        <v>2657</v>
      </c>
      <c r="B18" s="10">
        <v>1</v>
      </c>
      <c r="C18" s="10">
        <v>1</v>
      </c>
      <c r="D18" s="10">
        <v>1</v>
      </c>
      <c r="E18" s="10">
        <v>1</v>
      </c>
      <c r="F18" s="10">
        <v>1.7343976283205826e-06</v>
      </c>
      <c r="G18" s="10">
        <v>1.7343976283205826e-06</v>
      </c>
      <c r="H18" s="10">
        <v>1.7343976283205826e-06</v>
      </c>
      <c r="I18" s="10">
        <v>0.37093530784512468</v>
      </c>
      <c r="J18" s="10">
        <v>1.7343976283205826e-06</v>
      </c>
      <c r="K18" s="10">
        <v>1</v>
      </c>
      <c r="L18" s="10"/>
      <c r="M18" s="10"/>
      <c r="N18" s="10"/>
      <c r="O18" s="10"/>
    </row>
    <row xmlns:x14ac="http://schemas.microsoft.com/office/spreadsheetml/2009/9/ac" r="19" x14ac:dyDescent="0.3">
      <c r="A19" s="13" t="s">
        <v>2658</v>
      </c>
      <c r="B19" s="10">
        <v>1</v>
      </c>
      <c r="C19" s="10">
        <v>1</v>
      </c>
      <c r="D19" s="10">
        <v>1</v>
      </c>
      <c r="E19" s="10">
        <v>1</v>
      </c>
      <c r="F19" s="10">
        <v>1.7343976283205826e-06</v>
      </c>
      <c r="G19" s="10">
        <v>1.7343976283205826e-06</v>
      </c>
      <c r="H19" s="10">
        <v>1.7343976283205826e-06</v>
      </c>
      <c r="I19" s="10">
        <v>1.9209211049031476e-06</v>
      </c>
      <c r="J19" s="10">
        <v>1.7343976283205826e-06</v>
      </c>
      <c r="K19" s="10">
        <v>1</v>
      </c>
      <c r="L19" s="10"/>
      <c r="M19" s="10"/>
      <c r="N19" s="10"/>
      <c r="O19" s="10"/>
    </row>
    <row xmlns:x14ac="http://schemas.microsoft.com/office/spreadsheetml/2009/9/ac" r="20" x14ac:dyDescent="0.3">
      <c r="A20" s="13" t="s">
        <v>2659</v>
      </c>
      <c r="B20" s="10">
        <v>1</v>
      </c>
      <c r="C20" s="10">
        <v>1</v>
      </c>
      <c r="D20" s="10">
        <v>1</v>
      </c>
      <c r="E20" s="10">
        <v>1</v>
      </c>
      <c r="F20" s="10">
        <v>1.7343976283205826e-06</v>
      </c>
      <c r="G20" s="10">
        <v>1.9209211049031476e-06</v>
      </c>
      <c r="H20" s="10">
        <v>1.7343976283205826e-06</v>
      </c>
      <c r="I20" s="10">
        <v>0.038723026479358991</v>
      </c>
      <c r="J20" s="10">
        <v>1.7343976283205826e-06</v>
      </c>
      <c r="K20" s="10">
        <v>1</v>
      </c>
      <c r="L20" s="10"/>
      <c r="M20" s="10"/>
      <c r="N20" s="10"/>
      <c r="O20" s="10"/>
    </row>
    <row xmlns:x14ac="http://schemas.microsoft.com/office/spreadsheetml/2009/9/ac" r="21" x14ac:dyDescent="0.3">
      <c r="A21" s="13" t="s">
        <v>2660</v>
      </c>
      <c r="B21" s="10">
        <v>1</v>
      </c>
      <c r="C21" s="10">
        <v>1</v>
      </c>
      <c r="D21" s="10">
        <v>1</v>
      </c>
      <c r="E21" s="10">
        <v>1</v>
      </c>
      <c r="F21" s="10">
        <v>1.7343976283205826e-06</v>
      </c>
      <c r="G21" s="10">
        <v>1.7343976283205826e-06</v>
      </c>
      <c r="H21" s="10">
        <v>1.7343976283205826e-06</v>
      </c>
      <c r="I21" s="10">
        <v>1.7343976283205826e-06</v>
      </c>
      <c r="J21" s="10">
        <v>1.7343976283205826e-06</v>
      </c>
      <c r="K21" s="10">
        <v>1</v>
      </c>
      <c r="L21" s="10"/>
      <c r="M21" s="10"/>
      <c r="N21" s="10"/>
      <c r="O21" s="10"/>
    </row>
    <row xmlns:x14ac="http://schemas.microsoft.com/office/spreadsheetml/2009/9/ac" r="22" x14ac:dyDescent="0.3">
      <c r="A22" s="13" t="s">
        <v>2661</v>
      </c>
      <c r="B22" s="10">
        <v>1</v>
      </c>
      <c r="C22" s="10">
        <v>1</v>
      </c>
      <c r="D22" s="10">
        <v>1</v>
      </c>
      <c r="E22" s="10">
        <v>1</v>
      </c>
      <c r="F22" s="10">
        <v>0.035008956819850154</v>
      </c>
      <c r="G22" s="10">
        <v>1.7343976283205826e-06</v>
      </c>
      <c r="H22" s="10">
        <v>1.7343976283205826e-06</v>
      </c>
      <c r="I22" s="10">
        <v>1.7343976283205826e-06</v>
      </c>
      <c r="J22" s="10">
        <v>0.01245256043855447</v>
      </c>
      <c r="K22" s="10">
        <v>1</v>
      </c>
      <c r="L22" s="10"/>
      <c r="M22" s="10"/>
      <c r="N22" s="10"/>
      <c r="O22" s="10"/>
    </row>
    <row xmlns:x14ac="http://schemas.microsoft.com/office/spreadsheetml/2009/9/ac" r="23" x14ac:dyDescent="0.3">
      <c r="A23" s="13" t="s">
        <v>2662</v>
      </c>
      <c r="B23" s="10">
        <v>1</v>
      </c>
      <c r="C23" s="10">
        <v>1</v>
      </c>
      <c r="D23" s="10">
        <v>1</v>
      </c>
      <c r="E23" s="10">
        <v>1</v>
      </c>
      <c r="F23" s="10">
        <v>1.7343976283205826e-06</v>
      </c>
      <c r="G23" s="10">
        <v>0.89364438712660521</v>
      </c>
      <c r="H23" s="10">
        <v>8.9187274244597068e-05</v>
      </c>
      <c r="I23" s="10">
        <v>0.018518974697467733</v>
      </c>
      <c r="J23" s="10">
        <v>1.7343976283205826e-06</v>
      </c>
      <c r="K23" s="10">
        <v>1</v>
      </c>
      <c r="L23" s="10"/>
      <c r="M23" s="10"/>
      <c r="N23" s="10"/>
      <c r="O23" s="10"/>
    </row>
    <row xmlns:x14ac="http://schemas.microsoft.com/office/spreadsheetml/2009/9/ac" r="24" x14ac:dyDescent="0.3">
      <c r="A24" s="13" t="s">
        <v>2663</v>
      </c>
      <c r="B24" s="10">
        <v>1</v>
      </c>
      <c r="C24" s="10">
        <v>1</v>
      </c>
      <c r="D24" s="10">
        <v>1</v>
      </c>
      <c r="E24" s="10">
        <v>1</v>
      </c>
      <c r="F24" s="10">
        <v>1.7343976283205826e-06</v>
      </c>
      <c r="G24" s="10">
        <v>0.79709830300679518</v>
      </c>
      <c r="H24" s="10">
        <v>1.7343976283205826e-06</v>
      </c>
      <c r="I24" s="10">
        <v>0.038723026479358991</v>
      </c>
      <c r="J24" s="10">
        <v>1.7343976283205826e-06</v>
      </c>
      <c r="K24" s="10">
        <v>1</v>
      </c>
      <c r="L24" s="10"/>
      <c r="M24" s="10"/>
      <c r="N24" s="10"/>
      <c r="O24" s="10"/>
    </row>
    <row xmlns:x14ac="http://schemas.microsoft.com/office/spreadsheetml/2009/9/ac" r="25" x14ac:dyDescent="0.3">
      <c r="A25" s="11" t="s">
        <v>2664</v>
      </c>
      <c r="B25" s="14">
        <v>1</v>
      </c>
      <c r="C25" s="14">
        <v>1</v>
      </c>
      <c r="D25" s="14">
        <v>1</v>
      </c>
      <c r="E25" s="14">
        <v>1</v>
      </c>
      <c r="F25" s="14">
        <v>1.7343976283205826e-06</v>
      </c>
      <c r="G25" s="14">
        <v>0.50383296887814133</v>
      </c>
      <c r="H25" s="14">
        <v>2.8785992193943049e-06</v>
      </c>
      <c r="I25" s="14">
        <v>0.67327980652330466</v>
      </c>
      <c r="J25" s="14">
        <v>1.7343976283205826e-06</v>
      </c>
      <c r="K25" s="14">
        <v>1</v>
      </c>
      <c r="L25" s="14"/>
      <c r="M25" s="14"/>
      <c r="N25" s="14"/>
      <c r="O25" s="14"/>
    </row>
  </sheetData>
  <mergeCells count="1">
    <mergeCell ref="A1:O1"/>
  </mergeCells>
  <conditionalFormatting sqref="B3:O25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>
      <selection activeCell="Q9" sqref="Q9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3" max="3" width="15.44140625" style="8" bestFit="true" customWidth="true"/>
    <col min="4" max="4" width="14.33203125" style="8" bestFit="true" customWidth="true"/>
    <col min="5" max="5" width="13.44140625" style="8" bestFit="true" customWidth="true"/>
    <col min="6" max="6" width="16.046875" style="8" bestFit="true" customWidth="true"/>
    <col min="7" max="7" width="12.6015625" style="8" bestFit="true" customWidth="true"/>
    <col min="9" max="9" width="11.6015625" style="8" bestFit="true" customWidth="true"/>
    <col min="10" max="10" width="15.37890625" style="8" bestFit="true" customWidth="true"/>
    <col min="14" max="16384" width="8.88671875" style="8"/>
    <col min="8" max="8" width="11.48828125" style="8" bestFit="true" customWidth="true"/>
    <col min="11" max="11" width="14.93359375" style="8" bestFit="true" customWidth="true"/>
    <col min="12" max="13" width="2" style="8" bestFit="true" customWidth="true"/>
  </cols>
  <sheetData>
    <row xmlns:x14ac="http://schemas.microsoft.com/office/spreadsheetml/2009/9/ac" r="1" ht="15" thickBot="true" x14ac:dyDescent="0.35">
      <c r="A1" s="26" t="s">
        <v>253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xmlns:x14ac="http://schemas.microsoft.com/office/spreadsheetml/2009/9/ac" r="2" x14ac:dyDescent="0.3">
      <c r="A2" s="6" t="s">
        <v>2641</v>
      </c>
      <c r="B2" s="6" t="s">
        <v>2677</v>
      </c>
      <c r="C2" s="6" t="s">
        <v>2678</v>
      </c>
      <c r="D2" s="6" t="s">
        <v>2679</v>
      </c>
      <c r="E2" s="6" t="s">
        <v>2680</v>
      </c>
      <c r="F2" s="6" t="s">
        <v>2640</v>
      </c>
      <c r="G2" s="6" t="s">
        <v>2139</v>
      </c>
      <c r="H2" s="6" t="s">
        <v>2140</v>
      </c>
      <c r="I2" s="6" t="s">
        <v>2141</v>
      </c>
      <c r="J2" s="6" t="s">
        <v>1874</v>
      </c>
      <c r="K2" s="6" t="s">
        <v>1329</v>
      </c>
      <c r="L2" s="6"/>
      <c r="M2" s="6"/>
      <c r="N2" s="6"/>
      <c r="O2" s="6"/>
    </row>
    <row xmlns:x14ac="http://schemas.microsoft.com/office/spreadsheetml/2009/9/ac" r="3" x14ac:dyDescent="0.3">
      <c r="A3" s="2" t="s">
        <v>2642</v>
      </c>
      <c r="B3" s="27">
        <v>0</v>
      </c>
      <c r="C3" s="27">
        <v>0</v>
      </c>
      <c r="D3" s="27">
        <v>0</v>
      </c>
      <c r="E3" s="27">
        <v>0</v>
      </c>
      <c r="F3" s="27">
        <v>1</v>
      </c>
      <c r="G3" s="27">
        <v>1</v>
      </c>
      <c r="H3" s="27">
        <v>1</v>
      </c>
      <c r="I3" s="27">
        <v>1</v>
      </c>
      <c r="J3" s="27">
        <v>1</v>
      </c>
      <c r="K3" s="27">
        <v>0</v>
      </c>
      <c r="L3" s="27">
        <v>1</v>
      </c>
      <c r="M3" s="27">
        <v>1</v>
      </c>
      <c r="N3" s="27"/>
      <c r="O3" s="27"/>
    </row>
    <row xmlns:x14ac="http://schemas.microsoft.com/office/spreadsheetml/2009/9/ac" r="4" x14ac:dyDescent="0.3">
      <c r="A4" s="15" t="s">
        <v>2643</v>
      </c>
      <c r="B4" s="28">
        <v>0</v>
      </c>
      <c r="C4" s="28">
        <v>0</v>
      </c>
      <c r="D4" s="28">
        <v>0</v>
      </c>
      <c r="E4" s="28">
        <v>0</v>
      </c>
      <c r="F4" s="28">
        <v>1</v>
      </c>
      <c r="G4" s="28">
        <v>1</v>
      </c>
      <c r="H4" s="28">
        <v>0</v>
      </c>
      <c r="I4" s="28">
        <v>1</v>
      </c>
      <c r="J4" s="28">
        <v>1</v>
      </c>
      <c r="K4" s="28">
        <v>0</v>
      </c>
      <c r="L4" s="28">
        <v>1</v>
      </c>
      <c r="M4" s="28">
        <v>1</v>
      </c>
      <c r="N4" s="28"/>
      <c r="O4" s="28"/>
    </row>
    <row xmlns:x14ac="http://schemas.microsoft.com/office/spreadsheetml/2009/9/ac" r="5" x14ac:dyDescent="0.3">
      <c r="A5" s="15" t="s">
        <v>2644</v>
      </c>
      <c r="B5" s="28">
        <v>0</v>
      </c>
      <c r="C5" s="28">
        <v>0</v>
      </c>
      <c r="D5" s="28">
        <v>0</v>
      </c>
      <c r="E5" s="28">
        <v>0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0</v>
      </c>
      <c r="L5" s="28">
        <v>1</v>
      </c>
      <c r="M5" s="28">
        <v>1</v>
      </c>
      <c r="N5" s="28"/>
      <c r="O5" s="28"/>
    </row>
    <row xmlns:x14ac="http://schemas.microsoft.com/office/spreadsheetml/2009/9/ac" r="6" x14ac:dyDescent="0.3">
      <c r="A6" s="15" t="s">
        <v>2645</v>
      </c>
      <c r="B6" s="28">
        <v>0</v>
      </c>
      <c r="C6" s="28">
        <v>0</v>
      </c>
      <c r="D6" s="28">
        <v>0</v>
      </c>
      <c r="E6" s="28">
        <v>0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0</v>
      </c>
      <c r="L6" s="28">
        <v>1</v>
      </c>
      <c r="M6" s="28">
        <v>1</v>
      </c>
      <c r="N6" s="28"/>
      <c r="O6" s="28"/>
    </row>
    <row xmlns:x14ac="http://schemas.microsoft.com/office/spreadsheetml/2009/9/ac" r="7" x14ac:dyDescent="0.3">
      <c r="A7" s="15" t="s">
        <v>2646</v>
      </c>
      <c r="B7" s="28">
        <v>0</v>
      </c>
      <c r="C7" s="28">
        <v>0</v>
      </c>
      <c r="D7" s="28">
        <v>0</v>
      </c>
      <c r="E7" s="28">
        <v>0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0</v>
      </c>
      <c r="L7" s="28">
        <v>1</v>
      </c>
      <c r="M7" s="28">
        <v>1</v>
      </c>
      <c r="N7" s="28"/>
      <c r="O7" s="28"/>
    </row>
    <row xmlns:x14ac="http://schemas.microsoft.com/office/spreadsheetml/2009/9/ac" r="8" x14ac:dyDescent="0.3">
      <c r="A8" s="15" t="s">
        <v>2647</v>
      </c>
      <c r="B8" s="28">
        <v>0</v>
      </c>
      <c r="C8" s="28">
        <v>0</v>
      </c>
      <c r="D8" s="28">
        <v>0</v>
      </c>
      <c r="E8" s="28">
        <v>0</v>
      </c>
      <c r="F8" s="28">
        <v>1</v>
      </c>
      <c r="G8" s="28">
        <v>0</v>
      </c>
      <c r="H8" s="28">
        <v>1</v>
      </c>
      <c r="I8" s="28">
        <v>1</v>
      </c>
      <c r="J8" s="28">
        <v>1</v>
      </c>
      <c r="K8" s="28">
        <v>0</v>
      </c>
      <c r="L8" s="28">
        <v>1</v>
      </c>
      <c r="M8" s="28">
        <v>1</v>
      </c>
      <c r="N8" s="28"/>
      <c r="O8" s="28"/>
    </row>
    <row xmlns:x14ac="http://schemas.microsoft.com/office/spreadsheetml/2009/9/ac" r="9" x14ac:dyDescent="0.3">
      <c r="A9" s="15" t="s">
        <v>2648</v>
      </c>
      <c r="B9" s="28">
        <v>0</v>
      </c>
      <c r="C9" s="28">
        <v>0</v>
      </c>
      <c r="D9" s="28">
        <v>0</v>
      </c>
      <c r="E9" s="28">
        <v>0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0</v>
      </c>
      <c r="L9" s="28">
        <v>1</v>
      </c>
      <c r="M9" s="28">
        <v>1</v>
      </c>
      <c r="N9" s="28"/>
      <c r="O9" s="28"/>
    </row>
    <row xmlns:x14ac="http://schemas.microsoft.com/office/spreadsheetml/2009/9/ac" r="10" x14ac:dyDescent="0.3">
      <c r="A10" s="15" t="s">
        <v>2649</v>
      </c>
      <c r="B10" s="28">
        <v>0</v>
      </c>
      <c r="C10" s="28">
        <v>0</v>
      </c>
      <c r="D10" s="28">
        <v>0</v>
      </c>
      <c r="E10" s="28">
        <v>0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0</v>
      </c>
      <c r="L10" s="28">
        <v>1</v>
      </c>
      <c r="M10" s="28">
        <v>1</v>
      </c>
      <c r="N10" s="28"/>
      <c r="O10" s="28"/>
    </row>
    <row xmlns:x14ac="http://schemas.microsoft.com/office/spreadsheetml/2009/9/ac" r="11" x14ac:dyDescent="0.3">
      <c r="A11" s="15" t="s">
        <v>2650</v>
      </c>
      <c r="B11" s="28">
        <v>0</v>
      </c>
      <c r="C11" s="28">
        <v>0</v>
      </c>
      <c r="D11" s="28">
        <v>0</v>
      </c>
      <c r="E11" s="28">
        <v>0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0</v>
      </c>
      <c r="L11" s="28">
        <v>1</v>
      </c>
      <c r="M11" s="28">
        <v>1</v>
      </c>
      <c r="N11" s="28"/>
      <c r="O11" s="28"/>
    </row>
    <row xmlns:x14ac="http://schemas.microsoft.com/office/spreadsheetml/2009/9/ac" r="12" x14ac:dyDescent="0.3">
      <c r="A12" s="15" t="s">
        <v>2651</v>
      </c>
      <c r="B12" s="28">
        <v>0</v>
      </c>
      <c r="C12" s="28">
        <v>0</v>
      </c>
      <c r="D12" s="28">
        <v>0</v>
      </c>
      <c r="E12" s="28">
        <v>0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0</v>
      </c>
      <c r="L12" s="28">
        <v>1</v>
      </c>
      <c r="M12" s="28">
        <v>0</v>
      </c>
      <c r="N12" s="28"/>
      <c r="O12" s="28"/>
    </row>
    <row xmlns:x14ac="http://schemas.microsoft.com/office/spreadsheetml/2009/9/ac" r="13" x14ac:dyDescent="0.3">
      <c r="A13" s="15" t="s">
        <v>2652</v>
      </c>
      <c r="B13" s="28">
        <v>0</v>
      </c>
      <c r="C13" s="28">
        <v>0</v>
      </c>
      <c r="D13" s="28">
        <v>0</v>
      </c>
      <c r="E13" s="28">
        <v>0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0</v>
      </c>
      <c r="L13" s="28">
        <v>1</v>
      </c>
      <c r="M13" s="28">
        <v>1</v>
      </c>
      <c r="N13" s="28"/>
      <c r="O13" s="28"/>
    </row>
    <row xmlns:x14ac="http://schemas.microsoft.com/office/spreadsheetml/2009/9/ac" r="14" x14ac:dyDescent="0.3">
      <c r="A14" s="15" t="s">
        <v>2653</v>
      </c>
      <c r="B14" s="28">
        <v>0</v>
      </c>
      <c r="C14" s="28">
        <v>0</v>
      </c>
      <c r="D14" s="28">
        <v>0</v>
      </c>
      <c r="E14" s="28">
        <v>0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0</v>
      </c>
      <c r="L14" s="28">
        <v>0</v>
      </c>
      <c r="M14" s="28">
        <v>1</v>
      </c>
      <c r="N14" s="28"/>
      <c r="O14" s="28"/>
    </row>
    <row xmlns:x14ac="http://schemas.microsoft.com/office/spreadsheetml/2009/9/ac" r="15" x14ac:dyDescent="0.3">
      <c r="A15" s="15" t="s">
        <v>2654</v>
      </c>
      <c r="B15" s="28">
        <v>0</v>
      </c>
      <c r="C15" s="28">
        <v>0</v>
      </c>
      <c r="D15" s="28">
        <v>0</v>
      </c>
      <c r="E15" s="28">
        <v>0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0</v>
      </c>
      <c r="L15" s="28">
        <v>1</v>
      </c>
      <c r="M15" s="28">
        <v>1</v>
      </c>
      <c r="N15" s="28"/>
      <c r="O15" s="28"/>
    </row>
    <row xmlns:x14ac="http://schemas.microsoft.com/office/spreadsheetml/2009/9/ac" r="16" x14ac:dyDescent="0.3">
      <c r="A16" s="15" t="s">
        <v>2655</v>
      </c>
      <c r="B16" s="28">
        <v>0</v>
      </c>
      <c r="C16" s="28">
        <v>0</v>
      </c>
      <c r="D16" s="28">
        <v>0</v>
      </c>
      <c r="E16" s="28">
        <v>0</v>
      </c>
      <c r="F16" s="28">
        <v>1</v>
      </c>
      <c r="G16" s="28">
        <v>0</v>
      </c>
      <c r="H16" s="28">
        <v>1</v>
      </c>
      <c r="I16" s="28">
        <v>1</v>
      </c>
      <c r="J16" s="28">
        <v>1</v>
      </c>
      <c r="K16" s="28">
        <v>0</v>
      </c>
      <c r="L16" s="28">
        <v>0</v>
      </c>
      <c r="M16" s="28">
        <v>1</v>
      </c>
      <c r="N16" s="28"/>
      <c r="O16" s="28"/>
    </row>
    <row xmlns:x14ac="http://schemas.microsoft.com/office/spreadsheetml/2009/9/ac" r="17" x14ac:dyDescent="0.3">
      <c r="A17" s="15" t="s">
        <v>2656</v>
      </c>
      <c r="B17" s="28">
        <v>0</v>
      </c>
      <c r="C17" s="28">
        <v>0</v>
      </c>
      <c r="D17" s="28">
        <v>0</v>
      </c>
      <c r="E17" s="28">
        <v>0</v>
      </c>
      <c r="F17" s="28">
        <v>1</v>
      </c>
      <c r="G17" s="28">
        <v>1</v>
      </c>
      <c r="H17" s="28">
        <v>0</v>
      </c>
      <c r="I17" s="28">
        <v>1</v>
      </c>
      <c r="J17" s="28">
        <v>1</v>
      </c>
      <c r="K17" s="28">
        <v>0</v>
      </c>
      <c r="L17" s="28">
        <v>0</v>
      </c>
      <c r="M17" s="28">
        <v>1</v>
      </c>
      <c r="N17" s="28"/>
      <c r="O17" s="28"/>
    </row>
    <row xmlns:x14ac="http://schemas.microsoft.com/office/spreadsheetml/2009/9/ac" r="18" x14ac:dyDescent="0.3">
      <c r="A18" s="15" t="s">
        <v>2657</v>
      </c>
      <c r="B18" s="28">
        <v>0</v>
      </c>
      <c r="C18" s="28">
        <v>0</v>
      </c>
      <c r="D18" s="28">
        <v>0</v>
      </c>
      <c r="E18" s="28">
        <v>0</v>
      </c>
      <c r="F18" s="28">
        <v>1</v>
      </c>
      <c r="G18" s="28">
        <v>1</v>
      </c>
      <c r="H18" s="28">
        <v>1</v>
      </c>
      <c r="I18" s="28">
        <v>0</v>
      </c>
      <c r="J18" s="28">
        <v>1</v>
      </c>
      <c r="K18" s="28">
        <v>0</v>
      </c>
      <c r="L18" s="28">
        <v>1</v>
      </c>
      <c r="M18" s="28">
        <v>1</v>
      </c>
      <c r="N18" s="28"/>
      <c r="O18" s="28"/>
    </row>
    <row xmlns:x14ac="http://schemas.microsoft.com/office/spreadsheetml/2009/9/ac" r="19" x14ac:dyDescent="0.3">
      <c r="A19" s="15" t="s">
        <v>2658</v>
      </c>
      <c r="B19" s="28">
        <v>0</v>
      </c>
      <c r="C19" s="28">
        <v>0</v>
      </c>
      <c r="D19" s="28">
        <v>0</v>
      </c>
      <c r="E19" s="28">
        <v>0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0</v>
      </c>
      <c r="L19" s="28">
        <v>1</v>
      </c>
      <c r="M19" s="28">
        <v>1</v>
      </c>
      <c r="N19" s="28"/>
      <c r="O19" s="28"/>
    </row>
    <row xmlns:x14ac="http://schemas.microsoft.com/office/spreadsheetml/2009/9/ac" r="20" x14ac:dyDescent="0.3">
      <c r="A20" s="15" t="s">
        <v>2659</v>
      </c>
      <c r="B20" s="28">
        <v>0</v>
      </c>
      <c r="C20" s="28">
        <v>0</v>
      </c>
      <c r="D20" s="28">
        <v>0</v>
      </c>
      <c r="E20" s="28">
        <v>0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0</v>
      </c>
      <c r="L20" s="28">
        <v>1</v>
      </c>
      <c r="M20" s="28">
        <v>1</v>
      </c>
      <c r="N20" s="28"/>
      <c r="O20" s="28"/>
    </row>
    <row xmlns:x14ac="http://schemas.microsoft.com/office/spreadsheetml/2009/9/ac" r="21" x14ac:dyDescent="0.3">
      <c r="A21" s="15" t="s">
        <v>2660</v>
      </c>
      <c r="B21" s="28">
        <v>0</v>
      </c>
      <c r="C21" s="28">
        <v>0</v>
      </c>
      <c r="D21" s="28">
        <v>0</v>
      </c>
      <c r="E21" s="28">
        <v>0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0</v>
      </c>
      <c r="L21" s="28">
        <v>1</v>
      </c>
      <c r="M21" s="28">
        <v>1</v>
      </c>
      <c r="N21" s="28"/>
      <c r="O21" s="28"/>
    </row>
    <row xmlns:x14ac="http://schemas.microsoft.com/office/spreadsheetml/2009/9/ac" r="22" x14ac:dyDescent="0.3">
      <c r="A22" s="15" t="s">
        <v>2661</v>
      </c>
      <c r="B22" s="28">
        <v>0</v>
      </c>
      <c r="C22" s="28">
        <v>0</v>
      </c>
      <c r="D22" s="28">
        <v>0</v>
      </c>
      <c r="E22" s="28">
        <v>0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0</v>
      </c>
      <c r="L22" s="28">
        <v>0</v>
      </c>
      <c r="M22" s="28">
        <v>0</v>
      </c>
      <c r="N22" s="28"/>
      <c r="O22" s="28"/>
    </row>
    <row xmlns:x14ac="http://schemas.microsoft.com/office/spreadsheetml/2009/9/ac" r="23" x14ac:dyDescent="0.3">
      <c r="A23" s="15" t="s">
        <v>2662</v>
      </c>
      <c r="B23" s="28">
        <v>0</v>
      </c>
      <c r="C23" s="28">
        <v>0</v>
      </c>
      <c r="D23" s="28">
        <v>0</v>
      </c>
      <c r="E23" s="28">
        <v>0</v>
      </c>
      <c r="F23" s="28">
        <v>1</v>
      </c>
      <c r="G23" s="28">
        <v>0</v>
      </c>
      <c r="H23" s="28">
        <v>1</v>
      </c>
      <c r="I23" s="28">
        <v>1</v>
      </c>
      <c r="J23" s="28">
        <v>1</v>
      </c>
      <c r="K23" s="28">
        <v>0</v>
      </c>
      <c r="L23" s="28">
        <v>0</v>
      </c>
      <c r="M23" s="28">
        <v>1</v>
      </c>
      <c r="N23" s="28"/>
      <c r="O23" s="28"/>
    </row>
    <row xmlns:x14ac="http://schemas.microsoft.com/office/spreadsheetml/2009/9/ac" r="24" x14ac:dyDescent="0.3">
      <c r="A24" s="15" t="s">
        <v>2663</v>
      </c>
      <c r="B24" s="28">
        <v>0</v>
      </c>
      <c r="C24" s="28">
        <v>0</v>
      </c>
      <c r="D24" s="28">
        <v>0</v>
      </c>
      <c r="E24" s="28">
        <v>0</v>
      </c>
      <c r="F24" s="28">
        <v>1</v>
      </c>
      <c r="G24" s="28">
        <v>0</v>
      </c>
      <c r="H24" s="28">
        <v>1</v>
      </c>
      <c r="I24" s="28">
        <v>1</v>
      </c>
      <c r="J24" s="28">
        <v>1</v>
      </c>
      <c r="K24" s="28">
        <v>0</v>
      </c>
      <c r="L24" s="28">
        <v>0</v>
      </c>
      <c r="M24" s="28">
        <v>1</v>
      </c>
      <c r="N24" s="28"/>
      <c r="O24" s="28"/>
    </row>
    <row xmlns:x14ac="http://schemas.microsoft.com/office/spreadsheetml/2009/9/ac" r="25" x14ac:dyDescent="0.3">
      <c r="A25" s="6" t="s">
        <v>2664</v>
      </c>
      <c r="B25" s="29">
        <v>0</v>
      </c>
      <c r="C25" s="29">
        <v>0</v>
      </c>
      <c r="D25" s="29">
        <v>0</v>
      </c>
      <c r="E25" s="29">
        <v>0</v>
      </c>
      <c r="F25" s="29">
        <v>1</v>
      </c>
      <c r="G25" s="29">
        <v>0</v>
      </c>
      <c r="H25" s="29">
        <v>1</v>
      </c>
      <c r="I25" s="29">
        <v>0</v>
      </c>
      <c r="J25" s="29">
        <v>1</v>
      </c>
      <c r="K25" s="29">
        <v>0</v>
      </c>
      <c r="L25" s="29">
        <v>1</v>
      </c>
      <c r="M25" s="29">
        <v>0</v>
      </c>
      <c r="N25" s="29"/>
      <c r="O25" s="29"/>
    </row>
  </sheetData>
  <mergeCells count="1">
    <mergeCell ref="A1:O1"/>
  </mergeCells>
  <conditionalFormatting sqref="B3:O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workbookViewId="0">
      <selection activeCell="Q9" sqref="Q9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3" max="3" width="15.44140625" style="8" bestFit="true" customWidth="true"/>
    <col min="4" max="4" width="14.33203125" style="8" bestFit="true" customWidth="true"/>
    <col min="5" max="5" width="13.44140625" style="8" bestFit="true" customWidth="true"/>
    <col min="6" max="6" width="16.046875" style="8" bestFit="true" customWidth="true"/>
    <col min="7" max="7" width="12.6015625" style="8" bestFit="true" customWidth="true"/>
    <col min="9" max="9" width="11.6015625" style="8" bestFit="true" customWidth="true"/>
    <col min="10" max="10" width="15.37890625" style="8" bestFit="true" customWidth="true"/>
    <col min="14" max="16384" width="8.88671875" style="8"/>
    <col min="8" max="8" width="11.48828125" style="8" bestFit="true" customWidth="true"/>
    <col min="11" max="11" width="14.93359375" style="8" bestFit="true" customWidth="true"/>
    <col min="12" max="13" width="4" style="8" bestFit="true" customWidth="true"/>
  </cols>
  <sheetData>
    <row xmlns:x14ac="http://schemas.microsoft.com/office/spreadsheetml/2009/9/ac" r="1" ht="15" thickBot="true" x14ac:dyDescent="0.35">
      <c r="A1" s="26" t="s">
        <v>256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xmlns:x14ac="http://schemas.microsoft.com/office/spreadsheetml/2009/9/ac" r="2" x14ac:dyDescent="0.3">
      <c r="A2" s="6" t="s">
        <v>2641</v>
      </c>
      <c r="B2" s="6" t="s">
        <v>2677</v>
      </c>
      <c r="C2" s="6" t="s">
        <v>2678</v>
      </c>
      <c r="D2" s="6" t="s">
        <v>2679</v>
      </c>
      <c r="E2" s="6" t="s">
        <v>2680</v>
      </c>
      <c r="F2" s="6" t="s">
        <v>2669</v>
      </c>
      <c r="G2" s="6" t="s">
        <v>2171</v>
      </c>
      <c r="H2" s="6" t="s">
        <v>2172</v>
      </c>
      <c r="I2" s="6" t="s">
        <v>2173</v>
      </c>
      <c r="J2" s="6" t="s">
        <v>1907</v>
      </c>
      <c r="K2" s="6" t="s">
        <v>1363</v>
      </c>
      <c r="L2" s="6"/>
      <c r="M2" s="6"/>
      <c r="N2" s="6"/>
      <c r="O2" s="6"/>
    </row>
    <row xmlns:x14ac="http://schemas.microsoft.com/office/spreadsheetml/2009/9/ac" r="3" x14ac:dyDescent="0.3">
      <c r="A3" s="8" t="s">
        <v>2642</v>
      </c>
      <c r="B3" s="8">
        <v>0</v>
      </c>
      <c r="C3" s="8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465</v>
      </c>
      <c r="M3" s="8">
        <v>0</v>
      </c>
    </row>
    <row xmlns:x14ac="http://schemas.microsoft.com/office/spreadsheetml/2009/9/ac" r="4" x14ac:dyDescent="0.3">
      <c r="A4" s="8" t="s">
        <v>2643</v>
      </c>
      <c r="B4" s="8">
        <v>1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253</v>
      </c>
      <c r="I4" s="8">
        <v>0</v>
      </c>
      <c r="J4" s="8">
        <v>0</v>
      </c>
      <c r="K4" s="8">
        <v>0</v>
      </c>
      <c r="L4" s="8">
        <v>465</v>
      </c>
      <c r="M4" s="8">
        <v>0</v>
      </c>
    </row>
    <row xmlns:x14ac="http://schemas.microsoft.com/office/spreadsheetml/2009/9/ac" r="5" x14ac:dyDescent="0.3">
      <c r="A5" s="8" t="s">
        <v>2644</v>
      </c>
      <c r="B5" s="8">
        <v>1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465</v>
      </c>
      <c r="M5" s="8">
        <v>0</v>
      </c>
    </row>
    <row xmlns:x14ac="http://schemas.microsoft.com/office/spreadsheetml/2009/9/ac" r="6" x14ac:dyDescent="0.3">
      <c r="A6" s="8" t="s">
        <v>2645</v>
      </c>
      <c r="B6" s="8">
        <v>0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465</v>
      </c>
      <c r="M6" s="8">
        <v>0</v>
      </c>
    </row>
    <row xmlns:x14ac="http://schemas.microsoft.com/office/spreadsheetml/2009/9/ac" r="7" x14ac:dyDescent="0.3">
      <c r="A7" s="8" t="s">
        <v>2646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465</v>
      </c>
      <c r="M7" s="8">
        <v>0</v>
      </c>
    </row>
    <row xmlns:x14ac="http://schemas.microsoft.com/office/spreadsheetml/2009/9/ac" r="8" x14ac:dyDescent="0.3">
      <c r="A8" s="8" t="s">
        <v>2647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189</v>
      </c>
      <c r="H8" s="8">
        <v>30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xmlns:x14ac="http://schemas.microsoft.com/office/spreadsheetml/2009/9/ac" r="9" x14ac:dyDescent="0.3">
      <c r="A9" s="8" t="s">
        <v>2648</v>
      </c>
      <c r="B9" s="8">
        <v>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464</v>
      </c>
      <c r="K9" s="8">
        <v>0</v>
      </c>
      <c r="L9" s="8">
        <v>465</v>
      </c>
      <c r="M9" s="8">
        <v>106</v>
      </c>
    </row>
    <row xmlns:x14ac="http://schemas.microsoft.com/office/spreadsheetml/2009/9/ac" r="10" x14ac:dyDescent="0.3">
      <c r="A10" s="8" t="s">
        <v>2649</v>
      </c>
      <c r="B10" s="8">
        <v>1</v>
      </c>
      <c r="C10" s="8">
        <v>1</v>
      </c>
      <c r="D10" s="8">
        <v>1</v>
      </c>
      <c r="E10" s="8">
        <v>1</v>
      </c>
      <c r="F10" s="8">
        <v>465</v>
      </c>
      <c r="G10" s="8">
        <v>465</v>
      </c>
      <c r="H10" s="8">
        <v>465</v>
      </c>
      <c r="I10" s="8">
        <v>465</v>
      </c>
      <c r="J10" s="8">
        <v>0</v>
      </c>
      <c r="K10" s="8">
        <v>0</v>
      </c>
      <c r="L10" s="8">
        <v>0</v>
      </c>
      <c r="M10" s="8">
        <v>465</v>
      </c>
    </row>
    <row xmlns:x14ac="http://schemas.microsoft.com/office/spreadsheetml/2009/9/ac" r="11" x14ac:dyDescent="0.3">
      <c r="A11" s="8" t="s">
        <v>2650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465</v>
      </c>
      <c r="M11" s="8">
        <v>465</v>
      </c>
    </row>
    <row xmlns:x14ac="http://schemas.microsoft.com/office/spreadsheetml/2009/9/ac" r="12" x14ac:dyDescent="0.3">
      <c r="A12" s="8" t="s">
        <v>2651</v>
      </c>
      <c r="B12" s="8">
        <v>1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0</v>
      </c>
      <c r="L12" s="8">
        <v>465</v>
      </c>
      <c r="M12" s="8">
        <v>195</v>
      </c>
    </row>
    <row xmlns:x14ac="http://schemas.microsoft.com/office/spreadsheetml/2009/9/ac" r="13" x14ac:dyDescent="0.3">
      <c r="A13" s="8" t="s">
        <v>2652</v>
      </c>
      <c r="B13" s="8">
        <v>1</v>
      </c>
      <c r="C13" s="8">
        <v>1</v>
      </c>
      <c r="D13" s="8">
        <v>1</v>
      </c>
      <c r="E13" s="8">
        <v>1</v>
      </c>
      <c r="F13" s="8">
        <v>0</v>
      </c>
      <c r="G13" s="8">
        <v>464</v>
      </c>
      <c r="H13" s="8">
        <v>464</v>
      </c>
      <c r="I13" s="8">
        <v>396</v>
      </c>
      <c r="J13" s="8">
        <v>0</v>
      </c>
      <c r="K13" s="8">
        <v>0</v>
      </c>
      <c r="L13" s="8">
        <v>465</v>
      </c>
      <c r="M13" s="8">
        <v>0</v>
      </c>
    </row>
    <row xmlns:x14ac="http://schemas.microsoft.com/office/spreadsheetml/2009/9/ac" r="14" x14ac:dyDescent="0.3">
      <c r="A14" s="8" t="s">
        <v>2653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26</v>
      </c>
      <c r="H14" s="8">
        <v>0</v>
      </c>
      <c r="I14" s="8">
        <v>0</v>
      </c>
      <c r="J14" s="8">
        <v>0</v>
      </c>
      <c r="K14" s="8">
        <v>0</v>
      </c>
      <c r="L14" s="8">
        <v>174</v>
      </c>
      <c r="M14" s="8">
        <v>0</v>
      </c>
    </row>
    <row xmlns:x14ac="http://schemas.microsoft.com/office/spreadsheetml/2009/9/ac" r="15" x14ac:dyDescent="0.3">
      <c r="A15" s="8" t="s">
        <v>2654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399</v>
      </c>
      <c r="H15" s="8">
        <v>0</v>
      </c>
      <c r="I15" s="8">
        <v>0</v>
      </c>
      <c r="J15" s="8">
        <v>0</v>
      </c>
      <c r="K15" s="8">
        <v>0</v>
      </c>
      <c r="L15" s="8">
        <v>451</v>
      </c>
      <c r="M15" s="8">
        <v>0</v>
      </c>
    </row>
    <row xmlns:x14ac="http://schemas.microsoft.com/office/spreadsheetml/2009/9/ac" r="16" x14ac:dyDescent="0.3">
      <c r="A16" s="8" t="s">
        <v>2655</v>
      </c>
      <c r="B16" s="8">
        <v>1</v>
      </c>
      <c r="C16" s="8">
        <v>1</v>
      </c>
      <c r="D16" s="8">
        <v>1</v>
      </c>
      <c r="E16" s="8">
        <v>1</v>
      </c>
      <c r="F16" s="8">
        <v>0</v>
      </c>
      <c r="G16" s="8">
        <v>305</v>
      </c>
      <c r="H16" s="8">
        <v>465</v>
      </c>
      <c r="I16" s="8">
        <v>463</v>
      </c>
      <c r="J16" s="8">
        <v>41</v>
      </c>
      <c r="K16" s="8">
        <v>0</v>
      </c>
      <c r="L16" s="8">
        <v>308</v>
      </c>
      <c r="M16" s="8">
        <v>419</v>
      </c>
    </row>
    <row xmlns:x14ac="http://schemas.microsoft.com/office/spreadsheetml/2009/9/ac" r="17" x14ac:dyDescent="0.3">
      <c r="A17" s="8" t="s">
        <v>2656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100</v>
      </c>
      <c r="H17" s="8">
        <v>294</v>
      </c>
      <c r="I17" s="8">
        <v>1</v>
      </c>
      <c r="J17" s="8">
        <v>27</v>
      </c>
      <c r="K17" s="8">
        <v>0</v>
      </c>
      <c r="L17" s="8">
        <v>271</v>
      </c>
      <c r="M17" s="8">
        <v>52</v>
      </c>
    </row>
    <row xmlns:x14ac="http://schemas.microsoft.com/office/spreadsheetml/2009/9/ac" r="18" x14ac:dyDescent="0.3">
      <c r="A18" s="8" t="s">
        <v>2657</v>
      </c>
      <c r="B18" s="8">
        <v>1</v>
      </c>
      <c r="C18" s="8">
        <v>1</v>
      </c>
      <c r="D18" s="8">
        <v>1</v>
      </c>
      <c r="E18" s="8">
        <v>1</v>
      </c>
      <c r="F18" s="8">
        <v>0</v>
      </c>
      <c r="G18" s="8">
        <v>465</v>
      </c>
      <c r="H18" s="8">
        <v>465</v>
      </c>
      <c r="I18" s="8">
        <v>276</v>
      </c>
      <c r="J18" s="8">
        <v>0</v>
      </c>
      <c r="K18" s="8">
        <v>0</v>
      </c>
      <c r="L18" s="8">
        <v>0</v>
      </c>
      <c r="M18" s="8">
        <v>0</v>
      </c>
    </row>
    <row xmlns:x14ac="http://schemas.microsoft.com/office/spreadsheetml/2009/9/ac" r="19" x14ac:dyDescent="0.3">
      <c r="A19" s="8" t="s">
        <v>2658</v>
      </c>
      <c r="B19" s="8">
        <v>0</v>
      </c>
      <c r="C19" s="8">
        <v>1</v>
      </c>
      <c r="D19" s="8">
        <v>1</v>
      </c>
      <c r="E19" s="8">
        <v>1</v>
      </c>
      <c r="F19" s="8">
        <v>0</v>
      </c>
      <c r="G19" s="8">
        <v>465</v>
      </c>
      <c r="H19" s="8">
        <v>465</v>
      </c>
      <c r="I19" s="8">
        <v>464</v>
      </c>
      <c r="J19" s="8">
        <v>0</v>
      </c>
      <c r="K19" s="8">
        <v>0</v>
      </c>
      <c r="L19" s="8">
        <v>0</v>
      </c>
      <c r="M19" s="8">
        <v>0</v>
      </c>
    </row>
    <row xmlns:x14ac="http://schemas.microsoft.com/office/spreadsheetml/2009/9/ac" r="20" x14ac:dyDescent="0.3">
      <c r="A20" s="8" t="s">
        <v>2659</v>
      </c>
      <c r="B20" s="8">
        <v>1</v>
      </c>
      <c r="C20" s="8">
        <v>1</v>
      </c>
      <c r="D20" s="8">
        <v>1</v>
      </c>
      <c r="E20" s="8">
        <v>1</v>
      </c>
      <c r="F20" s="8">
        <v>0</v>
      </c>
      <c r="G20" s="8">
        <v>464</v>
      </c>
      <c r="H20" s="8">
        <v>465</v>
      </c>
      <c r="I20" s="8">
        <v>333</v>
      </c>
      <c r="J20" s="8">
        <v>0</v>
      </c>
      <c r="K20" s="8">
        <v>0</v>
      </c>
      <c r="L20" s="8">
        <v>0</v>
      </c>
      <c r="M20" s="8">
        <v>0</v>
      </c>
    </row>
    <row xmlns:x14ac="http://schemas.microsoft.com/office/spreadsheetml/2009/9/ac" r="21" x14ac:dyDescent="0.3">
      <c r="A21" s="8" t="s">
        <v>2660</v>
      </c>
      <c r="B21" s="8">
        <v>1</v>
      </c>
      <c r="C21" s="8">
        <v>1</v>
      </c>
      <c r="D21" s="8">
        <v>1</v>
      </c>
      <c r="E21" s="8">
        <v>1</v>
      </c>
      <c r="F21" s="8">
        <v>0</v>
      </c>
      <c r="G21" s="8">
        <v>465</v>
      </c>
      <c r="H21" s="8">
        <v>465</v>
      </c>
      <c r="I21" s="8">
        <v>465</v>
      </c>
      <c r="J21" s="8">
        <v>0</v>
      </c>
      <c r="K21" s="8">
        <v>0</v>
      </c>
      <c r="L21" s="8">
        <v>0</v>
      </c>
      <c r="M21" s="8">
        <v>0</v>
      </c>
    </row>
    <row xmlns:x14ac="http://schemas.microsoft.com/office/spreadsheetml/2009/9/ac" r="22" x14ac:dyDescent="0.3">
      <c r="A22" s="8" t="s">
        <v>2661</v>
      </c>
      <c r="B22" s="8">
        <v>1</v>
      </c>
      <c r="C22" s="8">
        <v>1</v>
      </c>
      <c r="D22" s="8">
        <v>1</v>
      </c>
      <c r="E22" s="8">
        <v>1</v>
      </c>
      <c r="F22" s="8">
        <v>130</v>
      </c>
      <c r="G22" s="8">
        <v>465</v>
      </c>
      <c r="H22" s="8">
        <v>465</v>
      </c>
      <c r="I22" s="8">
        <v>465</v>
      </c>
      <c r="J22" s="8">
        <v>111</v>
      </c>
      <c r="K22" s="8">
        <v>0</v>
      </c>
      <c r="L22" s="8">
        <v>203</v>
      </c>
      <c r="M22" s="8">
        <v>189</v>
      </c>
    </row>
    <row xmlns:x14ac="http://schemas.microsoft.com/office/spreadsheetml/2009/9/ac" r="23" x14ac:dyDescent="0.3">
      <c r="A23" s="8" t="s">
        <v>2662</v>
      </c>
      <c r="B23" s="8">
        <v>0</v>
      </c>
      <c r="C23" s="8">
        <v>0</v>
      </c>
      <c r="D23" s="8">
        <v>1</v>
      </c>
      <c r="E23" s="8">
        <v>0</v>
      </c>
      <c r="F23" s="8">
        <v>0</v>
      </c>
      <c r="G23" s="8">
        <v>239</v>
      </c>
      <c r="H23" s="8">
        <v>423</v>
      </c>
      <c r="I23" s="8">
        <v>118</v>
      </c>
      <c r="J23" s="8">
        <v>0</v>
      </c>
      <c r="K23" s="8">
        <v>0</v>
      </c>
      <c r="L23" s="8">
        <v>212</v>
      </c>
      <c r="M23" s="8">
        <v>37</v>
      </c>
    </row>
    <row xmlns:x14ac="http://schemas.microsoft.com/office/spreadsheetml/2009/9/ac" r="24" x14ac:dyDescent="0.3">
      <c r="A24" s="8" t="s">
        <v>2663</v>
      </c>
      <c r="B24" s="8">
        <v>0</v>
      </c>
      <c r="C24" s="8">
        <v>0</v>
      </c>
      <c r="D24" s="8">
        <v>1</v>
      </c>
      <c r="E24" s="8">
        <v>0</v>
      </c>
      <c r="F24" s="8">
        <v>0</v>
      </c>
      <c r="G24" s="8">
        <v>245</v>
      </c>
      <c r="H24" s="8">
        <v>465</v>
      </c>
      <c r="I24" s="8">
        <v>132</v>
      </c>
      <c r="J24" s="8">
        <v>0</v>
      </c>
      <c r="K24" s="8">
        <v>0</v>
      </c>
      <c r="L24" s="8">
        <v>275</v>
      </c>
      <c r="M24" s="8">
        <v>83</v>
      </c>
    </row>
    <row xmlns:x14ac="http://schemas.microsoft.com/office/spreadsheetml/2009/9/ac" r="25" x14ac:dyDescent="0.3">
      <c r="A25" s="6" t="s">
        <v>2664</v>
      </c>
      <c r="B25" s="6">
        <v>0</v>
      </c>
      <c r="C25" s="6">
        <v>1</v>
      </c>
      <c r="D25" s="6">
        <v>1</v>
      </c>
      <c r="E25" s="6">
        <v>0</v>
      </c>
      <c r="F25" s="6">
        <v>0</v>
      </c>
      <c r="G25" s="6">
        <v>200</v>
      </c>
      <c r="H25" s="6">
        <v>460</v>
      </c>
      <c r="I25" s="6">
        <v>212</v>
      </c>
      <c r="J25" s="6">
        <v>0</v>
      </c>
      <c r="K25" s="6">
        <v>0</v>
      </c>
      <c r="L25" s="6">
        <v>360</v>
      </c>
      <c r="M25" s="6">
        <v>153</v>
      </c>
      <c r="N25" s="6"/>
      <c r="O25" s="6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xmlns:x14ac="http://schemas.microsoft.com/office/spreadsheetml/2009/9/ac" defaultRowHeight="14.4" x14ac:dyDescent="0.3"/>
  <cols>
    <col min="1" max="1" width="46.109375" customWidth="true"/>
  </cols>
  <sheetData>
    <row xmlns:x14ac="http://schemas.microsoft.com/office/spreadsheetml/2009/9/ac" r="1" x14ac:dyDescent="0.3">
      <c r="A1" s="0" t="s">
        <v>2670</v>
      </c>
    </row>
    <row xmlns:x14ac="http://schemas.microsoft.com/office/spreadsheetml/2009/9/ac" r="2" x14ac:dyDescent="0.3">
      <c r="A2" s="0" t="s">
        <v>2671</v>
      </c>
    </row>
    <row xmlns:x14ac="http://schemas.microsoft.com/office/spreadsheetml/2009/9/ac" r="3" x14ac:dyDescent="0.3">
      <c r="A3" s="0" t="s">
        <v>2672</v>
      </c>
    </row>
    <row xmlns:x14ac="http://schemas.microsoft.com/office/spreadsheetml/2009/9/ac" r="4" x14ac:dyDescent="0.3">
      <c r="A4" s="0" t="s">
        <v>2673</v>
      </c>
    </row>
    <row xmlns:x14ac="http://schemas.microsoft.com/office/spreadsheetml/2009/9/ac" r="5" x14ac:dyDescent="0.3">
      <c r="A5" s="0" t="s">
        <v>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2025-08-15T20:08:20Z</dcterms:modified>
</cp:coreProperties>
</file>