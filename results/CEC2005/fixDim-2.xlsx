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esearch\Project-012\results\CEC2005\"/>
    </mc:Choice>
  </mc:AlternateContent>
  <xr:revisionPtr revIDLastSave="0" documentId="13_ncr:1_{36F95F57-EEE7-4741-AD91-2FF9FD468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9" i="2" l="1"/>
  <c r="O69" i="2"/>
  <c r="N69" i="2"/>
  <c r="M69" i="2"/>
  <c r="L69" i="2"/>
  <c r="P66" i="2"/>
  <c r="O66" i="2"/>
  <c r="N66" i="2"/>
  <c r="M66" i="2"/>
  <c r="L66" i="2"/>
  <c r="P63" i="2"/>
  <c r="O63" i="2"/>
  <c r="N63" i="2"/>
  <c r="M63" i="2"/>
  <c r="L63" i="2"/>
  <c r="P60" i="2"/>
  <c r="O60" i="2"/>
  <c r="N60" i="2"/>
  <c r="M60" i="2"/>
  <c r="L60" i="2"/>
  <c r="P57" i="2"/>
  <c r="O57" i="2"/>
  <c r="N57" i="2"/>
  <c r="M57" i="2"/>
  <c r="L57" i="2"/>
  <c r="P54" i="2"/>
  <c r="O54" i="2"/>
  <c r="N54" i="2"/>
  <c r="M54" i="2"/>
  <c r="L54" i="2"/>
  <c r="P51" i="2"/>
  <c r="O51" i="2"/>
  <c r="N51" i="2"/>
  <c r="M51" i="2"/>
  <c r="L51" i="2"/>
  <c r="P48" i="2"/>
  <c r="O48" i="2"/>
  <c r="N48" i="2"/>
  <c r="M48" i="2"/>
  <c r="L48" i="2"/>
  <c r="P45" i="2"/>
  <c r="O45" i="2"/>
  <c r="N45" i="2"/>
  <c r="M45" i="2"/>
  <c r="L45" i="2"/>
  <c r="P42" i="2"/>
  <c r="O42" i="2"/>
  <c r="N42" i="2"/>
  <c r="M42" i="2"/>
  <c r="L42" i="2"/>
  <c r="P39" i="2"/>
  <c r="O39" i="2"/>
  <c r="N39" i="2"/>
  <c r="M39" i="2"/>
  <c r="L39" i="2"/>
  <c r="P36" i="2"/>
  <c r="O36" i="2"/>
  <c r="N36" i="2"/>
  <c r="M36" i="2"/>
  <c r="L36" i="2"/>
  <c r="P33" i="2"/>
  <c r="O33" i="2"/>
  <c r="N33" i="2"/>
  <c r="M33" i="2"/>
  <c r="L33" i="2"/>
  <c r="P30" i="2"/>
  <c r="O30" i="2"/>
  <c r="N30" i="2"/>
  <c r="M30" i="2"/>
  <c r="L30" i="2"/>
  <c r="P27" i="2"/>
  <c r="O27" i="2"/>
  <c r="N27" i="2"/>
  <c r="M27" i="2"/>
  <c r="L27" i="2"/>
  <c r="P24" i="2"/>
  <c r="O24" i="2"/>
  <c r="N24" i="2"/>
  <c r="M24" i="2"/>
  <c r="L24" i="2"/>
  <c r="P21" i="2"/>
  <c r="O21" i="2"/>
  <c r="N21" i="2"/>
  <c r="M21" i="2"/>
  <c r="L21" i="2"/>
  <c r="P18" i="2"/>
  <c r="O18" i="2"/>
  <c r="N18" i="2"/>
  <c r="M18" i="2"/>
  <c r="L18" i="2"/>
  <c r="P15" i="2"/>
  <c r="O15" i="2"/>
  <c r="N15" i="2"/>
  <c r="M15" i="2"/>
  <c r="L15" i="2"/>
  <c r="P12" i="2"/>
  <c r="O12" i="2"/>
  <c r="N12" i="2"/>
  <c r="M12" i="2"/>
  <c r="L12" i="2"/>
  <c r="P9" i="2"/>
  <c r="O9" i="2"/>
  <c r="G72" i="2" s="1"/>
  <c r="N9" i="2"/>
  <c r="F72" i="2" s="1"/>
  <c r="M9" i="2"/>
  <c r="L9" i="2"/>
  <c r="P6" i="2"/>
  <c r="O6" i="2"/>
  <c r="N6" i="2"/>
  <c r="M6" i="2"/>
  <c r="L6" i="2"/>
  <c r="P3" i="2"/>
  <c r="H74" i="2" s="1"/>
  <c r="O3" i="2"/>
  <c r="N3" i="2"/>
  <c r="F74" i="2" s="1"/>
  <c r="M3" i="2"/>
  <c r="L3" i="2"/>
  <c r="F73" i="2" l="1"/>
  <c r="H72" i="2"/>
  <c r="G74" i="2"/>
  <c r="G75" i="2" s="1"/>
  <c r="D72" i="2"/>
  <c r="G73" i="2" s="1"/>
  <c r="E74" i="2"/>
  <c r="D74" i="2"/>
  <c r="H75" i="2" s="1"/>
  <c r="E72" i="2"/>
  <c r="E73" i="2" l="1"/>
  <c r="F75" i="2"/>
  <c r="H73" i="2"/>
  <c r="D75" i="2"/>
  <c r="E75" i="2"/>
  <c r="D73" i="2"/>
</calcChain>
</file>

<file path=xl/sharedStrings.xml><?xml version="1.0" encoding="utf-8"?>
<sst xmlns="http://schemas.openxmlformats.org/spreadsheetml/2006/main" count="431" uniqueCount="118">
  <si>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</si>
  <si>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</si>
  <si>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</si>
  <si>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</si>
  <si>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</si>
  <si>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</si>
  <si>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</si>
  <si>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</si>
  <si>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</si>
  <si>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</si>
  <si>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</si>
  <si>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</si>
  <si>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</si>
  <si>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</si>
  <si>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</si>
  <si>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</si>
  <si>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</si>
  <si>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</si>
  <si>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</si>
  <si>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</si>
  <si>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</si>
  <si>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</si>
  <si>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</si>
  <si>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</si>
  <si>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</si>
  <si>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</si>
  <si>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Unimodal
Functions</t>
  </si>
  <si>
    <t>Functions</t>
  </si>
  <si>
    <t>Column1</t>
  </si>
  <si>
    <t>Column2</t>
  </si>
  <si>
    <t>Multimodal
Functions</t>
  </si>
  <si>
    <t>Fixed-Dim
Multimodal
Functions</t>
  </si>
  <si>
    <t>Comparison of optimization results for the CEC benchmark functions 2005 (Fix Dim)</t>
  </si>
  <si>
    <t>Average rating in the set</t>
  </si>
  <si>
    <t>Total number of 
best answers</t>
  </si>
  <si>
    <t>Rank by total number of 
best answers</t>
  </si>
  <si>
    <t>Rank based on 
the average in the set</t>
  </si>
  <si>
    <t>P-value of the Wilcoxon analysis for the CEC benchmark functions 2005 (Fix Dim)</t>
  </si>
  <si>
    <t>Algorithm 1</t>
  </si>
  <si>
    <t>Algorithm 2</t>
  </si>
  <si>
    <t>Algorithm 3</t>
  </si>
  <si>
    <t>Algorithm 4</t>
  </si>
  <si>
    <t>Algorithm 5</t>
  </si>
  <si>
    <t>H-value of the Wilcoxon analysis for the CEC benchmark functions 2005 (Fix Dim)</t>
  </si>
  <si>
    <t>P-value of the T-test analysis for the CEC benchmark functions 2005 (Fix Dim)</t>
  </si>
  <si>
    <t>H-value of the T-test analysis for the CEC benchmark functions 2005 (Fix Dim)</t>
  </si>
  <si>
    <t>State of the Wilcoxon analysis for the CEC benchmark functions 2005 (Fix Dim)</t>
  </si>
  <si>
    <t>MADFOA vs MFO</t>
  </si>
  <si>
    <t>MADFOA vs MFO</t>
  </si>
  <si>
    <t>MADFOA vs MFO</t>
  </si>
  <si>
    <t>MADFOA vs MFO</t>
  </si>
  <si>
    <t>MADFOA vs MFO</t>
  </si>
  <si>
    <t>MADFOA vs GWO</t>
  </si>
  <si>
    <t>MADFOA vs GWO</t>
  </si>
  <si>
    <t>MADFOA vs GWO</t>
  </si>
  <si>
    <t>MADFOA vs GWO</t>
  </si>
  <si>
    <t>MADFOA vs GWO</t>
  </si>
  <si>
    <t>ORCAS vs SBO</t>
  </si>
  <si>
    <t>ORCAS vs DE</t>
  </si>
  <si>
    <t>ORCAS vs GA</t>
  </si>
  <si>
    <t>ORCAS vs SBO</t>
  </si>
  <si>
    <t>ORCAS vs DE</t>
  </si>
  <si>
    <t>ORCAS vs GA</t>
  </si>
  <si>
    <t>ORCAS vs SBO</t>
  </si>
  <si>
    <t>ORCAS vs DE</t>
  </si>
  <si>
    <t>ORCAS vs GA</t>
  </si>
  <si>
    <t>ORCAS vs SBO</t>
  </si>
  <si>
    <t>ORCAS vs DE</t>
  </si>
  <si>
    <t>ORCAS vs GA</t>
  </si>
  <si>
    <t>ORCAS vs SBO</t>
  </si>
  <si>
    <t>ORCAS vs DE</t>
  </si>
  <si>
    <t>ORCAS vs GA</t>
  </si>
  <si>
    <t>Mean</t>
  </si>
  <si>
    <t>Std</t>
  </si>
  <si>
    <t>CPU</t>
  </si>
  <si>
    <t>GWO</t>
  </si>
  <si>
    <t>PSO</t>
  </si>
  <si>
    <t>GA</t>
  </si>
  <si>
    <t>SFOOLMBES vs GA</t>
  </si>
  <si>
    <t>SFOOLMBES vs GA</t>
  </si>
  <si>
    <t>SFOOLMBES vs GA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</si>
  <si>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</si>
  <si>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</si>
  <si>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</si>
  <si>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</si>
  <si>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</si>
  <si>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</si>
  <si>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</si>
  <si>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</si>
  <si>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</si>
  <si>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</si>
  <si>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</si>
  <si>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</si>
  <si>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</si>
  <si>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</si>
  <si>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</si>
  <si>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</si>
  <si>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</si>
  <si>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</si>
  <si>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</si>
  <si>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</si>
  <si>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</si>
  <si>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</si>
  <si>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</si>
  <si>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</si>
  <si>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</si>
  <si>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</si>
  <si>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</si>
  <si>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</si>
  <si>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</si>
  <si>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</si>
  <si>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</si>
  <si>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ORCAS_1</t>
  </si>
  <si>
    <t>ORCAS_2</t>
  </si>
  <si>
    <t>ORCAS_1 vs ORCAS_2</t>
  </si>
  <si>
    <t>ORCAS_1 vs GWO</t>
  </si>
  <si>
    <t>ORCAS_1 vs PSO</t>
  </si>
  <si>
    <t>ORCAS_1 vs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</si>
</sst>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1" fontId="0" fillId="0" borderId="1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11" fontId="0" fillId="0" borderId="7" xfId="0" applyNumberFormat="1" applyBorder="1" applyAlignment="1">
      <alignment horizontal="left" vertical="top"/>
    </xf>
    <xf numFmtId="0" fontId="0" fillId="0" borderId="5" xfId="0" applyBorder="1"/>
    <xf numFmtId="0" fontId="0" fillId="0" borderId="4" xfId="0" applyBorder="1"/>
    <xf numFmtId="0" fontId="0" fillId="0" borderId="7" xfId="0" applyBorder="1"/>
    <xf numFmtId="11" fontId="0" fillId="0" borderId="5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32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I2:J71" totalsRowShown="0" headerRowDxfId="31" dataDxfId="30" tableBorderDxfId="29">
  <autoFilter ref="I2:J71" xr:uid="{00000000-0009-0000-0100-000001000000}"/>
  <tableColumns count="2">
    <tableColumn id="1" xr3:uid="{00000000-0010-0000-0000-000001000000}" name="Column1" dataDxfId="28"/>
    <tableColumn id="2" xr3:uid="{00000000-0010-0000-0000-000002000000}" name="Column2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activeCell="S11" sqref="S11"/>
    </sheetView>
  </sheetViews>
  <sheetFormatPr defaultRowHeight="14.4" x14ac:dyDescent="0.3"/>
  <cols>
    <col min="1" max="1" width="10.33203125" style="8" bestFit="1" customWidth="1"/>
    <col min="2" max="2" width="3.88671875" style="8" bestFit="1" customWidth="1"/>
    <col min="3" max="3" width="5.6640625" style="8" bestFit="1" customWidth="1"/>
    <col min="4" max="8" width="9.21875" style="8" bestFit="1" customWidth="1"/>
    <col min="9" max="10" width="10.44140625" style="8" customWidth="1"/>
    <col min="11" max="11" width="8.88671875" style="8"/>
    <col min="12" max="16" width="10.33203125" style="8" bestFit="1" customWidth="1"/>
    <col min="17" max="16384" width="8.88671875" style="8"/>
  </cols>
  <sheetData>
    <row r="1" spans="1:16" ht="15" thickBot="1" x14ac:dyDescent="0.35">
      <c r="A1" s="19" t="s">
        <v>32</v>
      </c>
      <c r="B1" s="19"/>
      <c r="C1" s="19"/>
      <c r="D1" s="19"/>
      <c r="E1" s="19"/>
      <c r="F1" s="19"/>
      <c r="G1" s="19"/>
      <c r="H1" s="19"/>
    </row>
    <row r="2" spans="1:16" x14ac:dyDescent="0.3">
      <c r="A2" s="1" t="s">
        <v>27</v>
      </c>
      <c r="B2" s="1"/>
      <c r="C2" s="1"/>
      <c r="D2" s="1" t="s">
        <v>112</v>
      </c>
      <c r="E2" s="1" t="s">
        <v>113</v>
      </c>
      <c r="F2" s="1" t="s">
        <v>75</v>
      </c>
      <c r="G2" s="1" t="s">
        <v>76</v>
      </c>
      <c r="H2" s="1" t="s">
        <v>77</v>
      </c>
      <c r="I2" s="4" t="s">
        <v>28</v>
      </c>
      <c r="J2" s="4" t="s">
        <v>29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</row>
    <row r="3" spans="1:16" ht="14.4" customHeight="1" x14ac:dyDescent="0.3">
      <c r="A3" s="25" t="s">
        <v>26</v>
      </c>
      <c r="B3" s="2" t="s">
        <v>83</v>
      </c>
      <c r="C3" s="2" t="s">
        <v>72</v>
      </c>
      <c r="D3" s="3">
        <v>4.0637053767557147E-4</v>
      </c>
      <c r="E3" s="3">
        <v>1.3522138034570824E-5</v>
      </c>
      <c r="F3" s="3">
        <v>8.356324475091812E-31</v>
      </c>
      <c r="G3" s="3">
        <v>7.0310323853850578</v>
      </c>
      <c r="H3" s="3">
        <v>163.97375897739218</v>
      </c>
      <c r="I3" s="2" t="s">
        <v>0</v>
      </c>
      <c r="J3" s="2" t="s">
        <v>23</v>
      </c>
      <c r="L3" s="8">
        <f>_xlfn.RANK.EQ(D3,$D3:$H3,1)</f>
        <v>3</v>
      </c>
      <c r="M3" s="8">
        <f>_xlfn.RANK.EQ(E3,$D3:$H3,1)</f>
        <v>2</v>
      </c>
      <c r="N3" s="8">
        <f>_xlfn.RANK.EQ(F3,$D3:$H3,1)</f>
        <v>1</v>
      </c>
      <c r="O3" s="8">
        <f>_xlfn.RANK.EQ(G3,$D3:$H3,1)</f>
        <v>4</v>
      </c>
      <c r="P3" s="8">
        <f>_xlfn.RANK.EQ(H3,$D3:$H3,1)</f>
        <v>5</v>
      </c>
    </row>
    <row r="4" spans="1:16" x14ac:dyDescent="0.3">
      <c r="A4" s="26"/>
      <c r="B4" s="15" t="s">
        <v>83</v>
      </c>
      <c r="C4" s="4" t="s">
        <v>73</v>
      </c>
      <c r="D4" s="5">
        <v>6.6357958912671125E-4</v>
      </c>
      <c r="E4" s="5">
        <v>4.5341450048683465E-6</v>
      </c>
      <c r="F4" s="5">
        <v>1.1468628616472305E-30</v>
      </c>
      <c r="G4" s="5">
        <v>3.1097813303190271</v>
      </c>
      <c r="H4" s="5">
        <v>59.884565802976688</v>
      </c>
      <c r="I4" s="4"/>
      <c r="J4" s="4" t="s">
        <v>24</v>
      </c>
    </row>
    <row r="5" spans="1:16" x14ac:dyDescent="0.3">
      <c r="A5" s="26"/>
      <c r="B5" s="6" t="s">
        <v>83</v>
      </c>
      <c r="C5" s="6" t="s">
        <v>74</v>
      </c>
      <c r="D5" s="7">
        <v>0.27083333333333331</v>
      </c>
      <c r="E5" s="7">
        <v>0.21875</v>
      </c>
      <c r="F5" s="7">
        <v>0.421875</v>
      </c>
      <c r="G5" s="7">
        <v>0.3125</v>
      </c>
      <c r="H5" s="7">
        <v>0.38541666666666669</v>
      </c>
      <c r="I5" s="6"/>
      <c r="J5" s="6" t="s">
        <v>25</v>
      </c>
    </row>
    <row r="6" spans="1:16" x14ac:dyDescent="0.3">
      <c r="A6" s="26"/>
      <c r="B6" s="2" t="s">
        <v>84</v>
      </c>
      <c r="C6" s="2" t="s">
        <v>72</v>
      </c>
      <c r="D6" s="3">
        <v>4.2174668256701265E-3</v>
      </c>
      <c r="E6" s="3">
        <v>7.9315236570387906E-4</v>
      </c>
      <c r="F6" s="3">
        <v>7.8244317599073016E-19</v>
      </c>
      <c r="G6" s="3">
        <v>0.24791711594935104</v>
      </c>
      <c r="H6" s="3">
        <v>3.7614979425642812</v>
      </c>
      <c r="I6" s="2" t="s">
        <v>1</v>
      </c>
      <c r="J6" s="2" t="s">
        <v>23</v>
      </c>
      <c r="L6" s="8">
        <f>_xlfn.RANK.EQ(D6,$D6:$H6,1)</f>
        <v>3</v>
      </c>
      <c r="M6" s="8">
        <f>_xlfn.RANK.EQ(E6,$D6:$H6,1)</f>
        <v>2</v>
      </c>
      <c r="N6" s="8">
        <f>_xlfn.RANK.EQ(F6,$D6:$H6,1)</f>
        <v>1</v>
      </c>
      <c r="O6" s="8">
        <f>_xlfn.RANK.EQ(G6,$D6:$H6,1)</f>
        <v>4</v>
      </c>
      <c r="P6" s="8">
        <f>_xlfn.RANK.EQ(H6,$D6:$H6,1)</f>
        <v>5</v>
      </c>
    </row>
    <row r="7" spans="1:16" x14ac:dyDescent="0.3">
      <c r="A7" s="26"/>
      <c r="B7" s="15" t="s">
        <v>84</v>
      </c>
      <c r="C7" s="4" t="s">
        <v>73</v>
      </c>
      <c r="D7" s="5">
        <v>3.2930425928008721E-3</v>
      </c>
      <c r="E7" s="5">
        <v>8.7145089708060377E-4</v>
      </c>
      <c r="F7" s="5">
        <v>7.8219126306285481E-19</v>
      </c>
      <c r="G7" s="5">
        <v>0.11342456512137485</v>
      </c>
      <c r="H7" s="5">
        <v>0.96074027643244186</v>
      </c>
      <c r="I7" s="4"/>
      <c r="J7" s="4" t="s">
        <v>24</v>
      </c>
    </row>
    <row r="8" spans="1:16" x14ac:dyDescent="0.3">
      <c r="A8" s="26"/>
      <c r="B8" s="6" t="s">
        <v>84</v>
      </c>
      <c r="C8" s="6" t="s">
        <v>74</v>
      </c>
      <c r="D8" s="7">
        <v>0.38020833333333331</v>
      </c>
      <c r="E8" s="7">
        <v>0.24479166666666666</v>
      </c>
      <c r="F8" s="7">
        <v>0.33333333333333331</v>
      </c>
      <c r="G8" s="7">
        <v>0.30729166666666669</v>
      </c>
      <c r="H8" s="7">
        <v>0.390625</v>
      </c>
      <c r="I8" s="6"/>
      <c r="J8" s="6" t="s">
        <v>25</v>
      </c>
    </row>
    <row r="9" spans="1:16" x14ac:dyDescent="0.3">
      <c r="A9" s="26"/>
      <c r="B9" s="2" t="s">
        <v>85</v>
      </c>
      <c r="C9" s="2" t="s">
        <v>72</v>
      </c>
      <c r="D9" s="3">
        <v>0.14074119362090301</v>
      </c>
      <c r="E9" s="3">
        <v>3.3129642079793389E-3</v>
      </c>
      <c r="F9" s="3">
        <v>2.6435138155248477E-4</v>
      </c>
      <c r="G9" s="3">
        <v>10853.009849099535</v>
      </c>
      <c r="H9" s="3">
        <v>18440.573014827172</v>
      </c>
      <c r="I9" s="2" t="s">
        <v>2</v>
      </c>
      <c r="J9" s="2" t="s">
        <v>23</v>
      </c>
      <c r="L9" s="8">
        <f>_xlfn.RANK.EQ(D9,$D9:$H9,1)</f>
        <v>3</v>
      </c>
      <c r="M9" s="8">
        <f>_xlfn.RANK.EQ(E9,$D9:$H9,1)</f>
        <v>2</v>
      </c>
      <c r="N9" s="8">
        <f>_xlfn.RANK.EQ(F9,$D9:$H9,1)</f>
        <v>1</v>
      </c>
      <c r="O9" s="8">
        <f>_xlfn.RANK.EQ(G9,$D9:$H9,1)</f>
        <v>4</v>
      </c>
      <c r="P9" s="8">
        <f>_xlfn.RANK.EQ(H9,$D9:$H9,1)</f>
        <v>5</v>
      </c>
    </row>
    <row r="10" spans="1:16" x14ac:dyDescent="0.3">
      <c r="A10" s="26"/>
      <c r="B10" s="15" t="s">
        <v>85</v>
      </c>
      <c r="C10" s="4" t="s">
        <v>73</v>
      </c>
      <c r="D10" s="5">
        <v>8.4324530465295977E-2</v>
      </c>
      <c r="E10" s="5">
        <v>4.6051281001498181E-3</v>
      </c>
      <c r="F10" s="5">
        <v>3.2822345075301753E-4</v>
      </c>
      <c r="G10" s="5">
        <v>3051.0734759977763</v>
      </c>
      <c r="H10" s="5">
        <v>6979.3824563152484</v>
      </c>
      <c r="I10" s="4"/>
      <c r="J10" s="4" t="s">
        <v>24</v>
      </c>
    </row>
    <row r="11" spans="1:16" x14ac:dyDescent="0.3">
      <c r="A11" s="26"/>
      <c r="B11" s="6" t="s">
        <v>85</v>
      </c>
      <c r="C11" s="6" t="s">
        <v>74</v>
      </c>
      <c r="D11" s="7">
        <v>0.54166666666666663</v>
      </c>
      <c r="E11" s="7">
        <v>0.32291666666666669</v>
      </c>
      <c r="F11" s="7">
        <v>0.453125</v>
      </c>
      <c r="G11" s="7">
        <v>0.52083333333333337</v>
      </c>
      <c r="H11" s="7">
        <v>0.67708333333333337</v>
      </c>
      <c r="I11" s="6"/>
      <c r="J11" s="6" t="s">
        <v>25</v>
      </c>
    </row>
    <row r="12" spans="1:16" ht="14.4" customHeight="1" x14ac:dyDescent="0.3">
      <c r="A12" s="26"/>
      <c r="B12" s="2" t="s">
        <v>86</v>
      </c>
      <c r="C12" s="2" t="s">
        <v>72</v>
      </c>
      <c r="D12" s="3">
        <v>7.0913455106561205E-3</v>
      </c>
      <c r="E12" s="3">
        <v>1.1639617607643916E-3</v>
      </c>
      <c r="F12" s="3">
        <v>9.5245850685625102E-7</v>
      </c>
      <c r="G12" s="3">
        <v>23.82206108642163</v>
      </c>
      <c r="H12" s="3">
        <v>23.58910191226936</v>
      </c>
      <c r="I12" s="2" t="s">
        <v>3</v>
      </c>
      <c r="J12" s="2" t="s">
        <v>23</v>
      </c>
      <c r="L12" s="8">
        <f>_xlfn.RANK.EQ(D12,$D12:$H12,1)</f>
        <v>3</v>
      </c>
      <c r="M12" s="8">
        <f>_xlfn.RANK.EQ(E12,$D12:$H12,1)</f>
        <v>2</v>
      </c>
      <c r="N12" s="8">
        <f>_xlfn.RANK.EQ(F12,$D12:$H12,1)</f>
        <v>1</v>
      </c>
      <c r="O12" s="8">
        <f>_xlfn.RANK.EQ(G12,$D12:$H12,1)</f>
        <v>5</v>
      </c>
      <c r="P12" s="8">
        <f>_xlfn.RANK.EQ(H12,$D12:$H12,1)</f>
        <v>4</v>
      </c>
    </row>
    <row r="13" spans="1:16" x14ac:dyDescent="0.3">
      <c r="A13" s="26"/>
      <c r="B13" s="15" t="s">
        <v>86</v>
      </c>
      <c r="C13" s="4" t="s">
        <v>73</v>
      </c>
      <c r="D13" s="5">
        <v>3.4445849821713461E-3</v>
      </c>
      <c r="E13" s="5">
        <v>1.3376164629056294E-3</v>
      </c>
      <c r="F13" s="5">
        <v>8.9046174372963388E-7</v>
      </c>
      <c r="G13" s="5">
        <v>1.9022052539239256</v>
      </c>
      <c r="H13" s="5">
        <v>1.5641756392389008</v>
      </c>
      <c r="I13" s="4"/>
      <c r="J13" s="4" t="s">
        <v>24</v>
      </c>
    </row>
    <row r="14" spans="1:16" x14ac:dyDescent="0.3">
      <c r="A14" s="26"/>
      <c r="B14" s="6" t="s">
        <v>86</v>
      </c>
      <c r="C14" s="6" t="s">
        <v>74</v>
      </c>
      <c r="D14" s="7">
        <v>0.19791666666666666</v>
      </c>
      <c r="E14" s="7">
        <v>0.23958333333333334</v>
      </c>
      <c r="F14" s="7">
        <v>0.3125</v>
      </c>
      <c r="G14" s="7">
        <v>0.28645833333333331</v>
      </c>
      <c r="H14" s="7">
        <v>0.390625</v>
      </c>
      <c r="I14" s="6"/>
      <c r="J14" s="6" t="s">
        <v>25</v>
      </c>
    </row>
    <row r="15" spans="1:16" x14ac:dyDescent="0.3">
      <c r="A15" s="26"/>
      <c r="B15" s="2" t="s">
        <v>87</v>
      </c>
      <c r="C15" s="2" t="s">
        <v>72</v>
      </c>
      <c r="D15" s="3">
        <v>19.738482275894768</v>
      </c>
      <c r="E15" s="3">
        <v>0.84116984770993575</v>
      </c>
      <c r="F15" s="3">
        <v>27.06065318729225</v>
      </c>
      <c r="G15" s="3">
        <v>292.07109306862213</v>
      </c>
      <c r="H15" s="3">
        <v>4489.3462864646544</v>
      </c>
      <c r="I15" s="2" t="s">
        <v>4</v>
      </c>
      <c r="J15" s="2" t="s">
        <v>23</v>
      </c>
      <c r="L15" s="8">
        <f>_xlfn.RANK.EQ(D15,$D15:$H15,1)</f>
        <v>2</v>
      </c>
      <c r="M15" s="8">
        <f>_xlfn.RANK.EQ(E15,$D15:$H15,1)</f>
        <v>1</v>
      </c>
      <c r="N15" s="8">
        <f>_xlfn.RANK.EQ(F15,$D15:$H15,1)</f>
        <v>3</v>
      </c>
      <c r="O15" s="8">
        <f>_xlfn.RANK.EQ(G15,$D15:$H15,1)</f>
        <v>4</v>
      </c>
      <c r="P15" s="8">
        <f>_xlfn.RANK.EQ(H15,$D15:$H15,1)</f>
        <v>5</v>
      </c>
    </row>
    <row r="16" spans="1:16" x14ac:dyDescent="0.3">
      <c r="A16" s="26"/>
      <c r="B16" s="15" t="s">
        <v>87</v>
      </c>
      <c r="C16" s="4" t="s">
        <v>73</v>
      </c>
      <c r="D16" s="5">
        <v>15.582649959191826</v>
      </c>
      <c r="E16" s="5">
        <v>1.1607852511388945</v>
      </c>
      <c r="F16" s="5">
        <v>0.87239126625206342</v>
      </c>
      <c r="G16" s="5">
        <v>139.24998632424578</v>
      </c>
      <c r="H16" s="5">
        <v>267.6228309101686</v>
      </c>
      <c r="I16" s="4"/>
      <c r="J16" s="4" t="s">
        <v>24</v>
      </c>
    </row>
    <row r="17" spans="1:16" x14ac:dyDescent="0.3">
      <c r="A17" s="26"/>
      <c r="B17" s="6" t="s">
        <v>87</v>
      </c>
      <c r="C17" s="6" t="s">
        <v>74</v>
      </c>
      <c r="D17" s="7">
        <v>0.50520833333333337</v>
      </c>
      <c r="E17" s="7">
        <v>0.41145833333333331</v>
      </c>
      <c r="F17" s="7">
        <v>0.375</v>
      </c>
      <c r="G17" s="7">
        <v>0.36458333333333331</v>
      </c>
      <c r="H17" s="7">
        <v>0.45833333333333331</v>
      </c>
      <c r="I17" s="6"/>
      <c r="J17" s="6" t="s">
        <v>25</v>
      </c>
    </row>
    <row r="18" spans="1:16" x14ac:dyDescent="0.3">
      <c r="A18" s="26"/>
      <c r="B18" s="2" t="s">
        <v>88</v>
      </c>
      <c r="C18" s="2" t="s">
        <v>72</v>
      </c>
      <c r="D18" s="3">
        <v>5.3553588449329226E-2</v>
      </c>
      <c r="E18" s="3">
        <v>1.2548323404039858</v>
      </c>
      <c r="F18" s="3">
        <v>0.64896552286110654</v>
      </c>
      <c r="G18" s="3">
        <v>7.5944069952649471</v>
      </c>
      <c r="H18" s="3">
        <v>98.619003723347632</v>
      </c>
      <c r="I18" s="2" t="s">
        <v>5</v>
      </c>
      <c r="J18" s="2" t="s">
        <v>23</v>
      </c>
      <c r="L18" s="8">
        <f>_xlfn.RANK.EQ(D18,$D18:$H18,1)</f>
        <v>1</v>
      </c>
      <c r="M18" s="8">
        <f>_xlfn.RANK.EQ(E18,$D18:$H18,1)</f>
        <v>3</v>
      </c>
      <c r="N18" s="8">
        <f>_xlfn.RANK.EQ(F18,$D18:$H18,1)</f>
        <v>2</v>
      </c>
      <c r="O18" s="8">
        <f>_xlfn.RANK.EQ(G18,$D18:$H18,1)</f>
        <v>4</v>
      </c>
      <c r="P18" s="8">
        <f>_xlfn.RANK.EQ(H18,$D18:$H18,1)</f>
        <v>5</v>
      </c>
    </row>
    <row r="19" spans="1:16" x14ac:dyDescent="0.3">
      <c r="A19" s="26"/>
      <c r="B19" s="15" t="s">
        <v>88</v>
      </c>
      <c r="C19" s="4" t="s">
        <v>73</v>
      </c>
      <c r="D19" s="5">
        <v>2.5516713189897473E-2</v>
      </c>
      <c r="E19" s="5">
        <v>1.5928621309474029</v>
      </c>
      <c r="F19" s="5">
        <v>0.13885342171770604</v>
      </c>
      <c r="G19" s="5">
        <v>1.2853148663143865</v>
      </c>
      <c r="H19" s="5">
        <v>27.246873040278103</v>
      </c>
      <c r="I19" s="4"/>
      <c r="J19" s="4" t="s">
        <v>24</v>
      </c>
    </row>
    <row r="20" spans="1:16" x14ac:dyDescent="0.3">
      <c r="A20" s="26"/>
      <c r="B20" s="6" t="s">
        <v>88</v>
      </c>
      <c r="C20" s="6" t="s">
        <v>74</v>
      </c>
      <c r="D20" s="7">
        <v>0.40104166666666669</v>
      </c>
      <c r="E20" s="7">
        <v>0.25</v>
      </c>
      <c r="F20" s="7">
        <v>0.32291666666666669</v>
      </c>
      <c r="G20" s="7">
        <v>0.30729166666666669</v>
      </c>
      <c r="H20" s="7">
        <v>0.41666666666666669</v>
      </c>
      <c r="I20" s="6"/>
      <c r="J20" s="6" t="s">
        <v>25</v>
      </c>
    </row>
    <row r="21" spans="1:16" x14ac:dyDescent="0.3">
      <c r="A21" s="26"/>
      <c r="B21" s="2" t="s">
        <v>89</v>
      </c>
      <c r="C21" s="2" t="s">
        <v>72</v>
      </c>
      <c r="D21" s="3">
        <v>9.9457106591155386E-4</v>
      </c>
      <c r="E21" s="3">
        <v>3.4796493577130927E-4</v>
      </c>
      <c r="F21" s="3">
        <v>2.6845811242295638E-3</v>
      </c>
      <c r="G21" s="3">
        <v>0.1741314117785441</v>
      </c>
      <c r="H21" s="3">
        <v>0.14991820627137717</v>
      </c>
      <c r="I21" s="2" t="s">
        <v>6</v>
      </c>
      <c r="J21" s="2" t="s">
        <v>23</v>
      </c>
      <c r="L21" s="8">
        <f>_xlfn.RANK.EQ(D21,$D21:$H21,1)</f>
        <v>2</v>
      </c>
      <c r="M21" s="8">
        <f>_xlfn.RANK.EQ(E21,$D21:$H21,1)</f>
        <v>1</v>
      </c>
      <c r="N21" s="8">
        <f>_xlfn.RANK.EQ(F21,$D21:$H21,1)</f>
        <v>3</v>
      </c>
      <c r="O21" s="8">
        <f>_xlfn.RANK.EQ(G21,$D21:$H21,1)</f>
        <v>5</v>
      </c>
      <c r="P21" s="8">
        <f>_xlfn.RANK.EQ(H21,$D21:$H21,1)</f>
        <v>4</v>
      </c>
    </row>
    <row r="22" spans="1:16" x14ac:dyDescent="0.3">
      <c r="A22" s="26"/>
      <c r="B22" s="15" t="s">
        <v>89</v>
      </c>
      <c r="C22" s="4" t="s">
        <v>73</v>
      </c>
      <c r="D22" s="5">
        <v>1.0950370954729338E-4</v>
      </c>
      <c r="E22" s="5">
        <v>1.9113764073513324E-4</v>
      </c>
      <c r="F22" s="5">
        <v>2.0141279551402973E-3</v>
      </c>
      <c r="G22" s="5">
        <v>5.6873514670734718E-2</v>
      </c>
      <c r="H22" s="5">
        <v>0.11307054286646541</v>
      </c>
      <c r="I22" s="4"/>
      <c r="J22" s="4" t="s">
        <v>24</v>
      </c>
    </row>
    <row r="23" spans="1:16" x14ac:dyDescent="0.3">
      <c r="A23" s="22"/>
      <c r="B23" s="6" t="s">
        <v>89</v>
      </c>
      <c r="C23" s="6" t="s">
        <v>74</v>
      </c>
      <c r="D23" s="7">
        <v>0.54166666666666663</v>
      </c>
      <c r="E23" s="7">
        <v>0.29166666666666669</v>
      </c>
      <c r="F23" s="7">
        <v>0.52604166666666663</v>
      </c>
      <c r="G23" s="7">
        <v>0.48958333333333331</v>
      </c>
      <c r="H23" s="7">
        <v>0.609375</v>
      </c>
      <c r="I23" s="6"/>
      <c r="J23" s="6" t="s">
        <v>25</v>
      </c>
    </row>
    <row r="24" spans="1:16" x14ac:dyDescent="0.3">
      <c r="A24" s="25" t="s">
        <v>30</v>
      </c>
      <c r="B24" s="2" t="s">
        <v>90</v>
      </c>
      <c r="C24" s="2" t="s">
        <v>72</v>
      </c>
      <c r="D24" s="3">
        <v>-2093.4250940466031</v>
      </c>
      <c r="E24" s="3">
        <v>-2138.9674336268381</v>
      </c>
      <c r="F24" s="3">
        <v>-6697.5919198571219</v>
      </c>
      <c r="G24" s="3">
        <v>-10981.68931269882</v>
      </c>
      <c r="H24" s="3">
        <v>-12280.074552920707</v>
      </c>
      <c r="I24" s="2" t="s">
        <v>7</v>
      </c>
      <c r="J24" s="2" t="s">
        <v>23</v>
      </c>
      <c r="L24" s="8">
        <f>_xlfn.RANK.EQ(D24,$D24:$H24,1)</f>
        <v>5</v>
      </c>
      <c r="M24" s="8">
        <f>_xlfn.RANK.EQ(E24,$D24:$H24,1)</f>
        <v>4</v>
      </c>
      <c r="N24" s="8">
        <f>_xlfn.RANK.EQ(F24,$D24:$H24,1)</f>
        <v>3</v>
      </c>
      <c r="O24" s="8">
        <f>_xlfn.RANK.EQ(G24,$D24:$H24,1)</f>
        <v>2</v>
      </c>
      <c r="P24" s="8">
        <f>_xlfn.RANK.EQ(H24,$D24:$H24,1)</f>
        <v>1</v>
      </c>
    </row>
    <row r="25" spans="1:16" x14ac:dyDescent="0.3">
      <c r="A25" s="26"/>
      <c r="B25" s="15" t="s">
        <v>90</v>
      </c>
      <c r="C25" s="4" t="s">
        <v>73</v>
      </c>
      <c r="D25" s="5">
        <v>975.15562472406839</v>
      </c>
      <c r="E25" s="5">
        <v>858.41895336205039</v>
      </c>
      <c r="F25" s="5">
        <v>571.04125394054608</v>
      </c>
      <c r="G25" s="5">
        <v>247.14578113998135</v>
      </c>
      <c r="H25" s="5">
        <v>119.57243805854304</v>
      </c>
      <c r="I25" s="4"/>
      <c r="J25" s="4" t="s">
        <v>24</v>
      </c>
    </row>
    <row r="26" spans="1:16" x14ac:dyDescent="0.3">
      <c r="A26" s="26"/>
      <c r="B26" s="6" t="s">
        <v>90</v>
      </c>
      <c r="C26" s="6" t="s">
        <v>74</v>
      </c>
      <c r="D26" s="7">
        <v>0.27083333333333331</v>
      </c>
      <c r="E26" s="7">
        <v>0.25</v>
      </c>
      <c r="F26" s="7">
        <v>0.36458333333333331</v>
      </c>
      <c r="G26" s="7">
        <v>0.38541666666666669</v>
      </c>
      <c r="H26" s="7">
        <v>0.50520833333333337</v>
      </c>
      <c r="I26" s="6"/>
      <c r="J26" s="6" t="s">
        <v>25</v>
      </c>
    </row>
    <row r="27" spans="1:16" x14ac:dyDescent="0.3">
      <c r="A27" s="26"/>
      <c r="B27" s="2" t="s">
        <v>91</v>
      </c>
      <c r="C27" s="2" t="s">
        <v>72</v>
      </c>
      <c r="D27" s="3">
        <v>1.9228757764722104E-4</v>
      </c>
      <c r="E27" s="3">
        <v>1.2550906262731587E-5</v>
      </c>
      <c r="F27" s="3">
        <v>10.162860132901585</v>
      </c>
      <c r="G27" s="3">
        <v>78.379581394505522</v>
      </c>
      <c r="H27" s="3">
        <v>15.796265555882675</v>
      </c>
      <c r="I27" s="2" t="s">
        <v>8</v>
      </c>
      <c r="J27" s="2" t="s">
        <v>23</v>
      </c>
      <c r="L27" s="8">
        <f>_xlfn.RANK.EQ(D27,$D27:$H27,1)</f>
        <v>2</v>
      </c>
      <c r="M27" s="8">
        <f>_xlfn.RANK.EQ(E27,$D27:$H27,1)</f>
        <v>1</v>
      </c>
      <c r="N27" s="8">
        <f>_xlfn.RANK.EQ(F27,$D27:$H27,1)</f>
        <v>3</v>
      </c>
      <c r="O27" s="8">
        <f>_xlfn.RANK.EQ(G27,$D27:$H27,1)</f>
        <v>5</v>
      </c>
      <c r="P27" s="8">
        <f>_xlfn.RANK.EQ(H27,$D27:$H27,1)</f>
        <v>4</v>
      </c>
    </row>
    <row r="28" spans="1:16" x14ac:dyDescent="0.3">
      <c r="A28" s="26"/>
      <c r="B28" s="15" t="s">
        <v>91</v>
      </c>
      <c r="C28" s="4" t="s">
        <v>73</v>
      </c>
      <c r="D28" s="5">
        <v>2.3647857953361276E-4</v>
      </c>
      <c r="E28" s="5">
        <v>1.2749291864926754E-5</v>
      </c>
      <c r="F28" s="5">
        <v>10.592988534966119</v>
      </c>
      <c r="G28" s="5">
        <v>31.999944641219944</v>
      </c>
      <c r="H28" s="5">
        <v>1.205231814633188</v>
      </c>
      <c r="I28" s="4"/>
      <c r="J28" s="4" t="s">
        <v>24</v>
      </c>
    </row>
    <row r="29" spans="1:16" x14ac:dyDescent="0.3">
      <c r="A29" s="26"/>
      <c r="B29" s="6" t="s">
        <v>91</v>
      </c>
      <c r="C29" s="6" t="s">
        <v>74</v>
      </c>
      <c r="D29" s="7">
        <v>0.453125</v>
      </c>
      <c r="E29" s="7">
        <v>0.25520833333333331</v>
      </c>
      <c r="F29" s="7">
        <v>0.359375</v>
      </c>
      <c r="G29" s="7">
        <v>0.40625</v>
      </c>
      <c r="H29" s="7">
        <v>0.546875</v>
      </c>
      <c r="I29" s="6"/>
      <c r="J29" s="6" t="s">
        <v>25</v>
      </c>
    </row>
    <row r="30" spans="1:16" x14ac:dyDescent="0.3">
      <c r="A30" s="26"/>
      <c r="B30" s="2" t="s">
        <v>92</v>
      </c>
      <c r="C30" s="2" t="s">
        <v>72</v>
      </c>
      <c r="D30" s="3">
        <v>5.398164084368033E-3</v>
      </c>
      <c r="E30" s="3">
        <v>7.9316967374080483E-4</v>
      </c>
      <c r="F30" s="3">
        <v>3.0050036533187572E-14</v>
      </c>
      <c r="G30" s="3">
        <v>1.4984664892802464</v>
      </c>
      <c r="H30" s="3">
        <v>4.138922785574298</v>
      </c>
      <c r="I30" s="2" t="s">
        <v>9</v>
      </c>
      <c r="J30" s="2" t="s">
        <v>23</v>
      </c>
      <c r="L30" s="8">
        <f>_xlfn.RANK.EQ(D30,$D30:$H30,1)</f>
        <v>3</v>
      </c>
      <c r="M30" s="8">
        <f>_xlfn.RANK.EQ(E30,$D30:$H30,1)</f>
        <v>2</v>
      </c>
      <c r="N30" s="8">
        <f>_xlfn.RANK.EQ(F30,$D30:$H30,1)</f>
        <v>1</v>
      </c>
      <c r="O30" s="8">
        <f>_xlfn.RANK.EQ(G30,$D30:$H30,1)</f>
        <v>4</v>
      </c>
      <c r="P30" s="8">
        <f>_xlfn.RANK.EQ(H30,$D30:$H30,1)</f>
        <v>5</v>
      </c>
    </row>
    <row r="31" spans="1:16" x14ac:dyDescent="0.3">
      <c r="A31" s="26"/>
      <c r="B31" s="15" t="s">
        <v>92</v>
      </c>
      <c r="C31" s="4" t="s">
        <v>73</v>
      </c>
      <c r="D31" s="5">
        <v>2.8240483184464918E-3</v>
      </c>
      <c r="E31" s="5">
        <v>4.2853219921946668E-4</v>
      </c>
      <c r="F31" s="5">
        <v>2.0511601988091347E-15</v>
      </c>
      <c r="G31" s="5">
        <v>1.41676521080518</v>
      </c>
      <c r="H31" s="5">
        <v>9.3757464903320903E-2</v>
      </c>
      <c r="I31" s="4"/>
      <c r="J31" s="4" t="s">
        <v>24</v>
      </c>
    </row>
    <row r="32" spans="1:16" x14ac:dyDescent="0.3">
      <c r="A32" s="26"/>
      <c r="B32" s="6" t="s">
        <v>92</v>
      </c>
      <c r="C32" s="6" t="s">
        <v>74</v>
      </c>
      <c r="D32" s="7">
        <v>0.484375</v>
      </c>
      <c r="E32" s="7">
        <v>0.29166666666666669</v>
      </c>
      <c r="F32" s="7">
        <v>0.36979166666666669</v>
      </c>
      <c r="G32" s="7">
        <v>0.34375</v>
      </c>
      <c r="H32" s="7">
        <v>0.47395833333333331</v>
      </c>
      <c r="I32" s="6"/>
      <c r="J32" s="6" t="s">
        <v>25</v>
      </c>
    </row>
    <row r="33" spans="1:16" x14ac:dyDescent="0.3">
      <c r="A33" s="26"/>
      <c r="B33" s="2" t="s">
        <v>93</v>
      </c>
      <c r="C33" s="2" t="s">
        <v>72</v>
      </c>
      <c r="D33" s="3">
        <v>131.14292365339904</v>
      </c>
      <c r="E33" s="3">
        <v>60.298820115133772</v>
      </c>
      <c r="F33" s="3">
        <v>0</v>
      </c>
      <c r="G33" s="3">
        <v>0.90825111636960054</v>
      </c>
      <c r="H33" s="3">
        <v>1.900625911359981</v>
      </c>
      <c r="I33" s="2" t="s">
        <v>10</v>
      </c>
      <c r="J33" s="2" t="s">
        <v>23</v>
      </c>
      <c r="L33" s="8">
        <f>_xlfn.RANK.EQ(D33,$D33:$H33,1)</f>
        <v>5</v>
      </c>
      <c r="M33" s="8">
        <f>_xlfn.RANK.EQ(E33,$D33:$H33,1)</f>
        <v>4</v>
      </c>
      <c r="N33" s="8">
        <f>_xlfn.RANK.EQ(F33,$D33:$H33,1)</f>
        <v>1</v>
      </c>
      <c r="O33" s="8">
        <f>_xlfn.RANK.EQ(G33,$D33:$H33,1)</f>
        <v>2</v>
      </c>
      <c r="P33" s="8">
        <f>_xlfn.RANK.EQ(H33,$D33:$H33,1)</f>
        <v>3</v>
      </c>
    </row>
    <row r="34" spans="1:16" x14ac:dyDescent="0.3">
      <c r="A34" s="26"/>
      <c r="B34" s="15" t="s">
        <v>93</v>
      </c>
      <c r="C34" s="4" t="s">
        <v>73</v>
      </c>
      <c r="D34" s="5">
        <v>226.24841984716932</v>
      </c>
      <c r="E34" s="5">
        <v>103.37946444311895</v>
      </c>
      <c r="F34" s="5">
        <v>0</v>
      </c>
      <c r="G34" s="5">
        <v>6.7060192788093831E-2</v>
      </c>
      <c r="H34" s="5">
        <v>0.33932582616353096</v>
      </c>
      <c r="I34" s="4"/>
      <c r="J34" s="4" t="s">
        <v>24</v>
      </c>
    </row>
    <row r="35" spans="1:16" x14ac:dyDescent="0.3">
      <c r="A35" s="26"/>
      <c r="B35" s="6" t="s">
        <v>93</v>
      </c>
      <c r="C35" s="6" t="s">
        <v>74</v>
      </c>
      <c r="D35" s="7">
        <v>0.49479166666666669</v>
      </c>
      <c r="E35" s="7">
        <v>0.27604166666666669</v>
      </c>
      <c r="F35" s="7">
        <v>0.34895833333333331</v>
      </c>
      <c r="G35" s="7">
        <v>0.38541666666666669</v>
      </c>
      <c r="H35" s="7">
        <v>0.52083333333333337</v>
      </c>
      <c r="I35" s="6"/>
      <c r="J35" s="6" t="s">
        <v>25</v>
      </c>
    </row>
    <row r="36" spans="1:16" x14ac:dyDescent="0.3">
      <c r="A36" s="26"/>
      <c r="B36" s="2" t="s">
        <v>94</v>
      </c>
      <c r="C36" s="2" t="s">
        <v>72</v>
      </c>
      <c r="D36" s="3">
        <v>1.0109855555626603E-2</v>
      </c>
      <c r="E36" s="3">
        <v>4.252383858865243E-3</v>
      </c>
      <c r="F36" s="3">
        <v>6.579159277704677E-2</v>
      </c>
      <c r="G36" s="3">
        <v>7.2650671423403645</v>
      </c>
      <c r="H36" s="3">
        <v>1.407335432110399</v>
      </c>
      <c r="I36" s="2" t="s">
        <v>11</v>
      </c>
      <c r="J36" s="2" t="s">
        <v>23</v>
      </c>
      <c r="L36" s="8">
        <f>_xlfn.RANK.EQ(D36,$D36:$H36,1)</f>
        <v>2</v>
      </c>
      <c r="M36" s="8">
        <f>_xlfn.RANK.EQ(E36,$D36:$H36,1)</f>
        <v>1</v>
      </c>
      <c r="N36" s="8">
        <f>_xlfn.RANK.EQ(F36,$D36:$H36,1)</f>
        <v>3</v>
      </c>
      <c r="O36" s="8">
        <f>_xlfn.RANK.EQ(G36,$D36:$H36,1)</f>
        <v>5</v>
      </c>
      <c r="P36" s="8">
        <f>_xlfn.RANK.EQ(H36,$D36:$H36,1)</f>
        <v>4</v>
      </c>
    </row>
    <row r="37" spans="1:16" x14ac:dyDescent="0.3">
      <c r="A37" s="26"/>
      <c r="B37" s="15" t="s">
        <v>94</v>
      </c>
      <c r="C37" s="4" t="s">
        <v>73</v>
      </c>
      <c r="D37" s="5">
        <v>5.8695030570694116E-3</v>
      </c>
      <c r="E37" s="5">
        <v>6.5951787068215971E-3</v>
      </c>
      <c r="F37" s="5">
        <v>4.0546033701138268E-2</v>
      </c>
      <c r="G37" s="5">
        <v>4.9352613508535637</v>
      </c>
      <c r="H37" s="5">
        <v>0.33004075682636463</v>
      </c>
      <c r="I37" s="4"/>
      <c r="J37" s="4" t="s">
        <v>24</v>
      </c>
    </row>
    <row r="38" spans="1:16" x14ac:dyDescent="0.3">
      <c r="A38" s="26"/>
      <c r="B38" s="6" t="s">
        <v>94</v>
      </c>
      <c r="C38" s="6" t="s">
        <v>74</v>
      </c>
      <c r="D38" s="7">
        <v>0.64583333333333337</v>
      </c>
      <c r="E38" s="7">
        <v>0.4375</v>
      </c>
      <c r="F38" s="7">
        <v>0.578125</v>
      </c>
      <c r="G38" s="7">
        <v>0.6875</v>
      </c>
      <c r="H38" s="7">
        <v>0.765625</v>
      </c>
      <c r="I38" s="6"/>
      <c r="J38" s="6" t="s">
        <v>25</v>
      </c>
    </row>
    <row r="39" spans="1:16" x14ac:dyDescent="0.3">
      <c r="A39" s="26"/>
      <c r="B39" s="2" t="s">
        <v>95</v>
      </c>
      <c r="C39" s="2" t="s">
        <v>72</v>
      </c>
      <c r="D39" s="3">
        <v>9.614494884426493E-2</v>
      </c>
      <c r="E39" s="3">
        <v>6.1037807477291893E-2</v>
      </c>
      <c r="F39" s="3">
        <v>0.47774991851195642</v>
      </c>
      <c r="G39" s="3">
        <v>35.189255474924067</v>
      </c>
      <c r="H39" s="3">
        <v>8.3864951633565834</v>
      </c>
      <c r="I39" s="2" t="s">
        <v>12</v>
      </c>
      <c r="J39" s="2" t="s">
        <v>23</v>
      </c>
      <c r="L39" s="8">
        <f>_xlfn.RANK.EQ(D39,$D39:$H39,1)</f>
        <v>2</v>
      </c>
      <c r="M39" s="8">
        <f>_xlfn.RANK.EQ(E39,$D39:$H39,1)</f>
        <v>1</v>
      </c>
      <c r="N39" s="8">
        <f>_xlfn.RANK.EQ(F39,$D39:$H39,1)</f>
        <v>3</v>
      </c>
      <c r="O39" s="8">
        <f>_xlfn.RANK.EQ(G39,$D39:$H39,1)</f>
        <v>5</v>
      </c>
      <c r="P39" s="8">
        <f>_xlfn.RANK.EQ(H39,$D39:$H39,1)</f>
        <v>4</v>
      </c>
    </row>
    <row r="40" spans="1:16" x14ac:dyDescent="0.3">
      <c r="A40" s="26"/>
      <c r="B40" s="15" t="s">
        <v>95</v>
      </c>
      <c r="C40" s="4" t="s">
        <v>73</v>
      </c>
      <c r="D40" s="5">
        <v>1.5922036394735054E-2</v>
      </c>
      <c r="E40" s="5">
        <v>2.4425838668803788E-2</v>
      </c>
      <c r="F40" s="5">
        <v>0.1402805755823302</v>
      </c>
      <c r="G40" s="5">
        <v>5.7054711408298582</v>
      </c>
      <c r="H40" s="5">
        <v>2.895757104701008</v>
      </c>
      <c r="I40" s="4"/>
      <c r="J40" s="4" t="s">
        <v>24</v>
      </c>
    </row>
    <row r="41" spans="1:16" x14ac:dyDescent="0.3">
      <c r="A41" s="26"/>
      <c r="B41" s="6" t="s">
        <v>95</v>
      </c>
      <c r="C41" s="6" t="s">
        <v>74</v>
      </c>
      <c r="D41" s="7">
        <v>0.4375</v>
      </c>
      <c r="E41" s="7">
        <v>0.53125</v>
      </c>
      <c r="F41" s="7">
        <v>0.578125</v>
      </c>
      <c r="G41" s="7">
        <v>0.75</v>
      </c>
      <c r="H41" s="7">
        <v>0.78125</v>
      </c>
      <c r="I41" s="6"/>
      <c r="J41" s="6" t="s">
        <v>25</v>
      </c>
    </row>
    <row r="42" spans="1:16" x14ac:dyDescent="0.3">
      <c r="A42" s="26"/>
      <c r="B42" s="2" t="s">
        <v>96</v>
      </c>
      <c r="C42" s="2" t="s">
        <v>72</v>
      </c>
      <c r="D42" s="3">
        <v>12.670505811136339</v>
      </c>
      <c r="E42" s="3">
        <v>12.670505811135721</v>
      </c>
      <c r="F42" s="3">
        <v>4.2530627808221748</v>
      </c>
      <c r="G42" s="3">
        <v>0.99800383779444957</v>
      </c>
      <c r="H42" s="3">
        <v>1.1391806912478968</v>
      </c>
      <c r="I42" s="2" t="s">
        <v>13</v>
      </c>
      <c r="J42" s="2" t="s">
        <v>23</v>
      </c>
      <c r="L42" s="8">
        <f>_xlfn.RANK.EQ(D42,$D42:$H42,1)</f>
        <v>5</v>
      </c>
      <c r="M42" s="8">
        <f>_xlfn.RANK.EQ(E42,$D42:$H42,1)</f>
        <v>4</v>
      </c>
      <c r="N42" s="8">
        <f>_xlfn.RANK.EQ(F42,$D42:$H42,1)</f>
        <v>3</v>
      </c>
      <c r="O42" s="8">
        <f>_xlfn.RANK.EQ(G42,$D42:$H42,1)</f>
        <v>1</v>
      </c>
      <c r="P42" s="8">
        <f>_xlfn.RANK.EQ(H42,$D42:$H42,1)</f>
        <v>2</v>
      </c>
    </row>
    <row r="43" spans="1:16" x14ac:dyDescent="0.3">
      <c r="A43" s="26"/>
      <c r="B43" s="15" t="s">
        <v>96</v>
      </c>
      <c r="C43" s="4" t="s">
        <v>73</v>
      </c>
      <c r="D43" s="5">
        <v>5.737632591262809E-13</v>
      </c>
      <c r="E43" s="5">
        <v>2.5792065139394615E-13</v>
      </c>
      <c r="F43" s="5">
        <v>5.6379274708798937</v>
      </c>
      <c r="G43" s="5">
        <v>0</v>
      </c>
      <c r="H43" s="5">
        <v>0.23418922209986248</v>
      </c>
      <c r="I43" s="4"/>
      <c r="J43" s="4" t="s">
        <v>24</v>
      </c>
    </row>
    <row r="44" spans="1:16" x14ac:dyDescent="0.3">
      <c r="A44" s="26"/>
      <c r="B44" s="6" t="s">
        <v>96</v>
      </c>
      <c r="C44" s="6" t="s">
        <v>74</v>
      </c>
      <c r="D44" s="7">
        <v>0.69791666666666663</v>
      </c>
      <c r="E44" s="7">
        <v>0.60416666666666663</v>
      </c>
      <c r="F44" s="7">
        <v>0.65104166666666663</v>
      </c>
      <c r="G44" s="7">
        <v>0.890625</v>
      </c>
      <c r="H44" s="7">
        <v>0.90104166666666663</v>
      </c>
      <c r="I44" s="6"/>
      <c r="J44" s="6" t="s">
        <v>25</v>
      </c>
    </row>
    <row r="45" spans="1:16" x14ac:dyDescent="0.3">
      <c r="A45" s="26"/>
      <c r="B45" s="2" t="s">
        <v>97</v>
      </c>
      <c r="C45" s="2" t="s">
        <v>72</v>
      </c>
      <c r="D45" s="3">
        <v>8.4565957396565399E-4</v>
      </c>
      <c r="E45" s="3">
        <v>4.0344570997768769E-4</v>
      </c>
      <c r="F45" s="3">
        <v>7.0274824964555319E-3</v>
      </c>
      <c r="G45" s="3">
        <v>7.3067410028048252E-3</v>
      </c>
      <c r="H45" s="3">
        <v>3.4378829107572246E-3</v>
      </c>
      <c r="I45" s="2" t="s">
        <v>14</v>
      </c>
      <c r="J45" s="2" t="s">
        <v>23</v>
      </c>
      <c r="L45" s="8">
        <f>_xlfn.RANK.EQ(D45,$D45:$H45,1)</f>
        <v>2</v>
      </c>
      <c r="M45" s="8">
        <f>_xlfn.RANK.EQ(E45,$D45:$H45,1)</f>
        <v>1</v>
      </c>
      <c r="N45" s="8">
        <f>_xlfn.RANK.EQ(F45,$D45:$H45,1)</f>
        <v>4</v>
      </c>
      <c r="O45" s="8">
        <f>_xlfn.RANK.EQ(G45,$D45:$H45,1)</f>
        <v>5</v>
      </c>
      <c r="P45" s="8">
        <f>_xlfn.RANK.EQ(H45,$D45:$H45,1)</f>
        <v>3</v>
      </c>
    </row>
    <row r="46" spans="1:16" x14ac:dyDescent="0.3">
      <c r="A46" s="26"/>
      <c r="B46" s="15" t="s">
        <v>97</v>
      </c>
      <c r="C46" s="4" t="s">
        <v>73</v>
      </c>
      <c r="D46" s="5">
        <v>6.7947175300149662E-4</v>
      </c>
      <c r="E46" s="5">
        <v>9.8076213543451545E-5</v>
      </c>
      <c r="F46" s="5">
        <v>1.1549312419432549E-2</v>
      </c>
      <c r="G46" s="5">
        <v>1.1886953714595545E-2</v>
      </c>
      <c r="H46" s="5">
        <v>2.318770300977168E-3</v>
      </c>
      <c r="I46" s="4"/>
      <c r="J46" s="4" t="s">
        <v>24</v>
      </c>
    </row>
    <row r="47" spans="1:16" x14ac:dyDescent="0.3">
      <c r="A47" s="26"/>
      <c r="B47" s="6" t="s">
        <v>97</v>
      </c>
      <c r="C47" s="6" t="s">
        <v>74</v>
      </c>
      <c r="D47" s="7">
        <v>0.26041666666666669</v>
      </c>
      <c r="E47" s="7">
        <v>0.234375</v>
      </c>
      <c r="F47" s="7">
        <v>0.15104166666666666</v>
      </c>
      <c r="G47" s="7">
        <v>0.296875</v>
      </c>
      <c r="H47" s="7">
        <v>0.328125</v>
      </c>
      <c r="I47" s="6"/>
      <c r="J47" s="6" t="s">
        <v>25</v>
      </c>
    </row>
    <row r="48" spans="1:16" x14ac:dyDescent="0.3">
      <c r="A48" s="26"/>
      <c r="B48" s="2" t="s">
        <v>98</v>
      </c>
      <c r="C48" s="2" t="s">
        <v>72</v>
      </c>
      <c r="D48" s="3">
        <v>-1.0299368776261046</v>
      </c>
      <c r="E48" s="3">
        <v>-1.0316159005554153</v>
      </c>
      <c r="F48" s="3">
        <v>-1.0316284385924483</v>
      </c>
      <c r="G48" s="3">
        <v>-1.0316284534898779</v>
      </c>
      <c r="H48" s="3">
        <v>-1.0287698242920202</v>
      </c>
      <c r="I48" s="2" t="s">
        <v>15</v>
      </c>
      <c r="J48" s="2" t="s">
        <v>23</v>
      </c>
      <c r="L48" s="8">
        <f>_xlfn.RANK.EQ(D48,$D48:$H48,1)</f>
        <v>4</v>
      </c>
      <c r="M48" s="8">
        <f>_xlfn.RANK.EQ(E48,$D48:$H48,1)</f>
        <v>3</v>
      </c>
      <c r="N48" s="8">
        <f>_xlfn.RANK.EQ(F48,$D48:$H48,1)</f>
        <v>2</v>
      </c>
      <c r="O48" s="8">
        <f>_xlfn.RANK.EQ(G48,$D48:$H48,1)</f>
        <v>1</v>
      </c>
      <c r="P48" s="8">
        <f>_xlfn.RANK.EQ(H48,$D48:$H48,1)</f>
        <v>5</v>
      </c>
    </row>
    <row r="49" spans="1:16" x14ac:dyDescent="0.3">
      <c r="A49" s="26"/>
      <c r="B49" s="15" t="s">
        <v>98</v>
      </c>
      <c r="C49" s="4" t="s">
        <v>73</v>
      </c>
      <c r="D49" s="5">
        <v>2.8210791649873265E-3</v>
      </c>
      <c r="E49" s="5">
        <v>1.4273470064814225E-5</v>
      </c>
      <c r="F49" s="5">
        <v>1.7655109370193582E-8</v>
      </c>
      <c r="G49" s="5">
        <v>0</v>
      </c>
      <c r="H49" s="5">
        <v>3.2788520935164867E-3</v>
      </c>
      <c r="I49" s="4"/>
      <c r="J49" s="4" t="s">
        <v>24</v>
      </c>
    </row>
    <row r="50" spans="1:16" x14ac:dyDescent="0.3">
      <c r="A50" s="22"/>
      <c r="B50" s="6" t="s">
        <v>98</v>
      </c>
      <c r="C50" s="6" t="s">
        <v>74</v>
      </c>
      <c r="D50" s="7">
        <v>0.53125</v>
      </c>
      <c r="E50" s="7">
        <v>0.265625</v>
      </c>
      <c r="F50" s="7">
        <v>0.13541666666666666</v>
      </c>
      <c r="G50" s="7">
        <v>0.3125</v>
      </c>
      <c r="H50" s="7">
        <v>0.32291666666666669</v>
      </c>
      <c r="I50" s="6"/>
      <c r="J50" s="6" t="s">
        <v>25</v>
      </c>
    </row>
    <row r="51" spans="1:16" ht="14.4" customHeight="1" x14ac:dyDescent="0.3">
      <c r="A51" s="25" t="s">
        <v>31</v>
      </c>
      <c r="B51" s="2" t="s">
        <v>99</v>
      </c>
      <c r="C51" s="2" t="s">
        <v>72</v>
      </c>
      <c r="D51" s="3">
        <v>0.66653388161230132</v>
      </c>
      <c r="E51" s="3">
        <v>1.1263317757536129</v>
      </c>
      <c r="F51" s="3">
        <v>0.39788858498201013</v>
      </c>
      <c r="G51" s="3">
        <v>0.39788735772973816</v>
      </c>
      <c r="H51" s="3">
        <v>0.41242988857997531</v>
      </c>
      <c r="I51" s="2" t="s">
        <v>16</v>
      </c>
      <c r="J51" s="2" t="s">
        <v>23</v>
      </c>
      <c r="L51" s="8">
        <f>_xlfn.RANK.EQ(D51,$D51:$H51,1)</f>
        <v>4</v>
      </c>
      <c r="M51" s="8">
        <f>_xlfn.RANK.EQ(E51,$D51:$H51,1)</f>
        <v>5</v>
      </c>
      <c r="N51" s="8">
        <f>_xlfn.RANK.EQ(F51,$D51:$H51,1)</f>
        <v>2</v>
      </c>
      <c r="O51" s="8">
        <f>_xlfn.RANK.EQ(G51,$D51:$H51,1)</f>
        <v>1</v>
      </c>
      <c r="P51" s="8">
        <f>_xlfn.RANK.EQ(H51,$D51:$H51,1)</f>
        <v>3</v>
      </c>
    </row>
    <row r="52" spans="1:16" x14ac:dyDescent="0.3">
      <c r="A52" s="26"/>
      <c r="B52" s="15" t="s">
        <v>99</v>
      </c>
      <c r="C52" s="4" t="s">
        <v>73</v>
      </c>
      <c r="D52" s="5">
        <v>0.3530583906655605</v>
      </c>
      <c r="E52" s="5">
        <v>0.34282428510087654</v>
      </c>
      <c r="F52" s="5">
        <v>9.3152306400877147E-7</v>
      </c>
      <c r="G52" s="5">
        <v>0</v>
      </c>
      <c r="H52" s="5">
        <v>7.2768426667035799E-3</v>
      </c>
      <c r="I52" s="4"/>
      <c r="J52" s="4" t="s">
        <v>24</v>
      </c>
    </row>
    <row r="53" spans="1:16" x14ac:dyDescent="0.3">
      <c r="A53" s="26"/>
      <c r="B53" s="6" t="s">
        <v>99</v>
      </c>
      <c r="C53" s="6" t="s">
        <v>74</v>
      </c>
      <c r="D53" s="7">
        <v>0.453125</v>
      </c>
      <c r="E53" s="7">
        <v>0.24479166666666666</v>
      </c>
      <c r="F53" s="7">
        <v>0.109375</v>
      </c>
      <c r="G53" s="7">
        <v>0.32291666666666669</v>
      </c>
      <c r="H53" s="7">
        <v>0.29166666666666669</v>
      </c>
      <c r="I53" s="6"/>
      <c r="J53" s="6" t="s">
        <v>25</v>
      </c>
    </row>
    <row r="54" spans="1:16" x14ac:dyDescent="0.3">
      <c r="A54" s="26"/>
      <c r="B54" s="2" t="s">
        <v>100</v>
      </c>
      <c r="C54" s="2" t="s">
        <v>72</v>
      </c>
      <c r="D54" s="3">
        <v>19.156731238248245</v>
      </c>
      <c r="E54" s="3">
        <v>31.466929091656095</v>
      </c>
      <c r="F54" s="3">
        <v>3.0000112596658943</v>
      </c>
      <c r="G54" s="3">
        <v>3</v>
      </c>
      <c r="H54" s="3">
        <v>13.354938972306755</v>
      </c>
      <c r="I54" s="2" t="s">
        <v>17</v>
      </c>
      <c r="J54" s="2" t="s">
        <v>23</v>
      </c>
      <c r="L54" s="8">
        <f>_xlfn.RANK.EQ(D54,$D54:$H54,1)</f>
        <v>4</v>
      </c>
      <c r="M54" s="8">
        <f>_xlfn.RANK.EQ(E54,$D54:$H54,1)</f>
        <v>5</v>
      </c>
      <c r="N54" s="8">
        <f>_xlfn.RANK.EQ(F54,$D54:$H54,1)</f>
        <v>2</v>
      </c>
      <c r="O54" s="8">
        <f>_xlfn.RANK.EQ(G54,$D54:$H54,1)</f>
        <v>1</v>
      </c>
      <c r="P54" s="8">
        <f>_xlfn.RANK.EQ(H54,$D54:$H54,1)</f>
        <v>3</v>
      </c>
    </row>
    <row r="55" spans="1:16" x14ac:dyDescent="0.3">
      <c r="A55" s="26"/>
      <c r="B55" s="15" t="s">
        <v>100</v>
      </c>
      <c r="C55" s="4" t="s">
        <v>73</v>
      </c>
      <c r="D55" s="5">
        <v>11.772406878295511</v>
      </c>
      <c r="E55" s="5">
        <v>1.2268559385833371</v>
      </c>
      <c r="F55" s="5">
        <v>1.1247040007618035E-5</v>
      </c>
      <c r="G55" s="5">
        <v>1.9357399876532506E-15</v>
      </c>
      <c r="H55" s="5">
        <v>17.66982477763576</v>
      </c>
      <c r="I55" s="4"/>
      <c r="J55" s="4" t="s">
        <v>24</v>
      </c>
    </row>
    <row r="56" spans="1:16" x14ac:dyDescent="0.3">
      <c r="A56" s="26"/>
      <c r="B56" s="6" t="s">
        <v>100</v>
      </c>
      <c r="C56" s="6" t="s">
        <v>74</v>
      </c>
      <c r="D56" s="7">
        <v>0.47916666666666669</v>
      </c>
      <c r="E56" s="7">
        <v>0.24479166666666666</v>
      </c>
      <c r="F56" s="7">
        <v>0.11458333333333333</v>
      </c>
      <c r="G56" s="7">
        <v>0.33854166666666669</v>
      </c>
      <c r="H56" s="7">
        <v>0.29166666666666669</v>
      </c>
      <c r="I56" s="6"/>
      <c r="J56" s="6" t="s">
        <v>25</v>
      </c>
    </row>
    <row r="57" spans="1:16" x14ac:dyDescent="0.3">
      <c r="A57" s="26"/>
      <c r="B57" s="2" t="s">
        <v>101</v>
      </c>
      <c r="C57" s="2" t="s">
        <v>72</v>
      </c>
      <c r="D57" s="3">
        <v>-1.5499849519014501</v>
      </c>
      <c r="E57" s="3">
        <v>-0.95000734489944039</v>
      </c>
      <c r="F57" s="3">
        <v>-3.8624666329425801</v>
      </c>
      <c r="G57" s="3">
        <v>-3.8627821478207558</v>
      </c>
      <c r="H57" s="3">
        <v>-3.8616524482921499</v>
      </c>
      <c r="I57" s="2" t="s">
        <v>18</v>
      </c>
      <c r="J57" s="2" t="s">
        <v>23</v>
      </c>
      <c r="L57" s="8">
        <f>_xlfn.RANK.EQ(D57,$D57:$H57,1)</f>
        <v>4</v>
      </c>
      <c r="M57" s="8">
        <f>_xlfn.RANK.EQ(E57,$D57:$H57,1)</f>
        <v>5</v>
      </c>
      <c r="N57" s="8">
        <f>_xlfn.RANK.EQ(F57,$D57:$H57,1)</f>
        <v>2</v>
      </c>
      <c r="O57" s="8">
        <f>_xlfn.RANK.EQ(G57,$D57:$H57,1)</f>
        <v>1</v>
      </c>
      <c r="P57" s="8">
        <f>_xlfn.RANK.EQ(H57,$D57:$H57,1)</f>
        <v>3</v>
      </c>
    </row>
    <row r="58" spans="1:16" x14ac:dyDescent="0.3">
      <c r="A58" s="26"/>
      <c r="B58" s="15" t="s">
        <v>101</v>
      </c>
      <c r="C58" s="4" t="s">
        <v>73</v>
      </c>
      <c r="D58" s="5">
        <v>6.1930284035490432E-2</v>
      </c>
      <c r="E58" s="5">
        <v>7.0262434611174434E-3</v>
      </c>
      <c r="F58" s="5">
        <v>4.4617004933831058E-4</v>
      </c>
      <c r="G58" s="5">
        <v>3.1401849173675503E-16</v>
      </c>
      <c r="H58" s="5">
        <v>1.1536670514852737E-3</v>
      </c>
      <c r="I58" s="4"/>
      <c r="J58" s="4" t="s">
        <v>24</v>
      </c>
    </row>
    <row r="59" spans="1:16" x14ac:dyDescent="0.3">
      <c r="A59" s="26"/>
      <c r="B59" s="6" t="s">
        <v>101</v>
      </c>
      <c r="C59" s="6" t="s">
        <v>74</v>
      </c>
      <c r="D59" s="7">
        <v>0.57291666666666663</v>
      </c>
      <c r="E59" s="7">
        <v>0.27604166666666669</v>
      </c>
      <c r="F59" s="7">
        <v>0.15104166666666666</v>
      </c>
      <c r="G59" s="7">
        <v>0.34895833333333331</v>
      </c>
      <c r="H59" s="7">
        <v>0.36979166666666669</v>
      </c>
      <c r="I59" s="6"/>
      <c r="J59" s="6" t="s">
        <v>25</v>
      </c>
    </row>
    <row r="60" spans="1:16" x14ac:dyDescent="0.3">
      <c r="A60" s="26"/>
      <c r="B60" s="2" t="s">
        <v>102</v>
      </c>
      <c r="C60" s="2" t="s">
        <v>72</v>
      </c>
      <c r="D60" s="3">
        <v>-1.3549687695440813</v>
      </c>
      <c r="E60" s="3">
        <v>-1.462862295560617</v>
      </c>
      <c r="F60" s="3">
        <v>-3.2805885195652031</v>
      </c>
      <c r="G60" s="3">
        <v>-3.242733090704299</v>
      </c>
      <c r="H60" s="3">
        <v>-3.320341128148542</v>
      </c>
      <c r="I60" s="2" t="s">
        <v>19</v>
      </c>
      <c r="J60" s="2" t="s">
        <v>23</v>
      </c>
      <c r="L60" s="8">
        <f>_xlfn.RANK.EQ(D60,$D60:$H60,1)</f>
        <v>5</v>
      </c>
      <c r="M60" s="8">
        <f>_xlfn.RANK.EQ(E60,$D60:$H60,1)</f>
        <v>4</v>
      </c>
      <c r="N60" s="8">
        <f>_xlfn.RANK.EQ(F60,$D60:$H60,1)</f>
        <v>2</v>
      </c>
      <c r="O60" s="8">
        <f>_xlfn.RANK.EQ(G60,$D60:$H60,1)</f>
        <v>3</v>
      </c>
      <c r="P60" s="8">
        <f>_xlfn.RANK.EQ(H60,$D60:$H60,1)</f>
        <v>1</v>
      </c>
    </row>
    <row r="61" spans="1:16" x14ac:dyDescent="0.3">
      <c r="A61" s="26"/>
      <c r="B61" s="15" t="s">
        <v>102</v>
      </c>
      <c r="C61" s="4" t="s">
        <v>73</v>
      </c>
      <c r="D61" s="5">
        <v>0.12497108536482794</v>
      </c>
      <c r="E61" s="5">
        <v>0.25612519707067677</v>
      </c>
      <c r="F61" s="5">
        <v>7.1690857607512218E-2</v>
      </c>
      <c r="G61" s="5">
        <v>6.8642975598847703E-2</v>
      </c>
      <c r="H61" s="5">
        <v>1.1408638532289484E-3</v>
      </c>
      <c r="I61" s="4"/>
      <c r="J61" s="4" t="s">
        <v>24</v>
      </c>
    </row>
    <row r="62" spans="1:16" x14ac:dyDescent="0.3">
      <c r="A62" s="26"/>
      <c r="B62" s="6" t="s">
        <v>102</v>
      </c>
      <c r="C62" s="6" t="s">
        <v>74</v>
      </c>
      <c r="D62" s="7">
        <v>0.58854166666666663</v>
      </c>
      <c r="E62" s="7">
        <v>0.28125</v>
      </c>
      <c r="F62" s="7">
        <v>0.19791666666666666</v>
      </c>
      <c r="G62" s="7">
        <v>0.3125</v>
      </c>
      <c r="H62" s="7">
        <v>0.39583333333333331</v>
      </c>
      <c r="I62" s="6"/>
      <c r="J62" s="6" t="s">
        <v>25</v>
      </c>
    </row>
    <row r="63" spans="1:16" x14ac:dyDescent="0.3">
      <c r="A63" s="26"/>
      <c r="B63" s="2" t="s">
        <v>103</v>
      </c>
      <c r="C63" s="2" t="s">
        <v>72</v>
      </c>
      <c r="D63" s="3">
        <v>-7.69338388100494</v>
      </c>
      <c r="E63" s="3">
        <v>-4.7367879454710975</v>
      </c>
      <c r="F63" s="3">
        <v>-8.4534681492478203</v>
      </c>
      <c r="G63" s="3">
        <v>-10.153199679058229</v>
      </c>
      <c r="H63" s="3">
        <v>-8.0343274229269461</v>
      </c>
      <c r="I63" s="2" t="s">
        <v>20</v>
      </c>
      <c r="J63" s="2" t="s">
        <v>23</v>
      </c>
      <c r="L63" s="8">
        <f>_xlfn.RANK.EQ(D63,$D63:$H63,1)</f>
        <v>4</v>
      </c>
      <c r="M63" s="8">
        <f>_xlfn.RANK.EQ(E63,$D63:$H63,1)</f>
        <v>5</v>
      </c>
      <c r="N63" s="8">
        <f>_xlfn.RANK.EQ(F63,$D63:$H63,1)</f>
        <v>2</v>
      </c>
      <c r="O63" s="8">
        <f>_xlfn.RANK.EQ(G63,$D63:$H63,1)</f>
        <v>1</v>
      </c>
      <c r="P63" s="8">
        <f>_xlfn.RANK.EQ(H63,$D63:$H63,1)</f>
        <v>3</v>
      </c>
    </row>
    <row r="64" spans="1:16" x14ac:dyDescent="0.3">
      <c r="A64" s="26"/>
      <c r="B64" s="15" t="s">
        <v>103</v>
      </c>
      <c r="C64" s="4" t="s">
        <v>73</v>
      </c>
      <c r="D64" s="5">
        <v>2.1397532055540758</v>
      </c>
      <c r="E64" s="5">
        <v>0.12762664722520345</v>
      </c>
      <c r="F64" s="5">
        <v>2.9429926940928977</v>
      </c>
      <c r="G64" s="5">
        <v>0</v>
      </c>
      <c r="H64" s="5">
        <v>3.1112221967048783</v>
      </c>
      <c r="I64" s="4"/>
      <c r="J64" s="4" t="s">
        <v>24</v>
      </c>
    </row>
    <row r="65" spans="1:16" x14ac:dyDescent="0.3">
      <c r="A65" s="26"/>
      <c r="B65" s="6" t="s">
        <v>103</v>
      </c>
      <c r="C65" s="6" t="s">
        <v>74</v>
      </c>
      <c r="D65" s="7">
        <v>0.59895833333333337</v>
      </c>
      <c r="E65" s="7">
        <v>0.27604166666666669</v>
      </c>
      <c r="F65" s="7">
        <v>0.19791666666666666</v>
      </c>
      <c r="G65" s="7">
        <v>0.328125</v>
      </c>
      <c r="H65" s="7">
        <v>0.421875</v>
      </c>
      <c r="I65" s="6"/>
      <c r="J65" s="6" t="s">
        <v>25</v>
      </c>
    </row>
    <row r="66" spans="1:16" x14ac:dyDescent="0.3">
      <c r="A66" s="26"/>
      <c r="B66" s="2" t="s">
        <v>104</v>
      </c>
      <c r="C66" s="2" t="s">
        <v>72</v>
      </c>
      <c r="D66" s="3">
        <v>-8.6813225633070523</v>
      </c>
      <c r="E66" s="3">
        <v>-6.6392580015346239</v>
      </c>
      <c r="F66" s="3">
        <v>-5.0876635862578992</v>
      </c>
      <c r="G66" s="3">
        <v>-4.3137469926332024</v>
      </c>
      <c r="H66" s="3">
        <v>-2.9854503578011156</v>
      </c>
      <c r="I66" s="2" t="s">
        <v>21</v>
      </c>
      <c r="J66" s="2" t="s">
        <v>23</v>
      </c>
      <c r="L66" s="8">
        <f>_xlfn.RANK.EQ(D66,$D66:$H66,1)</f>
        <v>1</v>
      </c>
      <c r="M66" s="8">
        <f>_xlfn.RANK.EQ(E66,$D66:$H66,1)</f>
        <v>2</v>
      </c>
      <c r="N66" s="8">
        <f>_xlfn.RANK.EQ(F66,$D66:$H66,1)</f>
        <v>3</v>
      </c>
      <c r="O66" s="8">
        <f>_xlfn.RANK.EQ(G66,$D66:$H66,1)</f>
        <v>4</v>
      </c>
      <c r="P66" s="8">
        <f>_xlfn.RANK.EQ(H66,$D66:$H66,1)</f>
        <v>5</v>
      </c>
    </row>
    <row r="67" spans="1:16" x14ac:dyDescent="0.3">
      <c r="A67" s="26"/>
      <c r="B67" s="15" t="s">
        <v>104</v>
      </c>
      <c r="C67" s="4" t="s">
        <v>73</v>
      </c>
      <c r="D67" s="5">
        <v>1.5881954819484163</v>
      </c>
      <c r="E67" s="5">
        <v>3.2621057209206903</v>
      </c>
      <c r="F67" s="5">
        <v>5.7762950387336382E-6</v>
      </c>
      <c r="G67" s="5">
        <v>1.3404771310029449</v>
      </c>
      <c r="H67" s="5">
        <v>0.5559504120443951</v>
      </c>
      <c r="I67" s="4"/>
      <c r="J67" s="4" t="s">
        <v>24</v>
      </c>
    </row>
    <row r="68" spans="1:16" x14ac:dyDescent="0.3">
      <c r="A68" s="26"/>
      <c r="B68" s="6" t="s">
        <v>104</v>
      </c>
      <c r="C68" s="6" t="s">
        <v>74</v>
      </c>
      <c r="D68" s="7">
        <v>0.578125</v>
      </c>
      <c r="E68" s="7">
        <v>0.27083333333333331</v>
      </c>
      <c r="F68" s="7">
        <v>0.203125</v>
      </c>
      <c r="G68" s="7">
        <v>0.32291666666666669</v>
      </c>
      <c r="H68" s="7">
        <v>0.53645833333333337</v>
      </c>
      <c r="I68" s="6"/>
      <c r="J68" s="6" t="s">
        <v>25</v>
      </c>
    </row>
    <row r="69" spans="1:16" ht="14.4" customHeight="1" x14ac:dyDescent="0.3">
      <c r="A69" s="26"/>
      <c r="B69" s="2" t="s">
        <v>105</v>
      </c>
      <c r="C69" s="2" t="s">
        <v>72</v>
      </c>
      <c r="D69" s="3">
        <v>-7.2953391443118747</v>
      </c>
      <c r="E69" s="3">
        <v>-5.5532528081644861</v>
      </c>
      <c r="F69" s="3">
        <v>-6.0288013136561931</v>
      </c>
      <c r="G69" s="3">
        <v>-5.1266259570705817</v>
      </c>
      <c r="H69" s="3">
        <v>-3.0213087962205845</v>
      </c>
      <c r="I69" s="2" t="s">
        <v>22</v>
      </c>
      <c r="J69" s="2" t="s">
        <v>23</v>
      </c>
      <c r="L69" s="8">
        <f>_xlfn.RANK.EQ(D69,$D69:$H69,1)</f>
        <v>1</v>
      </c>
      <c r="M69" s="8">
        <f>_xlfn.RANK.EQ(E69,$D69:$H69,1)</f>
        <v>3</v>
      </c>
      <c r="N69" s="8">
        <f>_xlfn.RANK.EQ(F69,$D69:$H69,1)</f>
        <v>2</v>
      </c>
      <c r="O69" s="8">
        <f>_xlfn.RANK.EQ(G69,$D69:$H69,1)</f>
        <v>4</v>
      </c>
      <c r="P69" s="8">
        <f>_xlfn.RANK.EQ(H69,$D69:$H69,1)</f>
        <v>5</v>
      </c>
    </row>
    <row r="70" spans="1:16" x14ac:dyDescent="0.3">
      <c r="A70" s="26"/>
      <c r="B70" s="15" t="s">
        <v>105</v>
      </c>
      <c r="C70" s="4" t="s">
        <v>73</v>
      </c>
      <c r="D70" s="5">
        <v>2.9062785453927109</v>
      </c>
      <c r="E70" s="5">
        <v>2.1631014133985147</v>
      </c>
      <c r="F70" s="5">
        <v>4.1314825946379887</v>
      </c>
      <c r="G70" s="5">
        <v>4.6850102514152203</v>
      </c>
      <c r="H70" s="5">
        <v>0.7158461353416693</v>
      </c>
      <c r="I70" s="4"/>
      <c r="J70" s="4" t="s">
        <v>24</v>
      </c>
    </row>
    <row r="71" spans="1:16" x14ac:dyDescent="0.3">
      <c r="A71" s="22"/>
      <c r="B71" s="6" t="s">
        <v>105</v>
      </c>
      <c r="C71" s="6" t="s">
        <v>74</v>
      </c>
      <c r="D71" s="7">
        <v>0.53125</v>
      </c>
      <c r="E71" s="7">
        <v>0.3125</v>
      </c>
      <c r="F71" s="7">
        <v>0.21875</v>
      </c>
      <c r="G71" s="7">
        <v>0.375</v>
      </c>
      <c r="H71" s="7">
        <v>0.5</v>
      </c>
      <c r="I71" s="6"/>
      <c r="J71" s="6" t="s">
        <v>25</v>
      </c>
    </row>
    <row r="72" spans="1:16" ht="32.4" customHeight="1" x14ac:dyDescent="0.3">
      <c r="A72" s="25" t="s">
        <v>34</v>
      </c>
      <c r="B72" s="27"/>
      <c r="C72" s="27"/>
      <c r="D72" s="8">
        <f>COUNTIF(L3:L71,1)</f>
        <v>3</v>
      </c>
      <c r="E72" s="8">
        <f>COUNTIF(M3:M71,1)</f>
        <v>6</v>
      </c>
      <c r="F72" s="8">
        <f>COUNTIF(N3:N71,1)</f>
        <v>6</v>
      </c>
      <c r="G72" s="8">
        <f>COUNTIF(O3:O71,1)</f>
        <v>6</v>
      </c>
      <c r="H72" s="8">
        <f>COUNTIF(P3:P71,1)</f>
        <v>2</v>
      </c>
    </row>
    <row r="73" spans="1:16" ht="32.4" customHeight="1" x14ac:dyDescent="0.3">
      <c r="A73" s="24" t="s">
        <v>35</v>
      </c>
      <c r="B73" s="21"/>
      <c r="C73" s="21"/>
      <c r="D73" s="8">
        <f>_xlfn.RANK.EQ(D72,$D72:$H72,0)</f>
        <v>4</v>
      </c>
      <c r="E73" s="8">
        <f>_xlfn.RANK.EQ(E72,$D72:$H72,0)</f>
        <v>1</v>
      </c>
      <c r="F73" s="8">
        <f>_xlfn.RANK.EQ(F72,$D72:$H72,0)</f>
        <v>1</v>
      </c>
      <c r="G73" s="8">
        <f>_xlfn.RANK.EQ(G72,$D72:$H72,0)</f>
        <v>1</v>
      </c>
      <c r="H73" s="8">
        <f>_xlfn.RANK.EQ(H72,$D72:$H72,0)</f>
        <v>5</v>
      </c>
    </row>
    <row r="74" spans="1:16" ht="32.4" customHeight="1" x14ac:dyDescent="0.3">
      <c r="A74" s="20" t="s">
        <v>33</v>
      </c>
      <c r="B74" s="21"/>
      <c r="C74" s="21"/>
      <c r="D74" s="9">
        <f>AVERAGE(L3:L71)</f>
        <v>3.0434782608695654</v>
      </c>
      <c r="E74" s="9">
        <f>AVERAGE(M3:M71)</f>
        <v>2.7391304347826089</v>
      </c>
      <c r="F74" s="9">
        <f>AVERAGE(N3:N71)</f>
        <v>2.1739130434782608</v>
      </c>
      <c r="G74" s="9">
        <f>AVERAGE(O3:O71)</f>
        <v>3.2608695652173911</v>
      </c>
      <c r="H74" s="9">
        <f>AVERAGE(P3:P71)</f>
        <v>3.7826086956521738</v>
      </c>
    </row>
    <row r="75" spans="1:16" ht="32.4" customHeight="1" x14ac:dyDescent="0.3">
      <c r="A75" s="22" t="s">
        <v>36</v>
      </c>
      <c r="B75" s="23"/>
      <c r="C75" s="23"/>
      <c r="D75" s="6">
        <f>_xlfn.RANK.EQ(D74,$D74:$H74,1)</f>
        <v>3</v>
      </c>
      <c r="E75" s="6">
        <f>_xlfn.RANK.EQ(E74,$D74:$H74,1)</f>
        <v>2</v>
      </c>
      <c r="F75" s="6">
        <f>_xlfn.RANK.EQ(F74,$D74:$H74,1)</f>
        <v>1</v>
      </c>
      <c r="G75" s="6">
        <f>_xlfn.RANK.EQ(G74,$D74:$H74,1)</f>
        <v>4</v>
      </c>
      <c r="H75" s="6">
        <f>_xlfn.RANK.EQ(H74,$D74:$H74,1)</f>
        <v>5</v>
      </c>
    </row>
  </sheetData>
  <mergeCells count="8">
    <mergeCell ref="A1:H1"/>
    <mergeCell ref="A74:C74"/>
    <mergeCell ref="A75:C75"/>
    <mergeCell ref="A73:C73"/>
    <mergeCell ref="A3:A23"/>
    <mergeCell ref="A24:A50"/>
    <mergeCell ref="A51:A71"/>
    <mergeCell ref="A72:C72"/>
  </mergeCells>
  <phoneticPr fontId="3" type="noConversion"/>
  <conditionalFormatting sqref="D3:H3">
    <cfRule type="top10" dxfId="26" priority="54" bottom="1" rank="1"/>
  </conditionalFormatting>
  <conditionalFormatting sqref="D6:H6">
    <cfRule type="top10" dxfId="25" priority="55" bottom="1" rank="1"/>
  </conditionalFormatting>
  <conditionalFormatting sqref="D9:H9">
    <cfRule type="top10" dxfId="24" priority="56" bottom="1" rank="1"/>
  </conditionalFormatting>
  <conditionalFormatting sqref="D12:H12">
    <cfRule type="top10" dxfId="23" priority="57" bottom="1" rank="1"/>
  </conditionalFormatting>
  <conditionalFormatting sqref="D15:H15">
    <cfRule type="top10" dxfId="22" priority="58" bottom="1" rank="1"/>
  </conditionalFormatting>
  <conditionalFormatting sqref="D18:H18">
    <cfRule type="top10" dxfId="21" priority="59" bottom="1" rank="1"/>
  </conditionalFormatting>
  <conditionalFormatting sqref="D21:H21">
    <cfRule type="top10" dxfId="20" priority="60" bottom="1" rank="1"/>
  </conditionalFormatting>
  <conditionalFormatting sqref="D24:H24">
    <cfRule type="top10" dxfId="19" priority="61" bottom="1" rank="1"/>
  </conditionalFormatting>
  <conditionalFormatting sqref="D27:H27">
    <cfRule type="top10" dxfId="18" priority="62" bottom="1" rank="1"/>
  </conditionalFormatting>
  <conditionalFormatting sqref="D30:H30">
    <cfRule type="top10" dxfId="17" priority="63" bottom="1" rank="1"/>
  </conditionalFormatting>
  <conditionalFormatting sqref="D33:H33">
    <cfRule type="top10" dxfId="16" priority="64" bottom="1" rank="1"/>
  </conditionalFormatting>
  <conditionalFormatting sqref="D36:H36">
    <cfRule type="top10" dxfId="15" priority="65" bottom="1" rank="1"/>
  </conditionalFormatting>
  <conditionalFormatting sqref="D39:H39">
    <cfRule type="top10" dxfId="14" priority="66" bottom="1" rank="1"/>
  </conditionalFormatting>
  <conditionalFormatting sqref="D42:H42">
    <cfRule type="top10" dxfId="13" priority="67" bottom="1" rank="1"/>
  </conditionalFormatting>
  <conditionalFormatting sqref="D45:H45">
    <cfRule type="top10" dxfId="12" priority="68" bottom="1" rank="1"/>
  </conditionalFormatting>
  <conditionalFormatting sqref="D48:H48">
    <cfRule type="top10" dxfId="11" priority="69" bottom="1" rank="1"/>
  </conditionalFormatting>
  <conditionalFormatting sqref="D51:H51">
    <cfRule type="top10" dxfId="10" priority="70" bottom="1" rank="1"/>
  </conditionalFormatting>
  <conditionalFormatting sqref="D54:H54">
    <cfRule type="top10" dxfId="9" priority="71" bottom="1" rank="1"/>
  </conditionalFormatting>
  <conditionalFormatting sqref="D57:H57">
    <cfRule type="top10" dxfId="8" priority="72" bottom="1" rank="1"/>
  </conditionalFormatting>
  <conditionalFormatting sqref="D60:H60">
    <cfRule type="top10" dxfId="7" priority="73" bottom="1" rank="1"/>
  </conditionalFormatting>
  <conditionalFormatting sqref="D63:H63">
    <cfRule type="top10" dxfId="6" priority="74" bottom="1" rank="1"/>
  </conditionalFormatting>
  <conditionalFormatting sqref="D66:H66">
    <cfRule type="top10" dxfId="5" priority="75" bottom="1" rank="1"/>
  </conditionalFormatting>
  <conditionalFormatting sqref="D69:H69">
    <cfRule type="top10" dxfId="4" priority="76" bottom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C11" sqref="C11"/>
    </sheetView>
  </sheetViews>
  <sheetFormatPr defaultRowHeight="14.4" x14ac:dyDescent="0.3"/>
  <cols>
    <col min="1" max="1" width="8" style="8" bestFit="1" customWidth="1"/>
    <col min="2" max="2" width="18.6640625" style="8" bestFit="1" customWidth="1"/>
    <col min="3" max="3" width="15.44140625" style="8" bestFit="1" customWidth="1"/>
    <col min="4" max="4" width="14.33203125" style="8" bestFit="1" customWidth="1"/>
    <col min="5" max="5" width="13.44140625" style="8" bestFit="1" customWidth="1"/>
    <col min="6" max="6" width="16" style="8" bestFit="1" customWidth="1"/>
    <col min="7" max="7" width="12.5546875" style="8" bestFit="1" customWidth="1"/>
    <col min="8" max="8" width="11.44140625" style="8" bestFit="1" customWidth="1"/>
    <col min="9" max="9" width="11.5546875" style="8" bestFit="1" customWidth="1"/>
    <col min="10" max="10" width="15.33203125" style="8" bestFit="1" customWidth="1"/>
    <col min="11" max="11" width="14.88671875" style="8" bestFit="1" customWidth="1"/>
    <col min="12" max="13" width="8.21875" style="8" bestFit="1" customWidth="1"/>
    <col min="14" max="15" width="8.88671875" style="8"/>
  </cols>
  <sheetData>
    <row r="1" spans="1:15" ht="15" thickBot="1" x14ac:dyDescent="0.35">
      <c r="A1" s="28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">
      <c r="A2" s="6" t="s">
        <v>82</v>
      </c>
      <c r="B2" s="6" t="s">
        <v>114</v>
      </c>
      <c r="C2" s="6" t="s">
        <v>115</v>
      </c>
      <c r="D2" s="6" t="s">
        <v>116</v>
      </c>
      <c r="E2" s="6" t="s">
        <v>117</v>
      </c>
      <c r="F2" s="6" t="s">
        <v>78</v>
      </c>
      <c r="G2" s="6" t="s">
        <v>57</v>
      </c>
      <c r="H2" s="6" t="s">
        <v>58</v>
      </c>
      <c r="I2" s="6" t="s">
        <v>59</v>
      </c>
      <c r="J2" s="6" t="s">
        <v>52</v>
      </c>
      <c r="K2" s="6" t="s">
        <v>47</v>
      </c>
      <c r="L2" s="6"/>
      <c r="M2" s="6"/>
      <c r="N2" s="6"/>
      <c r="O2" s="6"/>
    </row>
    <row r="3" spans="1:15" x14ac:dyDescent="0.3">
      <c r="A3" s="2" t="s">
        <v>83</v>
      </c>
      <c r="B3" s="3">
        <v>0.41488051785098101</v>
      </c>
      <c r="C3" s="3">
        <v>0.39998800991538941</v>
      </c>
      <c r="D3" s="3">
        <v>5.945622224350381E-2</v>
      </c>
      <c r="E3" s="3">
        <v>4.1697332056465586E-2</v>
      </c>
      <c r="F3" s="3">
        <v>1.4256941622796114E-17</v>
      </c>
      <c r="G3" s="3">
        <v>3.8187278080755609E-12</v>
      </c>
      <c r="H3" s="3">
        <v>0.11136856313055421</v>
      </c>
      <c r="I3" s="3">
        <v>4.0987457454282495E-13</v>
      </c>
      <c r="J3" s="3">
        <v>1.0651648445993809E-4</v>
      </c>
      <c r="K3" s="3"/>
      <c r="L3" s="3">
        <v>3.8264479402818397E-13</v>
      </c>
      <c r="M3" s="3">
        <v>2.2321863819308862E-14</v>
      </c>
      <c r="N3" s="3"/>
      <c r="O3" s="3"/>
    </row>
    <row r="4" spans="1:15" x14ac:dyDescent="0.3">
      <c r="A4" s="15" t="s">
        <v>84</v>
      </c>
      <c r="B4" s="10">
        <v>0.25197028071906274</v>
      </c>
      <c r="C4" s="10">
        <v>0.15678394165208856</v>
      </c>
      <c r="D4" s="10">
        <v>6.8321275336233486E-2</v>
      </c>
      <c r="E4" s="10">
        <v>2.1247051903157545E-2</v>
      </c>
      <c r="F4" s="10">
        <v>2.6829715003468841E-22</v>
      </c>
      <c r="G4" s="10">
        <v>2.7460604564093647E-20</v>
      </c>
      <c r="H4" s="10">
        <v>6.4965630150349243E-2</v>
      </c>
      <c r="I4" s="10">
        <v>5.5123444809576647E-21</v>
      </c>
      <c r="J4" s="10">
        <v>1.1011664777544967E-6</v>
      </c>
      <c r="K4" s="10"/>
      <c r="L4" s="10">
        <v>1.0748636654212881E-13</v>
      </c>
      <c r="M4" s="10">
        <v>6.6225509428500568E-23</v>
      </c>
      <c r="N4" s="10"/>
      <c r="O4" s="10"/>
    </row>
    <row r="5" spans="1:15" x14ac:dyDescent="0.3">
      <c r="A5" s="15" t="s">
        <v>85</v>
      </c>
      <c r="B5" s="10">
        <v>9.7769759693536559E-2</v>
      </c>
      <c r="C5" s="10">
        <v>0.10261861951575732</v>
      </c>
      <c r="D5" s="10">
        <v>2.5346552690188952E-2</v>
      </c>
      <c r="E5" s="10">
        <v>4.4579913731106646E-2</v>
      </c>
      <c r="F5" s="10">
        <v>4.4368808115404916E-22</v>
      </c>
      <c r="G5" s="10">
        <v>1.0595171415135702E-18</v>
      </c>
      <c r="H5" s="10">
        <v>7.3251246499250172E-11</v>
      </c>
      <c r="I5" s="10">
        <v>1.5322497046117383E-21</v>
      </c>
      <c r="J5" s="10">
        <v>0.13060190541882188</v>
      </c>
      <c r="K5" s="10"/>
      <c r="L5" s="10">
        <v>1.1732850999819481E-4</v>
      </c>
      <c r="M5" s="10">
        <v>3.028498046686335E-20</v>
      </c>
      <c r="N5" s="10"/>
      <c r="O5" s="10"/>
    </row>
    <row r="6" spans="1:15" x14ac:dyDescent="0.3">
      <c r="A6" s="15" t="s">
        <v>86</v>
      </c>
      <c r="B6" s="10">
        <v>4.0062042092330059E-2</v>
      </c>
      <c r="C6" s="10">
        <v>7.048755437568234E-2</v>
      </c>
      <c r="D6" s="10">
        <v>2.1267090606837658E-3</v>
      </c>
      <c r="E6" s="10">
        <v>1.4666706851067912E-3</v>
      </c>
      <c r="F6" s="10">
        <v>1.4337763903498291E-24</v>
      </c>
      <c r="G6" s="10">
        <v>2.0797212406517172E-16</v>
      </c>
      <c r="H6" s="10">
        <v>5.507703030211404E-18</v>
      </c>
      <c r="I6" s="10">
        <v>9.1915066244048395E-28</v>
      </c>
      <c r="J6" s="10">
        <v>1.2715157759692896E-6</v>
      </c>
      <c r="K6" s="10"/>
      <c r="L6" s="10">
        <v>6.4198001872907253E-10</v>
      </c>
      <c r="M6" s="10">
        <v>9.5698371311144665E-18</v>
      </c>
      <c r="N6" s="10"/>
      <c r="O6" s="10"/>
    </row>
    <row r="7" spans="1:15" x14ac:dyDescent="0.3">
      <c r="A7" s="15" t="s">
        <v>87</v>
      </c>
      <c r="B7" s="10">
        <v>0.16348149580529572</v>
      </c>
      <c r="C7" s="10">
        <v>0.48208253596286033</v>
      </c>
      <c r="D7" s="10">
        <v>6.473695162798776E-2</v>
      </c>
      <c r="E7" s="10">
        <v>1.2333927360071778E-3</v>
      </c>
      <c r="F7" s="10">
        <v>5.5231050768907215E-9</v>
      </c>
      <c r="G7" s="10">
        <v>3.5151802130663841E-3</v>
      </c>
      <c r="H7" s="10">
        <v>3.0959916517809143E-2</v>
      </c>
      <c r="I7" s="10">
        <v>5.2528753084293479E-12</v>
      </c>
      <c r="J7" s="10">
        <v>8.2797760500153412E-19</v>
      </c>
      <c r="K7" s="10"/>
      <c r="L7" s="10">
        <v>2.7460461783619766E-6</v>
      </c>
      <c r="M7" s="10">
        <v>4.693661714874714E-13</v>
      </c>
      <c r="N7" s="10"/>
      <c r="O7" s="10"/>
    </row>
    <row r="8" spans="1:15" x14ac:dyDescent="0.3">
      <c r="A8" s="15" t="s">
        <v>88</v>
      </c>
      <c r="B8" s="10">
        <v>0.31562868343280126</v>
      </c>
      <c r="C8" s="10">
        <v>2.4455817306240208E-2</v>
      </c>
      <c r="D8" s="10">
        <v>9.8037321819154123E-3</v>
      </c>
      <c r="E8" s="10">
        <v>2.4497548298011027E-2</v>
      </c>
      <c r="F8" s="10">
        <v>2.1109416024315957E-13</v>
      </c>
      <c r="G8" s="10">
        <v>0.7863484910528532</v>
      </c>
      <c r="H8" s="10">
        <v>8.827757553121646E-3</v>
      </c>
      <c r="I8" s="10">
        <v>1.4965441503950143E-15</v>
      </c>
      <c r="J8" s="10">
        <v>1.0657539225303453E-10</v>
      </c>
      <c r="K8" s="10"/>
      <c r="L8" s="10">
        <v>5.5530349832479257E-16</v>
      </c>
      <c r="M8" s="10">
        <v>1.3050561311600928E-15</v>
      </c>
      <c r="N8" s="10"/>
      <c r="O8" s="10"/>
    </row>
    <row r="9" spans="1:15" x14ac:dyDescent="0.3">
      <c r="A9" s="15" t="s">
        <v>89</v>
      </c>
      <c r="B9" s="10">
        <v>1.4883068727132619E-2</v>
      </c>
      <c r="C9" s="10">
        <v>0.27917674950887333</v>
      </c>
      <c r="D9" s="10">
        <v>3.4243146921431614E-2</v>
      </c>
      <c r="E9" s="10">
        <v>0.15003452349797997</v>
      </c>
      <c r="F9" s="10">
        <v>1.3660334367675683E-16</v>
      </c>
      <c r="G9" s="10">
        <v>1.2563343402050453E-21</v>
      </c>
      <c r="H9" s="10">
        <v>4.4704432989975088E-12</v>
      </c>
      <c r="I9" s="10">
        <v>1.4411806992008339E-14</v>
      </c>
      <c r="J9" s="10">
        <v>3.5188231391117417E-7</v>
      </c>
      <c r="K9" s="10"/>
      <c r="L9" s="10">
        <v>5.3752250431605216E-11</v>
      </c>
      <c r="M9" s="10">
        <v>4.5531425824738968E-3</v>
      </c>
      <c r="N9" s="10"/>
      <c r="O9" s="10"/>
    </row>
    <row r="10" spans="1:15" x14ac:dyDescent="0.3">
      <c r="A10" s="15" t="s">
        <v>90</v>
      </c>
      <c r="B10" s="10">
        <v>0.96356808873426381</v>
      </c>
      <c r="C10" s="10">
        <v>2.9072595985120797E-2</v>
      </c>
      <c r="D10" s="10">
        <v>2.7784025168994943E-3</v>
      </c>
      <c r="E10" s="10">
        <v>2.9097330822617407E-3</v>
      </c>
      <c r="F10" s="10">
        <v>2.0858209298395616E-19</v>
      </c>
      <c r="G10" s="10">
        <v>1.1698203203237976E-18</v>
      </c>
      <c r="H10" s="10">
        <v>3.1177139583856769E-19</v>
      </c>
      <c r="I10" s="10">
        <v>4.0420525034492601E-32</v>
      </c>
      <c r="J10" s="10">
        <v>1.8029120937120977E-14</v>
      </c>
      <c r="K10" s="10"/>
      <c r="L10" s="10">
        <v>6.3757727813626217E-22</v>
      </c>
      <c r="M10" s="10">
        <v>5.819473453857206E-26</v>
      </c>
      <c r="N10" s="10"/>
      <c r="O10" s="10"/>
    </row>
    <row r="11" spans="1:15" x14ac:dyDescent="0.3">
      <c r="A11" s="15" t="s">
        <v>91</v>
      </c>
      <c r="B11" s="10">
        <v>0.32378398196417191</v>
      </c>
      <c r="C11" s="10">
        <v>0.23845596739919425</v>
      </c>
      <c r="D11" s="10">
        <v>5.1321127621064194E-2</v>
      </c>
      <c r="E11" s="10">
        <v>1.9356523125228133E-3</v>
      </c>
      <c r="F11" s="10">
        <v>5.0257218783553243E-26</v>
      </c>
      <c r="G11" s="10">
        <v>1.0926192663460855E-18</v>
      </c>
      <c r="H11" s="10">
        <v>2.0383391929291515E-21</v>
      </c>
      <c r="I11" s="10">
        <v>1.1094276653713725E-22</v>
      </c>
      <c r="J11" s="10">
        <v>5.7609186058722549E-7</v>
      </c>
      <c r="K11" s="10"/>
      <c r="L11" s="10">
        <v>5.8920188669279124E-17</v>
      </c>
      <c r="M11" s="10">
        <v>4.9266646959743689E-14</v>
      </c>
      <c r="N11" s="10"/>
      <c r="O11" s="10"/>
    </row>
    <row r="12" spans="1:15" x14ac:dyDescent="0.3">
      <c r="A12" s="15" t="s">
        <v>92</v>
      </c>
      <c r="B12" s="10">
        <v>0.10031949122066185</v>
      </c>
      <c r="C12" s="10">
        <v>8.038234789555776E-2</v>
      </c>
      <c r="D12" s="10">
        <v>0.20928406094345942</v>
      </c>
      <c r="E12" s="10">
        <v>1.7795432481849277E-4</v>
      </c>
      <c r="F12" s="10">
        <v>4.2672749914532793E-31</v>
      </c>
      <c r="G12" s="10">
        <v>0.11497505521168272</v>
      </c>
      <c r="H12" s="10">
        <v>1.9102528660073205E-10</v>
      </c>
      <c r="I12" s="10">
        <v>1.8658087427575659E-31</v>
      </c>
      <c r="J12" s="10">
        <v>3.2285233614518919E-29</v>
      </c>
      <c r="K12" s="10"/>
      <c r="L12" s="10">
        <v>5.9513524246952587E-10</v>
      </c>
      <c r="M12" s="10">
        <v>0.92610178802861975</v>
      </c>
      <c r="N12" s="10"/>
      <c r="O12" s="10"/>
    </row>
    <row r="13" spans="1:15" x14ac:dyDescent="0.3">
      <c r="A13" s="15" t="s">
        <v>93</v>
      </c>
      <c r="B13" s="10">
        <v>0.42316438215186036</v>
      </c>
      <c r="C13" s="10">
        <v>0.42112541802227599</v>
      </c>
      <c r="D13" s="10">
        <v>0.42381446150685853</v>
      </c>
      <c r="E13" s="10">
        <v>0.42708888079299301</v>
      </c>
      <c r="F13" s="10">
        <v>2.6481867622644171E-26</v>
      </c>
      <c r="G13" s="10">
        <v>1.7920720840074181E-2</v>
      </c>
      <c r="H13" s="10">
        <v>1.7630549210544272E-2</v>
      </c>
      <c r="I13" s="10">
        <v>2.0452562717363901E-2</v>
      </c>
      <c r="J13" s="10">
        <v>1.3293893069816121E-3</v>
      </c>
      <c r="K13" s="10"/>
      <c r="L13" s="10">
        <v>1.971557785329813E-6</v>
      </c>
      <c r="M13" s="10">
        <v>7.3390380461186918E-24</v>
      </c>
      <c r="N13" s="10"/>
      <c r="O13" s="10"/>
    </row>
    <row r="14" spans="1:15" x14ac:dyDescent="0.3">
      <c r="A14" s="15" t="s">
        <v>94</v>
      </c>
      <c r="B14" s="10">
        <v>0.50059746139409689</v>
      </c>
      <c r="C14" s="10">
        <v>0.16220612454242828</v>
      </c>
      <c r="D14" s="10">
        <v>0.12601881552468339</v>
      </c>
      <c r="E14" s="10">
        <v>1.7592512479282153E-2</v>
      </c>
      <c r="F14" s="10">
        <v>5.2049127775126047E-15</v>
      </c>
      <c r="G14" s="10">
        <v>3.2692650902651322E-4</v>
      </c>
      <c r="H14" s="10">
        <v>6.0313986708052957E-2</v>
      </c>
      <c r="I14" s="10">
        <v>5.0701415426920339E-13</v>
      </c>
      <c r="J14" s="10">
        <v>6.5915446171781347E-12</v>
      </c>
      <c r="K14" s="10"/>
      <c r="L14" s="10">
        <v>0.61739964322248075</v>
      </c>
      <c r="M14" s="10">
        <v>2.035185684059873E-14</v>
      </c>
      <c r="N14" s="10"/>
      <c r="O14" s="10"/>
    </row>
    <row r="15" spans="1:15" x14ac:dyDescent="0.3">
      <c r="A15" s="15" t="s">
        <v>95</v>
      </c>
      <c r="B15" s="10">
        <v>0.26784997881033401</v>
      </c>
      <c r="C15" s="10">
        <v>4.1665965117207632E-2</v>
      </c>
      <c r="D15" s="10">
        <v>8.7149333682899881E-3</v>
      </c>
      <c r="E15" s="10">
        <v>3.7971276363912426E-2</v>
      </c>
      <c r="F15" s="10">
        <v>1.6492140081923838E-5</v>
      </c>
      <c r="G15" s="10">
        <v>2.5883449154951783E-5</v>
      </c>
      <c r="H15" s="10">
        <v>1.6740922491917849E-2</v>
      </c>
      <c r="I15" s="10">
        <v>8.1356385035213698E-14</v>
      </c>
      <c r="J15" s="10">
        <v>3.8681447874309165E-16</v>
      </c>
      <c r="K15" s="10"/>
      <c r="L15" s="10">
        <v>0.10210801695016725</v>
      </c>
      <c r="M15" s="10">
        <v>5.2503763215641853E-17</v>
      </c>
      <c r="N15" s="10"/>
      <c r="O15" s="10"/>
    </row>
    <row r="16" spans="1:15" x14ac:dyDescent="0.3">
      <c r="A16" s="15" t="s">
        <v>96</v>
      </c>
      <c r="B16" s="10">
        <v>8.274292497283231E-2</v>
      </c>
      <c r="C16" s="10">
        <v>0.12263146451577274</v>
      </c>
      <c r="D16" s="10">
        <v>8.0540867457727372E-28</v>
      </c>
      <c r="E16" s="10">
        <v>1.3745627397770982E-4</v>
      </c>
      <c r="F16" s="10">
        <v>6.9722585926779244E-3</v>
      </c>
      <c r="G16" s="10">
        <v>0.35847733629372669</v>
      </c>
      <c r="H16" s="10">
        <v>4.0716957588108573E-14</v>
      </c>
      <c r="I16" s="10">
        <v>1.0644069978286033E-13</v>
      </c>
      <c r="J16" s="10">
        <v>7.4953985800498642E-4</v>
      </c>
      <c r="K16" s="10"/>
      <c r="L16" s="10">
        <v>5.6457671851629671E-2</v>
      </c>
      <c r="M16" s="10">
        <v>6.8122387826736293E-6</v>
      </c>
      <c r="N16" s="10"/>
      <c r="O16" s="10"/>
    </row>
    <row r="17" spans="1:15" x14ac:dyDescent="0.3">
      <c r="A17" s="15" t="s">
        <v>97</v>
      </c>
      <c r="B17" s="10">
        <v>0.40680799334382911</v>
      </c>
      <c r="C17" s="10">
        <v>0.42849878843279632</v>
      </c>
      <c r="D17" s="10">
        <v>0.45628458938801786</v>
      </c>
      <c r="E17" s="10">
        <v>0.13075790346355501</v>
      </c>
      <c r="F17" s="10">
        <v>3.5174270144046099E-4</v>
      </c>
      <c r="G17" s="10">
        <v>6.9770936778289702E-2</v>
      </c>
      <c r="H17" s="10">
        <v>0.27105646701985175</v>
      </c>
      <c r="I17" s="10">
        <v>1.8879944845595528E-5</v>
      </c>
      <c r="J17" s="10">
        <v>0.30407871984258295</v>
      </c>
      <c r="K17" s="10"/>
      <c r="L17" s="10">
        <v>1.6617578188759748E-2</v>
      </c>
      <c r="M17" s="10">
        <v>6.3224349331249296E-4</v>
      </c>
      <c r="N17" s="10"/>
      <c r="O17" s="10"/>
    </row>
    <row r="18" spans="1:15" x14ac:dyDescent="0.3">
      <c r="A18" s="15" t="s">
        <v>98</v>
      </c>
      <c r="B18" s="10">
        <v>0.41209263409811059</v>
      </c>
      <c r="C18" s="10">
        <v>0.40809163189384468</v>
      </c>
      <c r="D18" s="10">
        <v>0.40808699803354298</v>
      </c>
      <c r="E18" s="10">
        <v>0.72592089138554239</v>
      </c>
      <c r="F18" s="10">
        <v>6.0690557748326436E-5</v>
      </c>
      <c r="G18" s="10">
        <v>2.8929498953066202E-3</v>
      </c>
      <c r="H18" s="10">
        <v>2.8928632968892773E-3</v>
      </c>
      <c r="I18" s="10">
        <v>6.3214307340703629E-3</v>
      </c>
      <c r="J18" s="10">
        <v>3.3942601202249854E-4</v>
      </c>
      <c r="K18" s="10"/>
      <c r="L18" s="10">
        <v>1.1367432314719659E-4</v>
      </c>
      <c r="M18" s="10">
        <v>1.5498183777184291E-3</v>
      </c>
      <c r="N18" s="10"/>
      <c r="O18" s="10"/>
    </row>
    <row r="19" spans="1:15" x14ac:dyDescent="0.3">
      <c r="A19" s="15" t="s">
        <v>99</v>
      </c>
      <c r="B19" s="10">
        <v>0.12157048369650032</v>
      </c>
      <c r="C19" s="10">
        <v>0.31823536768451494</v>
      </c>
      <c r="D19" s="10">
        <v>0.3182331164239392</v>
      </c>
      <c r="E19" s="10">
        <v>0.34200742063989265</v>
      </c>
      <c r="F19" s="10">
        <v>9.9917591447626786E-4</v>
      </c>
      <c r="G19" s="10">
        <v>1.6982707161656344E-2</v>
      </c>
      <c r="H19" s="10">
        <v>1.6982666426531446E-2</v>
      </c>
      <c r="I19" s="10">
        <v>1.842463320805425E-2</v>
      </c>
      <c r="J19" s="10">
        <v>4.5251686522799079E-4</v>
      </c>
      <c r="K19" s="10"/>
      <c r="L19" s="10">
        <v>9.5798968127560026E-6</v>
      </c>
      <c r="M19" s="10">
        <v>1.3891909657515985E-2</v>
      </c>
      <c r="N19" s="10"/>
      <c r="O19" s="10"/>
    </row>
    <row r="20" spans="1:15" x14ac:dyDescent="0.3">
      <c r="A20" s="15" t="s">
        <v>100</v>
      </c>
      <c r="B20" s="10">
        <v>0.22979413311119917</v>
      </c>
      <c r="C20" s="10">
        <v>0.14059091121076397</v>
      </c>
      <c r="D20" s="10">
        <v>0.14059089997272603</v>
      </c>
      <c r="E20" s="10">
        <v>0.44684657727415611</v>
      </c>
      <c r="F20" s="10">
        <v>3.7343804528330265E-3</v>
      </c>
      <c r="G20" s="10">
        <v>4.0223460208683992E-7</v>
      </c>
      <c r="H20" s="10">
        <v>4.0221875022369624E-7</v>
      </c>
      <c r="I20" s="10">
        <v>0.17607763556197153</v>
      </c>
      <c r="J20" s="10">
        <v>8.7412548560152187E-5</v>
      </c>
      <c r="K20" s="10"/>
      <c r="L20" s="10">
        <v>0.3254001311250232</v>
      </c>
      <c r="M20" s="10">
        <v>7.1598882754675009E-3</v>
      </c>
      <c r="N20" s="10"/>
      <c r="O20" s="10"/>
    </row>
    <row r="21" spans="1:15" x14ac:dyDescent="0.3">
      <c r="A21" s="15" t="s">
        <v>101</v>
      </c>
      <c r="B21" s="10">
        <v>3.540376418689753E-3</v>
      </c>
      <c r="C21" s="10">
        <v>2.3731763433754906E-4</v>
      </c>
      <c r="D21" s="10">
        <v>2.3892088788758778E-4</v>
      </c>
      <c r="E21" s="10">
        <v>2.3393356765050426E-4</v>
      </c>
      <c r="F21" s="10">
        <v>9.8744977580163116E-5</v>
      </c>
      <c r="G21" s="10">
        <v>6.8543552502172554E-25</v>
      </c>
      <c r="H21" s="10">
        <v>3.2836048577325713E-25</v>
      </c>
      <c r="I21" s="10">
        <v>8.010962555959863E-25</v>
      </c>
      <c r="J21" s="10">
        <v>1.1414576446204574E-2</v>
      </c>
      <c r="K21" s="10"/>
      <c r="L21" s="10">
        <v>2.351850912203635E-2</v>
      </c>
      <c r="M21" s="10">
        <v>2.5865856164664525E-5</v>
      </c>
      <c r="N21" s="10"/>
      <c r="O21" s="10"/>
    </row>
    <row r="22" spans="1:15" x14ac:dyDescent="0.3">
      <c r="A22" s="15" t="s">
        <v>102</v>
      </c>
      <c r="B22" s="10">
        <v>0.50693545870972745</v>
      </c>
      <c r="C22" s="10">
        <v>3.4576595884017853E-3</v>
      </c>
      <c r="D22" s="10">
        <v>2.7439536231840633E-3</v>
      </c>
      <c r="E22" s="10">
        <v>1.3605061063338309E-3</v>
      </c>
      <c r="F22" s="10">
        <v>0.56019885644244471</v>
      </c>
      <c r="G22" s="10">
        <v>1.068309564806442E-23</v>
      </c>
      <c r="H22" s="10">
        <v>5.6509729849709752E-24</v>
      </c>
      <c r="I22" s="10">
        <v>2.7505617336213587E-23</v>
      </c>
      <c r="J22" s="10">
        <v>0.26132406267715436</v>
      </c>
      <c r="K22" s="10"/>
      <c r="L22" s="10">
        <v>0.91307445371253348</v>
      </c>
      <c r="M22" s="10">
        <v>0.43163088894978585</v>
      </c>
      <c r="N22" s="10"/>
      <c r="O22" s="10"/>
    </row>
    <row r="23" spans="1:15" x14ac:dyDescent="0.3">
      <c r="A23" s="15" t="s">
        <v>103</v>
      </c>
      <c r="B23" s="10">
        <v>0.13575017602726205</v>
      </c>
      <c r="C23" s="10">
        <v>0.64301075362831317</v>
      </c>
      <c r="D23" s="10">
        <v>0.18471590020953835</v>
      </c>
      <c r="E23" s="10">
        <v>0.85713716375857385</v>
      </c>
      <c r="F23" s="10">
        <v>1.0664688405361968E-10</v>
      </c>
      <c r="G23" s="10">
        <v>0.88173417244643448</v>
      </c>
      <c r="H23" s="10">
        <v>1.35349491406723E-5</v>
      </c>
      <c r="I23" s="10">
        <v>1.0874363094944004E-2</v>
      </c>
      <c r="J23" s="10">
        <v>3.0995856865296259E-6</v>
      </c>
      <c r="K23" s="10"/>
      <c r="L23" s="10">
        <v>3.6467187877636952E-3</v>
      </c>
      <c r="M23" s="10">
        <v>4.4319107056375032E-4</v>
      </c>
      <c r="N23" s="10"/>
      <c r="O23" s="10"/>
    </row>
    <row r="24" spans="1:15" x14ac:dyDescent="0.3">
      <c r="A24" s="15" t="s">
        <v>104</v>
      </c>
      <c r="B24" s="10">
        <v>0.45116621376216937</v>
      </c>
      <c r="C24" s="10">
        <v>5.936622815293717E-2</v>
      </c>
      <c r="D24" s="10">
        <v>0.11976631009627352</v>
      </c>
      <c r="E24" s="10">
        <v>3.0906327354270662E-2</v>
      </c>
      <c r="F24" s="10">
        <v>3.3395318562080374E-7</v>
      </c>
      <c r="G24" s="10">
        <v>0.89737764011440202</v>
      </c>
      <c r="H24" s="10">
        <v>4.0178326619634775E-10</v>
      </c>
      <c r="I24" s="10">
        <v>3.0881641461798542E-2</v>
      </c>
      <c r="J24" s="10">
        <v>3.0614760475130149E-4</v>
      </c>
      <c r="K24" s="10"/>
      <c r="L24" s="10">
        <v>3.9495990239874846E-4</v>
      </c>
      <c r="M24" s="10">
        <v>3.9913727682938469E-3</v>
      </c>
      <c r="N24" s="10"/>
      <c r="O24" s="10"/>
    </row>
    <row r="25" spans="1:15" x14ac:dyDescent="0.3">
      <c r="A25" s="6" t="s">
        <v>105</v>
      </c>
      <c r="B25" s="14">
        <v>0.49300510761726379</v>
      </c>
      <c r="C25" s="14">
        <v>0.45333609618559234</v>
      </c>
      <c r="D25" s="14">
        <v>0.60173614645363438</v>
      </c>
      <c r="E25" s="14">
        <v>0.1302623608702779</v>
      </c>
      <c r="F25" s="14">
        <v>3.3105454116656518E-8</v>
      </c>
      <c r="G25" s="14">
        <v>0.35484426793184942</v>
      </c>
      <c r="H25" s="14">
        <v>4.1247298468266794E-12</v>
      </c>
      <c r="I25" s="14">
        <v>0.33104670121689228</v>
      </c>
      <c r="J25" s="14">
        <v>1.41907509311019E-3</v>
      </c>
      <c r="K25" s="14"/>
      <c r="L25" s="14">
        <v>4.2272416973104519E-6</v>
      </c>
      <c r="M25" s="14">
        <v>0.20662454125896235</v>
      </c>
      <c r="N25" s="14"/>
      <c r="O25" s="14"/>
    </row>
  </sheetData>
  <mergeCells count="1">
    <mergeCell ref="A1:O1"/>
  </mergeCells>
  <conditionalFormatting sqref="B3:O25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activeCell="R11" sqref="R11"/>
    </sheetView>
  </sheetViews>
  <sheetFormatPr defaultRowHeight="14.4" x14ac:dyDescent="0.3"/>
  <cols>
    <col min="1" max="1" width="8" style="8" bestFit="1" customWidth="1"/>
    <col min="2" max="2" width="18.6640625" style="8" bestFit="1" customWidth="1"/>
    <col min="3" max="3" width="15.44140625" style="8" bestFit="1" customWidth="1"/>
    <col min="4" max="4" width="14.33203125" style="8" bestFit="1" customWidth="1"/>
    <col min="5" max="5" width="13.44140625" style="8" bestFit="1" customWidth="1"/>
    <col min="6" max="6" width="16" style="8" bestFit="1" customWidth="1"/>
    <col min="7" max="7" width="12.5546875" style="8" bestFit="1" customWidth="1"/>
    <col min="8" max="8" width="11.44140625" style="8" bestFit="1" customWidth="1"/>
    <col min="9" max="9" width="11.5546875" style="8" bestFit="1" customWidth="1"/>
    <col min="10" max="10" width="15.33203125" style="8" bestFit="1" customWidth="1"/>
    <col min="11" max="11" width="14.88671875" style="8" bestFit="1" customWidth="1"/>
    <col min="12" max="13" width="2" style="8" bestFit="1" customWidth="1"/>
    <col min="14" max="16384" width="8.88671875" style="8"/>
  </cols>
  <sheetData>
    <row r="1" spans="1:15" ht="15" thickBot="1" x14ac:dyDescent="0.35">
      <c r="A1" s="28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">
      <c r="A2" s="6" t="s">
        <v>82</v>
      </c>
      <c r="B2" s="6" t="s">
        <v>114</v>
      </c>
      <c r="C2" s="6" t="s">
        <v>115</v>
      </c>
      <c r="D2" s="6" t="s">
        <v>116</v>
      </c>
      <c r="E2" s="6" t="s">
        <v>117</v>
      </c>
      <c r="F2" s="6" t="s">
        <v>79</v>
      </c>
      <c r="G2" s="6" t="s">
        <v>60</v>
      </c>
      <c r="H2" s="6" t="s">
        <v>61</v>
      </c>
      <c r="I2" s="6" t="s">
        <v>62</v>
      </c>
      <c r="J2" s="6" t="s">
        <v>53</v>
      </c>
      <c r="K2" s="6" t="s">
        <v>48</v>
      </c>
      <c r="L2" s="6"/>
      <c r="M2" s="6"/>
      <c r="N2" s="6"/>
      <c r="O2" s="6"/>
    </row>
    <row r="3" spans="1:15" x14ac:dyDescent="0.3">
      <c r="A3" s="2" t="s">
        <v>83</v>
      </c>
      <c r="B3" s="16">
        <v>0</v>
      </c>
      <c r="C3" s="16">
        <v>0</v>
      </c>
      <c r="D3" s="16">
        <v>0</v>
      </c>
      <c r="E3" s="16">
        <v>1</v>
      </c>
      <c r="F3" s="16">
        <v>1</v>
      </c>
      <c r="G3" s="16">
        <v>1</v>
      </c>
      <c r="H3" s="16">
        <v>0</v>
      </c>
      <c r="I3" s="16">
        <v>1</v>
      </c>
      <c r="J3" s="16">
        <v>1</v>
      </c>
      <c r="K3" s="16"/>
      <c r="L3" s="16">
        <v>1</v>
      </c>
      <c r="M3" s="16">
        <v>1</v>
      </c>
      <c r="N3" s="16"/>
      <c r="O3" s="16"/>
    </row>
    <row r="4" spans="1:15" x14ac:dyDescent="0.3">
      <c r="A4" s="15" t="s">
        <v>84</v>
      </c>
      <c r="B4" s="17">
        <v>0</v>
      </c>
      <c r="C4" s="17">
        <v>0</v>
      </c>
      <c r="D4" s="17">
        <v>0</v>
      </c>
      <c r="E4" s="17">
        <v>1</v>
      </c>
      <c r="F4" s="17">
        <v>1</v>
      </c>
      <c r="G4" s="17">
        <v>1</v>
      </c>
      <c r="H4" s="17">
        <v>0</v>
      </c>
      <c r="I4" s="17">
        <v>1</v>
      </c>
      <c r="J4" s="17">
        <v>1</v>
      </c>
      <c r="K4" s="17"/>
      <c r="L4" s="17">
        <v>1</v>
      </c>
      <c r="M4" s="17">
        <v>1</v>
      </c>
      <c r="N4" s="17"/>
      <c r="O4" s="17"/>
    </row>
    <row r="5" spans="1:15" x14ac:dyDescent="0.3">
      <c r="A5" s="15" t="s">
        <v>85</v>
      </c>
      <c r="B5" s="17">
        <v>0</v>
      </c>
      <c r="C5" s="17">
        <v>0</v>
      </c>
      <c r="D5" s="17">
        <v>1</v>
      </c>
      <c r="E5" s="17">
        <v>1</v>
      </c>
      <c r="F5" s="17">
        <v>1</v>
      </c>
      <c r="G5" s="17">
        <v>1</v>
      </c>
      <c r="H5" s="17">
        <v>1</v>
      </c>
      <c r="I5" s="17">
        <v>1</v>
      </c>
      <c r="J5" s="17">
        <v>0</v>
      </c>
      <c r="K5" s="17"/>
      <c r="L5" s="17">
        <v>1</v>
      </c>
      <c r="M5" s="17">
        <v>1</v>
      </c>
      <c r="N5" s="17"/>
      <c r="O5" s="17"/>
    </row>
    <row r="6" spans="1:15" x14ac:dyDescent="0.3">
      <c r="A6" s="15" t="s">
        <v>86</v>
      </c>
      <c r="B6" s="17">
        <v>1</v>
      </c>
      <c r="C6" s="17">
        <v>0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/>
      <c r="L6" s="17">
        <v>1</v>
      </c>
      <c r="M6" s="17">
        <v>1</v>
      </c>
      <c r="N6" s="17"/>
      <c r="O6" s="17"/>
    </row>
    <row r="7" spans="1:15" x14ac:dyDescent="0.3">
      <c r="A7" s="15" t="s">
        <v>87</v>
      </c>
      <c r="B7" s="17">
        <v>0</v>
      </c>
      <c r="C7" s="17">
        <v>0</v>
      </c>
      <c r="D7" s="17">
        <v>0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/>
      <c r="L7" s="17">
        <v>1</v>
      </c>
      <c r="M7" s="17">
        <v>1</v>
      </c>
      <c r="N7" s="17"/>
      <c r="O7" s="17"/>
    </row>
    <row r="8" spans="1:15" x14ac:dyDescent="0.3">
      <c r="A8" s="15" t="s">
        <v>88</v>
      </c>
      <c r="B8" s="17">
        <v>0</v>
      </c>
      <c r="C8" s="17">
        <v>1</v>
      </c>
      <c r="D8" s="17">
        <v>1</v>
      </c>
      <c r="E8" s="17">
        <v>1</v>
      </c>
      <c r="F8" s="17">
        <v>1</v>
      </c>
      <c r="G8" s="17">
        <v>0</v>
      </c>
      <c r="H8" s="17">
        <v>1</v>
      </c>
      <c r="I8" s="17">
        <v>1</v>
      </c>
      <c r="J8" s="17">
        <v>1</v>
      </c>
      <c r="K8" s="17"/>
      <c r="L8" s="17">
        <v>1</v>
      </c>
      <c r="M8" s="17">
        <v>1</v>
      </c>
      <c r="N8" s="17"/>
      <c r="O8" s="17"/>
    </row>
    <row r="9" spans="1:15" x14ac:dyDescent="0.3">
      <c r="A9" s="15" t="s">
        <v>89</v>
      </c>
      <c r="B9" s="17">
        <v>1</v>
      </c>
      <c r="C9" s="17">
        <v>0</v>
      </c>
      <c r="D9" s="17">
        <v>1</v>
      </c>
      <c r="E9" s="17">
        <v>0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/>
      <c r="L9" s="17">
        <v>1</v>
      </c>
      <c r="M9" s="17">
        <v>1</v>
      </c>
      <c r="N9" s="17"/>
      <c r="O9" s="17"/>
    </row>
    <row r="10" spans="1:15" x14ac:dyDescent="0.3">
      <c r="A10" s="15" t="s">
        <v>90</v>
      </c>
      <c r="B10" s="17">
        <v>0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/>
      <c r="L10" s="17">
        <v>1</v>
      </c>
      <c r="M10" s="17">
        <v>1</v>
      </c>
      <c r="N10" s="17"/>
      <c r="O10" s="17"/>
    </row>
    <row r="11" spans="1:15" x14ac:dyDescent="0.3">
      <c r="A11" s="15" t="s">
        <v>91</v>
      </c>
      <c r="B11" s="17">
        <v>0</v>
      </c>
      <c r="C11" s="17">
        <v>0</v>
      </c>
      <c r="D11" s="17">
        <v>0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/>
      <c r="L11" s="17">
        <v>1</v>
      </c>
      <c r="M11" s="17">
        <v>1</v>
      </c>
      <c r="N11" s="17"/>
      <c r="O11" s="17"/>
    </row>
    <row r="12" spans="1:15" x14ac:dyDescent="0.3">
      <c r="A12" s="15" t="s">
        <v>92</v>
      </c>
      <c r="B12" s="17">
        <v>0</v>
      </c>
      <c r="C12" s="17">
        <v>0</v>
      </c>
      <c r="D12" s="17">
        <v>0</v>
      </c>
      <c r="E12" s="17">
        <v>1</v>
      </c>
      <c r="F12" s="17">
        <v>1</v>
      </c>
      <c r="G12" s="17">
        <v>0</v>
      </c>
      <c r="H12" s="17">
        <v>1</v>
      </c>
      <c r="I12" s="17">
        <v>1</v>
      </c>
      <c r="J12" s="17">
        <v>1</v>
      </c>
      <c r="K12" s="17"/>
      <c r="L12" s="17">
        <v>1</v>
      </c>
      <c r="M12" s="17">
        <v>0</v>
      </c>
      <c r="N12" s="17"/>
      <c r="O12" s="17"/>
    </row>
    <row r="13" spans="1:15" x14ac:dyDescent="0.3">
      <c r="A13" s="15" t="s">
        <v>93</v>
      </c>
      <c r="B13" s="17">
        <v>0</v>
      </c>
      <c r="C13" s="17">
        <v>0</v>
      </c>
      <c r="D13" s="17">
        <v>0</v>
      </c>
      <c r="E13" s="17">
        <v>0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/>
      <c r="L13" s="17">
        <v>1</v>
      </c>
      <c r="M13" s="17">
        <v>1</v>
      </c>
      <c r="N13" s="17"/>
      <c r="O13" s="17"/>
    </row>
    <row r="14" spans="1:15" x14ac:dyDescent="0.3">
      <c r="A14" s="15" t="s">
        <v>94</v>
      </c>
      <c r="B14" s="17">
        <v>0</v>
      </c>
      <c r="C14" s="17">
        <v>0</v>
      </c>
      <c r="D14" s="17">
        <v>0</v>
      </c>
      <c r="E14" s="17">
        <v>1</v>
      </c>
      <c r="F14" s="17">
        <v>1</v>
      </c>
      <c r="G14" s="17">
        <v>1</v>
      </c>
      <c r="H14" s="17">
        <v>0</v>
      </c>
      <c r="I14" s="17">
        <v>1</v>
      </c>
      <c r="J14" s="17">
        <v>1</v>
      </c>
      <c r="K14" s="17"/>
      <c r="L14" s="17">
        <v>0</v>
      </c>
      <c r="M14" s="17">
        <v>1</v>
      </c>
      <c r="N14" s="17"/>
      <c r="O14" s="17"/>
    </row>
    <row r="15" spans="1:15" x14ac:dyDescent="0.3">
      <c r="A15" s="15" t="s">
        <v>95</v>
      </c>
      <c r="B15" s="17">
        <v>0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/>
      <c r="L15" s="17">
        <v>0</v>
      </c>
      <c r="M15" s="17">
        <v>1</v>
      </c>
      <c r="N15" s="17"/>
      <c r="O15" s="17"/>
    </row>
    <row r="16" spans="1:15" x14ac:dyDescent="0.3">
      <c r="A16" s="15" t="s">
        <v>96</v>
      </c>
      <c r="B16" s="17">
        <v>0</v>
      </c>
      <c r="C16" s="17">
        <v>0</v>
      </c>
      <c r="D16" s="17">
        <v>1</v>
      </c>
      <c r="E16" s="17">
        <v>1</v>
      </c>
      <c r="F16" s="17">
        <v>1</v>
      </c>
      <c r="G16" s="17">
        <v>0</v>
      </c>
      <c r="H16" s="17">
        <v>1</v>
      </c>
      <c r="I16" s="17">
        <v>1</v>
      </c>
      <c r="J16" s="17">
        <v>1</v>
      </c>
      <c r="K16" s="17"/>
      <c r="L16" s="17">
        <v>0</v>
      </c>
      <c r="M16" s="17">
        <v>1</v>
      </c>
      <c r="N16" s="17"/>
      <c r="O16" s="17"/>
    </row>
    <row r="17" spans="1:15" x14ac:dyDescent="0.3">
      <c r="A17" s="15" t="s">
        <v>97</v>
      </c>
      <c r="B17" s="17">
        <v>0</v>
      </c>
      <c r="C17" s="17">
        <v>0</v>
      </c>
      <c r="D17" s="17">
        <v>0</v>
      </c>
      <c r="E17" s="17">
        <v>0</v>
      </c>
      <c r="F17" s="17">
        <v>1</v>
      </c>
      <c r="G17" s="17">
        <v>0</v>
      </c>
      <c r="H17" s="17">
        <v>0</v>
      </c>
      <c r="I17" s="17">
        <v>1</v>
      </c>
      <c r="J17" s="17">
        <v>0</v>
      </c>
      <c r="K17" s="17"/>
      <c r="L17" s="17">
        <v>1</v>
      </c>
      <c r="M17" s="17">
        <v>1</v>
      </c>
      <c r="N17" s="17"/>
      <c r="O17" s="17"/>
    </row>
    <row r="18" spans="1:15" x14ac:dyDescent="0.3">
      <c r="A18" s="15" t="s">
        <v>98</v>
      </c>
      <c r="B18" s="17">
        <v>0</v>
      </c>
      <c r="C18" s="17">
        <v>0</v>
      </c>
      <c r="D18" s="17">
        <v>0</v>
      </c>
      <c r="E18" s="17">
        <v>0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/>
      <c r="L18" s="17">
        <v>1</v>
      </c>
      <c r="M18" s="17">
        <v>1</v>
      </c>
      <c r="N18" s="17"/>
      <c r="O18" s="17"/>
    </row>
    <row r="19" spans="1:15" x14ac:dyDescent="0.3">
      <c r="A19" s="15" t="s">
        <v>99</v>
      </c>
      <c r="B19" s="17">
        <v>0</v>
      </c>
      <c r="C19" s="17">
        <v>0</v>
      </c>
      <c r="D19" s="17">
        <v>0</v>
      </c>
      <c r="E19" s="17">
        <v>0</v>
      </c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/>
      <c r="L19" s="17">
        <v>1</v>
      </c>
      <c r="M19" s="17">
        <v>1</v>
      </c>
      <c r="N19" s="17"/>
      <c r="O19" s="17"/>
    </row>
    <row r="20" spans="1:15" x14ac:dyDescent="0.3">
      <c r="A20" s="15" t="s">
        <v>100</v>
      </c>
      <c r="B20" s="17">
        <v>0</v>
      </c>
      <c r="C20" s="17">
        <v>0</v>
      </c>
      <c r="D20" s="17">
        <v>0</v>
      </c>
      <c r="E20" s="17">
        <v>0</v>
      </c>
      <c r="F20" s="17">
        <v>1</v>
      </c>
      <c r="G20" s="17">
        <v>1</v>
      </c>
      <c r="H20" s="17">
        <v>1</v>
      </c>
      <c r="I20" s="17">
        <v>0</v>
      </c>
      <c r="J20" s="17">
        <v>1</v>
      </c>
      <c r="K20" s="17"/>
      <c r="L20" s="17">
        <v>0</v>
      </c>
      <c r="M20" s="17">
        <v>1</v>
      </c>
      <c r="N20" s="17"/>
      <c r="O20" s="17"/>
    </row>
    <row r="21" spans="1:15" x14ac:dyDescent="0.3">
      <c r="A21" s="15" t="s">
        <v>101</v>
      </c>
      <c r="B21" s="17">
        <v>1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/>
      <c r="L21" s="17">
        <v>1</v>
      </c>
      <c r="M21" s="17">
        <v>1</v>
      </c>
      <c r="N21" s="17"/>
      <c r="O21" s="17"/>
    </row>
    <row r="22" spans="1:15" x14ac:dyDescent="0.3">
      <c r="A22" s="15" t="s">
        <v>102</v>
      </c>
      <c r="B22" s="17">
        <v>0</v>
      </c>
      <c r="C22" s="17">
        <v>1</v>
      </c>
      <c r="D22" s="17">
        <v>1</v>
      </c>
      <c r="E22" s="17">
        <v>1</v>
      </c>
      <c r="F22" s="17">
        <v>0</v>
      </c>
      <c r="G22" s="17">
        <v>1</v>
      </c>
      <c r="H22" s="17">
        <v>1</v>
      </c>
      <c r="I22" s="17">
        <v>1</v>
      </c>
      <c r="J22" s="17">
        <v>0</v>
      </c>
      <c r="K22" s="17"/>
      <c r="L22" s="17">
        <v>0</v>
      </c>
      <c r="M22" s="17">
        <v>0</v>
      </c>
      <c r="N22" s="17"/>
      <c r="O22" s="17"/>
    </row>
    <row r="23" spans="1:15" x14ac:dyDescent="0.3">
      <c r="A23" s="15" t="s">
        <v>103</v>
      </c>
      <c r="B23" s="17">
        <v>0</v>
      </c>
      <c r="C23" s="17">
        <v>0</v>
      </c>
      <c r="D23" s="17">
        <v>0</v>
      </c>
      <c r="E23" s="17">
        <v>0</v>
      </c>
      <c r="F23" s="17">
        <v>1</v>
      </c>
      <c r="G23" s="17">
        <v>0</v>
      </c>
      <c r="H23" s="17">
        <v>1</v>
      </c>
      <c r="I23" s="17">
        <v>1</v>
      </c>
      <c r="J23" s="17">
        <v>1</v>
      </c>
      <c r="K23" s="17"/>
      <c r="L23" s="17">
        <v>1</v>
      </c>
      <c r="M23" s="17">
        <v>1</v>
      </c>
      <c r="N23" s="17"/>
      <c r="O23" s="17"/>
    </row>
    <row r="24" spans="1:15" x14ac:dyDescent="0.3">
      <c r="A24" s="15" t="s">
        <v>104</v>
      </c>
      <c r="B24" s="17">
        <v>0</v>
      </c>
      <c r="C24" s="17">
        <v>0</v>
      </c>
      <c r="D24" s="17">
        <v>0</v>
      </c>
      <c r="E24" s="17">
        <v>1</v>
      </c>
      <c r="F24" s="17">
        <v>1</v>
      </c>
      <c r="G24" s="17">
        <v>0</v>
      </c>
      <c r="H24" s="17">
        <v>1</v>
      </c>
      <c r="I24" s="17">
        <v>1</v>
      </c>
      <c r="J24" s="17">
        <v>1</v>
      </c>
      <c r="K24" s="17"/>
      <c r="L24" s="17">
        <v>1</v>
      </c>
      <c r="M24" s="17">
        <v>1</v>
      </c>
      <c r="N24" s="17"/>
      <c r="O24" s="17"/>
    </row>
    <row r="25" spans="1:15" x14ac:dyDescent="0.3">
      <c r="A25" s="6" t="s">
        <v>105</v>
      </c>
      <c r="B25" s="18">
        <v>0</v>
      </c>
      <c r="C25" s="18">
        <v>0</v>
      </c>
      <c r="D25" s="18">
        <v>0</v>
      </c>
      <c r="E25" s="18">
        <v>0</v>
      </c>
      <c r="F25" s="18">
        <v>1</v>
      </c>
      <c r="G25" s="18">
        <v>0</v>
      </c>
      <c r="H25" s="18">
        <v>1</v>
      </c>
      <c r="I25" s="18">
        <v>0</v>
      </c>
      <c r="J25" s="18">
        <v>1</v>
      </c>
      <c r="K25" s="18"/>
      <c r="L25" s="18">
        <v>1</v>
      </c>
      <c r="M25" s="18">
        <v>0</v>
      </c>
      <c r="N25" s="18"/>
      <c r="O25" s="18"/>
    </row>
  </sheetData>
  <mergeCells count="1">
    <mergeCell ref="A1:O1"/>
  </mergeCells>
  <conditionalFormatting sqref="B3:O25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K11" sqref="K11"/>
    </sheetView>
  </sheetViews>
  <sheetFormatPr defaultRowHeight="14.4" x14ac:dyDescent="0.3"/>
  <cols>
    <col min="1" max="1" width="8" bestFit="1" customWidth="1"/>
    <col min="2" max="2" width="18.6640625" bestFit="1" customWidth="1"/>
    <col min="3" max="3" width="15.44140625" bestFit="1" customWidth="1"/>
    <col min="4" max="4" width="14.33203125" bestFit="1" customWidth="1"/>
    <col min="5" max="5" width="13.44140625" bestFit="1" customWidth="1"/>
    <col min="6" max="6" width="16" bestFit="1" customWidth="1"/>
    <col min="7" max="7" width="12.5546875" bestFit="1" customWidth="1"/>
    <col min="8" max="8" width="11.44140625" bestFit="1" customWidth="1"/>
    <col min="9" max="9" width="11.5546875" bestFit="1" customWidth="1"/>
    <col min="10" max="10" width="15.33203125" customWidth="1"/>
    <col min="11" max="11" width="14.88671875" customWidth="1"/>
  </cols>
  <sheetData>
    <row r="1" spans="1:15" ht="15" thickBot="1" x14ac:dyDescent="0.35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">
      <c r="A2" s="11" t="s">
        <v>82</v>
      </c>
      <c r="B2" s="11" t="s">
        <v>114</v>
      </c>
      <c r="C2" s="11" t="s">
        <v>115</v>
      </c>
      <c r="D2" s="11" t="s">
        <v>116</v>
      </c>
      <c r="E2" s="11" t="s">
        <v>117</v>
      </c>
      <c r="F2" s="11" t="s">
        <v>80</v>
      </c>
      <c r="G2" s="11" t="s">
        <v>63</v>
      </c>
      <c r="H2" s="11" t="s">
        <v>64</v>
      </c>
      <c r="I2" s="11" t="s">
        <v>65</v>
      </c>
      <c r="J2" s="11" t="s">
        <v>54</v>
      </c>
      <c r="K2" s="11" t="s">
        <v>49</v>
      </c>
      <c r="L2" s="11"/>
      <c r="M2" s="11"/>
      <c r="N2" s="11"/>
      <c r="O2" s="11"/>
    </row>
    <row r="3" spans="1:15" x14ac:dyDescent="0.3">
      <c r="A3" s="12" t="s">
        <v>83</v>
      </c>
      <c r="B3" s="3">
        <v>0.5</v>
      </c>
      <c r="C3" s="3">
        <v>0.25</v>
      </c>
      <c r="D3" s="3">
        <v>0.25</v>
      </c>
      <c r="E3" s="3">
        <v>0.25</v>
      </c>
      <c r="F3" s="3">
        <v>1.7343976283205826E-6</v>
      </c>
      <c r="G3" s="3">
        <v>1.7343976283205826E-6</v>
      </c>
      <c r="H3" s="3">
        <v>1.7343976283205826E-6</v>
      </c>
      <c r="I3" s="3">
        <v>1.7343976283205826E-6</v>
      </c>
      <c r="J3" s="3">
        <v>1.7343976283205826E-6</v>
      </c>
      <c r="K3" s="3">
        <v>1</v>
      </c>
      <c r="L3" s="3"/>
      <c r="M3" s="3"/>
      <c r="N3" s="3"/>
      <c r="O3" s="3"/>
    </row>
    <row r="4" spans="1:15" x14ac:dyDescent="0.3">
      <c r="A4" s="13" t="s">
        <v>84</v>
      </c>
      <c r="B4" s="10">
        <v>0.25</v>
      </c>
      <c r="C4" s="10">
        <v>0.25</v>
      </c>
      <c r="D4" s="10">
        <v>0.25</v>
      </c>
      <c r="E4" s="10">
        <v>0.25</v>
      </c>
      <c r="F4" s="10">
        <v>1.7343976283205826E-6</v>
      </c>
      <c r="G4" s="10">
        <v>1.7343976283205826E-6</v>
      </c>
      <c r="H4" s="10">
        <v>0.67327980652330466</v>
      </c>
      <c r="I4" s="10">
        <v>1.7343976283205826E-6</v>
      </c>
      <c r="J4" s="10">
        <v>1.7343976283205826E-6</v>
      </c>
      <c r="K4" s="10">
        <v>1</v>
      </c>
      <c r="L4" s="10"/>
      <c r="M4" s="10"/>
      <c r="N4" s="10"/>
      <c r="O4" s="10"/>
    </row>
    <row r="5" spans="1:15" x14ac:dyDescent="0.3">
      <c r="A5" s="13" t="s">
        <v>85</v>
      </c>
      <c r="B5" s="10">
        <v>0.25</v>
      </c>
      <c r="C5" s="10">
        <v>0.25</v>
      </c>
      <c r="D5" s="10">
        <v>0.25</v>
      </c>
      <c r="E5" s="10">
        <v>0.25</v>
      </c>
      <c r="F5" s="10">
        <v>1.7343976283205826E-6</v>
      </c>
      <c r="G5" s="10">
        <v>1.7343976283205826E-6</v>
      </c>
      <c r="H5" s="10">
        <v>1.7343976283205826E-6</v>
      </c>
      <c r="I5" s="10">
        <v>1.7343976283205826E-6</v>
      </c>
      <c r="J5" s="10">
        <v>1.7343976283205826E-6</v>
      </c>
      <c r="K5" s="10">
        <v>1</v>
      </c>
      <c r="L5" s="10"/>
      <c r="M5" s="10"/>
      <c r="N5" s="10"/>
      <c r="O5" s="10"/>
    </row>
    <row r="6" spans="1:15" x14ac:dyDescent="0.3">
      <c r="A6" s="13" t="s">
        <v>86</v>
      </c>
      <c r="B6" s="10">
        <v>0.25</v>
      </c>
      <c r="C6" s="10">
        <v>0.25</v>
      </c>
      <c r="D6" s="10">
        <v>0.25</v>
      </c>
      <c r="E6" s="10">
        <v>0.25</v>
      </c>
      <c r="F6" s="10">
        <v>1.7343976283205826E-6</v>
      </c>
      <c r="G6" s="10">
        <v>1.7343976283205826E-6</v>
      </c>
      <c r="H6" s="10">
        <v>1.7343976283205826E-6</v>
      </c>
      <c r="I6" s="10">
        <v>1.7343976283205826E-6</v>
      </c>
      <c r="J6" s="10">
        <v>1.7343976283205826E-6</v>
      </c>
      <c r="K6" s="10">
        <v>1</v>
      </c>
      <c r="L6" s="10"/>
      <c r="M6" s="10"/>
      <c r="N6" s="10"/>
      <c r="O6" s="10"/>
    </row>
    <row r="7" spans="1:15" x14ac:dyDescent="0.3">
      <c r="A7" s="13" t="s">
        <v>87</v>
      </c>
      <c r="B7" s="10">
        <v>0.25</v>
      </c>
      <c r="C7" s="10">
        <v>1</v>
      </c>
      <c r="D7" s="10">
        <v>0.25</v>
      </c>
      <c r="E7" s="10">
        <v>0.25</v>
      </c>
      <c r="F7" s="10">
        <v>1.7343976283205826E-6</v>
      </c>
      <c r="G7" s="10">
        <v>1.7343976283205826E-6</v>
      </c>
      <c r="H7" s="10">
        <v>1.7343976283205826E-6</v>
      </c>
      <c r="I7" s="10">
        <v>1.7343976283205826E-6</v>
      </c>
      <c r="J7" s="10">
        <v>1.7343976283205826E-6</v>
      </c>
      <c r="K7" s="10">
        <v>1</v>
      </c>
      <c r="L7" s="10"/>
      <c r="M7" s="10"/>
      <c r="N7" s="10"/>
      <c r="O7" s="10"/>
    </row>
    <row r="8" spans="1:15" x14ac:dyDescent="0.3">
      <c r="A8" s="13" t="s">
        <v>88</v>
      </c>
      <c r="B8" s="10">
        <v>0.25</v>
      </c>
      <c r="C8" s="10">
        <v>0.25</v>
      </c>
      <c r="D8" s="10">
        <v>0.25</v>
      </c>
      <c r="E8" s="10">
        <v>0.25</v>
      </c>
      <c r="F8" s="10">
        <v>1.7343976283205826E-6</v>
      </c>
      <c r="G8" s="10">
        <v>0.37093530784512468</v>
      </c>
      <c r="H8" s="10">
        <v>3.1123151153729202E-5</v>
      </c>
      <c r="I8" s="10">
        <v>1.7343976283205826E-6</v>
      </c>
      <c r="J8" s="10">
        <v>1.7343976283205826E-6</v>
      </c>
      <c r="K8" s="10">
        <v>1</v>
      </c>
      <c r="L8" s="10"/>
      <c r="M8" s="10"/>
      <c r="N8" s="10"/>
      <c r="O8" s="10"/>
    </row>
    <row r="9" spans="1:15" x14ac:dyDescent="0.3">
      <c r="A9" s="13" t="s">
        <v>89</v>
      </c>
      <c r="B9" s="10">
        <v>0.25</v>
      </c>
      <c r="C9" s="10">
        <v>0.25</v>
      </c>
      <c r="D9" s="10">
        <v>0.25</v>
      </c>
      <c r="E9" s="10">
        <v>0.25</v>
      </c>
      <c r="F9" s="10">
        <v>1.7343976283205826E-6</v>
      </c>
      <c r="G9" s="10">
        <v>1.7343976283205826E-6</v>
      </c>
      <c r="H9" s="10">
        <v>1.7343976283205826E-6</v>
      </c>
      <c r="I9" s="10">
        <v>1.7343976283205826E-6</v>
      </c>
      <c r="J9" s="10">
        <v>1.9209211049031476E-6</v>
      </c>
      <c r="K9" s="10">
        <v>1</v>
      </c>
      <c r="L9" s="10"/>
      <c r="M9" s="10"/>
      <c r="N9" s="10"/>
      <c r="O9" s="10"/>
    </row>
    <row r="10" spans="1:15" x14ac:dyDescent="0.3">
      <c r="A10" s="13" t="s">
        <v>90</v>
      </c>
      <c r="B10" s="10">
        <v>1</v>
      </c>
      <c r="C10" s="10">
        <v>0.25</v>
      </c>
      <c r="D10" s="10">
        <v>0.25</v>
      </c>
      <c r="E10" s="10">
        <v>0.25</v>
      </c>
      <c r="F10" s="10">
        <v>1.7343976283205826E-6</v>
      </c>
      <c r="G10" s="10">
        <v>1.7343976283205826E-6</v>
      </c>
      <c r="H10" s="10">
        <v>1.7343976283205826E-6</v>
      </c>
      <c r="I10" s="10">
        <v>1.7343976283205826E-6</v>
      </c>
      <c r="J10" s="10">
        <v>1.7343976283205826E-6</v>
      </c>
      <c r="K10" s="10">
        <v>1</v>
      </c>
      <c r="L10" s="10"/>
      <c r="M10" s="10"/>
      <c r="N10" s="10"/>
      <c r="O10" s="10"/>
    </row>
    <row r="11" spans="1:15" x14ac:dyDescent="0.3">
      <c r="A11" s="13" t="s">
        <v>91</v>
      </c>
      <c r="B11" s="10">
        <v>0.5</v>
      </c>
      <c r="C11" s="10">
        <v>0.5</v>
      </c>
      <c r="D11" s="10">
        <v>0.25</v>
      </c>
      <c r="E11" s="10">
        <v>0.25</v>
      </c>
      <c r="F11" s="10">
        <v>1.7343976283205826E-6</v>
      </c>
      <c r="G11" s="10">
        <v>1.7343976283205826E-6</v>
      </c>
      <c r="H11" s="10">
        <v>1.7343976283205826E-6</v>
      </c>
      <c r="I11" s="10">
        <v>1.7343976283205826E-6</v>
      </c>
      <c r="J11" s="10">
        <v>1.712686559944356E-6</v>
      </c>
      <c r="K11" s="10">
        <v>1</v>
      </c>
      <c r="L11" s="10"/>
      <c r="M11" s="10"/>
      <c r="N11" s="10"/>
      <c r="O11" s="10"/>
    </row>
    <row r="12" spans="1:15" x14ac:dyDescent="0.3">
      <c r="A12" s="13" t="s">
        <v>92</v>
      </c>
      <c r="B12" s="10">
        <v>0.25</v>
      </c>
      <c r="C12" s="10">
        <v>0.25</v>
      </c>
      <c r="D12" s="10">
        <v>0.25</v>
      </c>
      <c r="E12" s="10">
        <v>0.25</v>
      </c>
      <c r="F12" s="10">
        <v>1.7343976283205826E-6</v>
      </c>
      <c r="G12" s="10">
        <v>1.7343976283205826E-6</v>
      </c>
      <c r="H12" s="10">
        <v>1.9209211049031476E-6</v>
      </c>
      <c r="I12" s="10">
        <v>1.7343976283205826E-6</v>
      </c>
      <c r="J12" s="10">
        <v>9.4435681235260007E-7</v>
      </c>
      <c r="K12" s="10">
        <v>1</v>
      </c>
      <c r="L12" s="10"/>
      <c r="M12" s="10"/>
      <c r="N12" s="10"/>
      <c r="O12" s="10"/>
    </row>
    <row r="13" spans="1:15" x14ac:dyDescent="0.3">
      <c r="A13" s="13" t="s">
        <v>93</v>
      </c>
      <c r="B13" s="10">
        <v>1</v>
      </c>
      <c r="C13" s="10">
        <v>0.25</v>
      </c>
      <c r="D13" s="10">
        <v>0.75</v>
      </c>
      <c r="E13" s="10">
        <v>1</v>
      </c>
      <c r="F13" s="10">
        <v>1.7343976283205826E-6</v>
      </c>
      <c r="G13" s="10">
        <v>1.9209211049031476E-6</v>
      </c>
      <c r="H13" s="10">
        <v>1.9209211049031476E-6</v>
      </c>
      <c r="I13" s="10">
        <v>7.7121736520955296E-4</v>
      </c>
      <c r="J13" s="10">
        <v>1.953125E-3</v>
      </c>
      <c r="K13" s="10">
        <v>1</v>
      </c>
      <c r="L13" s="10"/>
      <c r="M13" s="10"/>
      <c r="N13" s="10"/>
      <c r="O13" s="10"/>
    </row>
    <row r="14" spans="1:15" x14ac:dyDescent="0.3">
      <c r="A14" s="13" t="s">
        <v>94</v>
      </c>
      <c r="B14" s="10">
        <v>0.5</v>
      </c>
      <c r="C14" s="10">
        <v>0.25</v>
      </c>
      <c r="D14" s="10">
        <v>0.25</v>
      </c>
      <c r="E14" s="10">
        <v>0.25</v>
      </c>
      <c r="F14" s="10">
        <v>1.7343976283205826E-6</v>
      </c>
      <c r="G14" s="10">
        <v>2.1630223983536977E-5</v>
      </c>
      <c r="H14" s="10">
        <v>1.7343976283205826E-6</v>
      </c>
      <c r="I14" s="10">
        <v>1.7343976283205826E-6</v>
      </c>
      <c r="J14" s="10">
        <v>1.7343976283205826E-6</v>
      </c>
      <c r="K14" s="10">
        <v>1</v>
      </c>
      <c r="L14" s="10"/>
      <c r="M14" s="10"/>
      <c r="N14" s="10"/>
      <c r="O14" s="10"/>
    </row>
    <row r="15" spans="1:15" x14ac:dyDescent="0.3">
      <c r="A15" s="13" t="s">
        <v>95</v>
      </c>
      <c r="B15" s="10">
        <v>0.5</v>
      </c>
      <c r="C15" s="10">
        <v>0.25</v>
      </c>
      <c r="D15" s="10">
        <v>0.25</v>
      </c>
      <c r="E15" s="10">
        <v>0.25</v>
      </c>
      <c r="F15" s="10">
        <v>1.7343976283205826E-6</v>
      </c>
      <c r="G15" s="10">
        <v>6.1564062070142307E-4</v>
      </c>
      <c r="H15" s="10">
        <v>1.7343976283205826E-6</v>
      </c>
      <c r="I15" s="10">
        <v>1.7343976283205826E-6</v>
      </c>
      <c r="J15" s="10">
        <v>1.7343976283205826E-6</v>
      </c>
      <c r="K15" s="10">
        <v>1</v>
      </c>
      <c r="L15" s="10"/>
      <c r="M15" s="10"/>
      <c r="N15" s="10"/>
      <c r="O15" s="10"/>
    </row>
    <row r="16" spans="1:15" x14ac:dyDescent="0.3">
      <c r="A16" s="13" t="s">
        <v>96</v>
      </c>
      <c r="B16" s="10">
        <v>0.25</v>
      </c>
      <c r="C16" s="10">
        <v>0.25</v>
      </c>
      <c r="D16" s="10">
        <v>0.25</v>
      </c>
      <c r="E16" s="10">
        <v>0.25</v>
      </c>
      <c r="F16" s="10">
        <v>1.7343976283205826E-6</v>
      </c>
      <c r="G16" s="10">
        <v>0.13590778549641164</v>
      </c>
      <c r="H16" s="10">
        <v>1.7300371292901292E-6</v>
      </c>
      <c r="I16" s="10">
        <v>2.12663601073143E-6</v>
      </c>
      <c r="J16" s="10">
        <v>8.1842004205397159E-5</v>
      </c>
      <c r="K16" s="10">
        <v>1</v>
      </c>
      <c r="L16" s="10"/>
      <c r="M16" s="10"/>
      <c r="N16" s="10"/>
      <c r="O16" s="10"/>
    </row>
    <row r="17" spans="1:15" x14ac:dyDescent="0.3">
      <c r="A17" s="13" t="s">
        <v>97</v>
      </c>
      <c r="B17" s="10">
        <v>0.5</v>
      </c>
      <c r="C17" s="10">
        <v>1</v>
      </c>
      <c r="D17" s="10">
        <v>0.75</v>
      </c>
      <c r="E17" s="10">
        <v>0.25</v>
      </c>
      <c r="F17" s="10">
        <v>1.7343976283205826E-6</v>
      </c>
      <c r="G17" s="10">
        <v>6.4242118721631065E-3</v>
      </c>
      <c r="H17" s="10">
        <v>0.20588822305607396</v>
      </c>
      <c r="I17" s="10">
        <v>1.9209211049031476E-6</v>
      </c>
      <c r="J17" s="10">
        <v>2.3704477025504914E-5</v>
      </c>
      <c r="K17" s="10">
        <v>1</v>
      </c>
      <c r="L17" s="10"/>
      <c r="M17" s="10"/>
      <c r="N17" s="10"/>
      <c r="O17" s="10"/>
    </row>
    <row r="18" spans="1:15" x14ac:dyDescent="0.3">
      <c r="A18" s="13" t="s">
        <v>98</v>
      </c>
      <c r="B18" s="10">
        <v>0.5</v>
      </c>
      <c r="C18" s="10">
        <v>0.25</v>
      </c>
      <c r="D18" s="10">
        <v>0.25</v>
      </c>
      <c r="E18" s="10">
        <v>0.75</v>
      </c>
      <c r="F18" s="10">
        <v>1.7343976283205826E-6</v>
      </c>
      <c r="G18" s="10">
        <v>1.7343976283205826E-6</v>
      </c>
      <c r="H18" s="10">
        <v>1.7343976283205826E-6</v>
      </c>
      <c r="I18" s="10">
        <v>0.37093530784512468</v>
      </c>
      <c r="J18" s="10">
        <v>1.7343976283205826E-6</v>
      </c>
      <c r="K18" s="10">
        <v>1</v>
      </c>
      <c r="L18" s="10"/>
      <c r="M18" s="10"/>
      <c r="N18" s="10"/>
      <c r="O18" s="10"/>
    </row>
    <row r="19" spans="1:15" x14ac:dyDescent="0.3">
      <c r="A19" s="13" t="s">
        <v>99</v>
      </c>
      <c r="B19" s="10">
        <v>0.25</v>
      </c>
      <c r="C19" s="10">
        <v>0.25</v>
      </c>
      <c r="D19" s="10">
        <v>0.25</v>
      </c>
      <c r="E19" s="10">
        <v>0.5</v>
      </c>
      <c r="F19" s="10">
        <v>1.7343976283205826E-6</v>
      </c>
      <c r="G19" s="10">
        <v>1.7343976283205826E-6</v>
      </c>
      <c r="H19" s="10">
        <v>1.7343976283205826E-6</v>
      </c>
      <c r="I19" s="10">
        <v>1.9209211049031476E-6</v>
      </c>
      <c r="J19" s="10">
        <v>1.7343976283205826E-6</v>
      </c>
      <c r="K19" s="10">
        <v>1</v>
      </c>
      <c r="L19" s="10"/>
      <c r="M19" s="10"/>
      <c r="N19" s="10"/>
      <c r="O19" s="10"/>
    </row>
    <row r="20" spans="1:15" x14ac:dyDescent="0.3">
      <c r="A20" s="13" t="s">
        <v>100</v>
      </c>
      <c r="B20" s="10">
        <v>0.25</v>
      </c>
      <c r="C20" s="10">
        <v>0.25</v>
      </c>
      <c r="D20" s="10">
        <v>0.25</v>
      </c>
      <c r="E20" s="10">
        <v>0.75</v>
      </c>
      <c r="F20" s="10">
        <v>1.7343976283205826E-6</v>
      </c>
      <c r="G20" s="10">
        <v>1.9209211049031476E-6</v>
      </c>
      <c r="H20" s="10">
        <v>1.7343976283205826E-6</v>
      </c>
      <c r="I20" s="10">
        <v>3.8723026479358991E-2</v>
      </c>
      <c r="J20" s="10">
        <v>1.7343976283205826E-6</v>
      </c>
      <c r="K20" s="10">
        <v>1</v>
      </c>
      <c r="L20" s="10"/>
      <c r="M20" s="10"/>
      <c r="N20" s="10"/>
      <c r="O20" s="10"/>
    </row>
    <row r="21" spans="1:15" x14ac:dyDescent="0.3">
      <c r="A21" s="13" t="s">
        <v>101</v>
      </c>
      <c r="B21" s="10">
        <v>0.25</v>
      </c>
      <c r="C21" s="10">
        <v>0.25</v>
      </c>
      <c r="D21" s="10">
        <v>0.25</v>
      </c>
      <c r="E21" s="10">
        <v>0.25</v>
      </c>
      <c r="F21" s="10">
        <v>1.7343976283205826E-6</v>
      </c>
      <c r="G21" s="10">
        <v>1.7343976283205826E-6</v>
      </c>
      <c r="H21" s="10">
        <v>1.7343976283205826E-6</v>
      </c>
      <c r="I21" s="10">
        <v>1.7343976283205826E-6</v>
      </c>
      <c r="J21" s="10">
        <v>1.7343976283205826E-6</v>
      </c>
      <c r="K21" s="10">
        <v>1</v>
      </c>
      <c r="L21" s="10"/>
      <c r="M21" s="10"/>
      <c r="N21" s="10"/>
      <c r="O21" s="10"/>
    </row>
    <row r="22" spans="1:15" x14ac:dyDescent="0.3">
      <c r="A22" s="13" t="s">
        <v>102</v>
      </c>
      <c r="B22" s="10">
        <v>0.75</v>
      </c>
      <c r="C22" s="10">
        <v>0.25</v>
      </c>
      <c r="D22" s="10">
        <v>0.25</v>
      </c>
      <c r="E22" s="10">
        <v>0.25</v>
      </c>
      <c r="F22" s="10">
        <v>3.5008956819850154E-2</v>
      </c>
      <c r="G22" s="10">
        <v>1.7343976283205826E-6</v>
      </c>
      <c r="H22" s="10">
        <v>1.7343976283205826E-6</v>
      </c>
      <c r="I22" s="10">
        <v>1.7343976283205826E-6</v>
      </c>
      <c r="J22" s="10">
        <v>1.245256043855447E-2</v>
      </c>
      <c r="K22" s="10">
        <v>1</v>
      </c>
      <c r="L22" s="10"/>
      <c r="M22" s="10"/>
      <c r="N22" s="10"/>
      <c r="O22" s="10"/>
    </row>
    <row r="23" spans="1:15" x14ac:dyDescent="0.3">
      <c r="A23" s="13" t="s">
        <v>103</v>
      </c>
      <c r="B23" s="10">
        <v>0.25</v>
      </c>
      <c r="C23" s="10">
        <v>1</v>
      </c>
      <c r="D23" s="10">
        <v>0.25</v>
      </c>
      <c r="E23" s="10">
        <v>1</v>
      </c>
      <c r="F23" s="10">
        <v>1.7343976283205826E-6</v>
      </c>
      <c r="G23" s="10">
        <v>0.89364438712660521</v>
      </c>
      <c r="H23" s="10">
        <v>8.9187274244597068E-5</v>
      </c>
      <c r="I23" s="10">
        <v>1.8518974697467733E-2</v>
      </c>
      <c r="J23" s="10">
        <v>1.7343976283205826E-6</v>
      </c>
      <c r="K23" s="10">
        <v>1</v>
      </c>
      <c r="L23" s="10"/>
      <c r="M23" s="10"/>
      <c r="N23" s="10"/>
      <c r="O23" s="10"/>
    </row>
    <row r="24" spans="1:15" x14ac:dyDescent="0.3">
      <c r="A24" s="13" t="s">
        <v>104</v>
      </c>
      <c r="B24" s="10">
        <v>0.5</v>
      </c>
      <c r="C24" s="10">
        <v>0.25</v>
      </c>
      <c r="D24" s="10">
        <v>0.25</v>
      </c>
      <c r="E24" s="10">
        <v>0.25</v>
      </c>
      <c r="F24" s="10">
        <v>1.7343976283205826E-6</v>
      </c>
      <c r="G24" s="10">
        <v>0.79709830300679518</v>
      </c>
      <c r="H24" s="10">
        <v>1.7343976283205826E-6</v>
      </c>
      <c r="I24" s="10">
        <v>3.8723026479358991E-2</v>
      </c>
      <c r="J24" s="10">
        <v>1.7343976283205826E-6</v>
      </c>
      <c r="K24" s="10">
        <v>1</v>
      </c>
      <c r="L24" s="10"/>
      <c r="M24" s="10"/>
      <c r="N24" s="10"/>
      <c r="O24" s="10"/>
    </row>
    <row r="25" spans="1:15" x14ac:dyDescent="0.3">
      <c r="A25" s="11" t="s">
        <v>105</v>
      </c>
      <c r="B25" s="14">
        <v>0.75</v>
      </c>
      <c r="C25" s="14">
        <v>0.75</v>
      </c>
      <c r="D25" s="14">
        <v>0.75</v>
      </c>
      <c r="E25" s="14">
        <v>0.25</v>
      </c>
      <c r="F25" s="14">
        <v>1.7343976283205826E-6</v>
      </c>
      <c r="G25" s="14">
        <v>0.50383296887814133</v>
      </c>
      <c r="H25" s="14">
        <v>2.8785992193943049E-6</v>
      </c>
      <c r="I25" s="14">
        <v>0.67327980652330466</v>
      </c>
      <c r="J25" s="14">
        <v>1.7343976283205826E-6</v>
      </c>
      <c r="K25" s="14">
        <v>1</v>
      </c>
      <c r="L25" s="14"/>
      <c r="M25" s="14"/>
      <c r="N25" s="14"/>
      <c r="O25" s="14"/>
    </row>
  </sheetData>
  <mergeCells count="1">
    <mergeCell ref="A1:O1"/>
  </mergeCells>
  <conditionalFormatting sqref="B3:O25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>
      <selection activeCell="Q9" sqref="Q9"/>
    </sheetView>
  </sheetViews>
  <sheetFormatPr defaultRowHeight="14.4" x14ac:dyDescent="0.3"/>
  <cols>
    <col min="1" max="1" width="8" style="8" bestFit="1" customWidth="1"/>
    <col min="2" max="2" width="18.6640625" style="8" bestFit="1" customWidth="1"/>
    <col min="3" max="3" width="15.44140625" style="8" bestFit="1" customWidth="1"/>
    <col min="4" max="4" width="14.33203125" style="8" bestFit="1" customWidth="1"/>
    <col min="5" max="5" width="13.44140625" style="8" bestFit="1" customWidth="1"/>
    <col min="6" max="6" width="16" style="8" bestFit="1" customWidth="1"/>
    <col min="7" max="7" width="12.5546875" style="8" bestFit="1" customWidth="1"/>
    <col min="8" max="8" width="11.44140625" style="8" bestFit="1" customWidth="1"/>
    <col min="9" max="9" width="11.5546875" style="8" bestFit="1" customWidth="1"/>
    <col min="10" max="10" width="15.33203125" style="8" bestFit="1" customWidth="1"/>
    <col min="11" max="11" width="14.88671875" style="8" bestFit="1" customWidth="1"/>
    <col min="12" max="13" width="2" style="8" bestFit="1" customWidth="1"/>
    <col min="14" max="16384" width="8.88671875" style="8"/>
  </cols>
  <sheetData>
    <row r="1" spans="1:15" ht="15" thickBot="1" x14ac:dyDescent="0.35">
      <c r="A1" s="28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">
      <c r="A2" s="6" t="s">
        <v>82</v>
      </c>
      <c r="B2" s="6" t="s">
        <v>114</v>
      </c>
      <c r="C2" s="6" t="s">
        <v>115</v>
      </c>
      <c r="D2" s="6" t="s">
        <v>116</v>
      </c>
      <c r="E2" s="6" t="s">
        <v>117</v>
      </c>
      <c r="F2" s="6" t="s">
        <v>81</v>
      </c>
      <c r="G2" s="6" t="s">
        <v>66</v>
      </c>
      <c r="H2" s="6" t="s">
        <v>67</v>
      </c>
      <c r="I2" s="6" t="s">
        <v>68</v>
      </c>
      <c r="J2" s="6" t="s">
        <v>55</v>
      </c>
      <c r="K2" s="6" t="s">
        <v>50</v>
      </c>
      <c r="L2" s="6"/>
      <c r="M2" s="6"/>
      <c r="N2" s="6"/>
      <c r="O2" s="6"/>
    </row>
    <row r="3" spans="1:15" x14ac:dyDescent="0.3">
      <c r="A3" s="2" t="s">
        <v>83</v>
      </c>
      <c r="B3" s="16">
        <v>0</v>
      </c>
      <c r="C3" s="16">
        <v>0</v>
      </c>
      <c r="D3" s="16">
        <v>0</v>
      </c>
      <c r="E3" s="16">
        <v>0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0</v>
      </c>
      <c r="L3" s="16">
        <v>1</v>
      </c>
      <c r="M3" s="16">
        <v>1</v>
      </c>
      <c r="N3" s="16"/>
      <c r="O3" s="16"/>
    </row>
    <row r="4" spans="1:15" x14ac:dyDescent="0.3">
      <c r="A4" s="15" t="s">
        <v>84</v>
      </c>
      <c r="B4" s="17">
        <v>0</v>
      </c>
      <c r="C4" s="17">
        <v>0</v>
      </c>
      <c r="D4" s="17">
        <v>0</v>
      </c>
      <c r="E4" s="17">
        <v>0</v>
      </c>
      <c r="F4" s="17">
        <v>1</v>
      </c>
      <c r="G4" s="17">
        <v>1</v>
      </c>
      <c r="H4" s="17">
        <v>0</v>
      </c>
      <c r="I4" s="17">
        <v>1</v>
      </c>
      <c r="J4" s="17">
        <v>1</v>
      </c>
      <c r="K4" s="17">
        <v>0</v>
      </c>
      <c r="L4" s="17">
        <v>1</v>
      </c>
      <c r="M4" s="17">
        <v>1</v>
      </c>
      <c r="N4" s="17"/>
      <c r="O4" s="17"/>
    </row>
    <row r="5" spans="1:15" x14ac:dyDescent="0.3">
      <c r="A5" s="15" t="s">
        <v>85</v>
      </c>
      <c r="B5" s="17">
        <v>0</v>
      </c>
      <c r="C5" s="17">
        <v>0</v>
      </c>
      <c r="D5" s="17">
        <v>0</v>
      </c>
      <c r="E5" s="17">
        <v>0</v>
      </c>
      <c r="F5" s="17">
        <v>1</v>
      </c>
      <c r="G5" s="17">
        <v>1</v>
      </c>
      <c r="H5" s="17">
        <v>1</v>
      </c>
      <c r="I5" s="17">
        <v>1</v>
      </c>
      <c r="J5" s="17">
        <v>1</v>
      </c>
      <c r="K5" s="17">
        <v>0</v>
      </c>
      <c r="L5" s="17">
        <v>1</v>
      </c>
      <c r="M5" s="17">
        <v>1</v>
      </c>
      <c r="N5" s="17"/>
      <c r="O5" s="17"/>
    </row>
    <row r="6" spans="1:15" x14ac:dyDescent="0.3">
      <c r="A6" s="15" t="s">
        <v>86</v>
      </c>
      <c r="B6" s="17">
        <v>0</v>
      </c>
      <c r="C6" s="17">
        <v>0</v>
      </c>
      <c r="D6" s="17">
        <v>0</v>
      </c>
      <c r="E6" s="17">
        <v>0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0</v>
      </c>
      <c r="L6" s="17">
        <v>1</v>
      </c>
      <c r="M6" s="17">
        <v>1</v>
      </c>
      <c r="N6" s="17"/>
      <c r="O6" s="17"/>
    </row>
    <row r="7" spans="1:15" x14ac:dyDescent="0.3">
      <c r="A7" s="15" t="s">
        <v>87</v>
      </c>
      <c r="B7" s="17">
        <v>0</v>
      </c>
      <c r="C7" s="17">
        <v>0</v>
      </c>
      <c r="D7" s="17">
        <v>0</v>
      </c>
      <c r="E7" s="17">
        <v>0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>
        <v>0</v>
      </c>
      <c r="L7" s="17">
        <v>1</v>
      </c>
      <c r="M7" s="17">
        <v>1</v>
      </c>
      <c r="N7" s="17"/>
      <c r="O7" s="17"/>
    </row>
    <row r="8" spans="1:15" x14ac:dyDescent="0.3">
      <c r="A8" s="15" t="s">
        <v>88</v>
      </c>
      <c r="B8" s="17">
        <v>0</v>
      </c>
      <c r="C8" s="17">
        <v>0</v>
      </c>
      <c r="D8" s="17">
        <v>0</v>
      </c>
      <c r="E8" s="17">
        <v>0</v>
      </c>
      <c r="F8" s="17">
        <v>1</v>
      </c>
      <c r="G8" s="17">
        <v>0</v>
      </c>
      <c r="H8" s="17">
        <v>1</v>
      </c>
      <c r="I8" s="17">
        <v>1</v>
      </c>
      <c r="J8" s="17">
        <v>1</v>
      </c>
      <c r="K8" s="17">
        <v>0</v>
      </c>
      <c r="L8" s="17">
        <v>1</v>
      </c>
      <c r="M8" s="17">
        <v>1</v>
      </c>
      <c r="N8" s="17"/>
      <c r="O8" s="17"/>
    </row>
    <row r="9" spans="1:15" x14ac:dyDescent="0.3">
      <c r="A9" s="15" t="s">
        <v>89</v>
      </c>
      <c r="B9" s="17">
        <v>0</v>
      </c>
      <c r="C9" s="17">
        <v>0</v>
      </c>
      <c r="D9" s="17">
        <v>0</v>
      </c>
      <c r="E9" s="17">
        <v>0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0</v>
      </c>
      <c r="L9" s="17">
        <v>1</v>
      </c>
      <c r="M9" s="17">
        <v>1</v>
      </c>
      <c r="N9" s="17"/>
      <c r="O9" s="17"/>
    </row>
    <row r="10" spans="1:15" x14ac:dyDescent="0.3">
      <c r="A10" s="15" t="s">
        <v>90</v>
      </c>
      <c r="B10" s="17">
        <v>0</v>
      </c>
      <c r="C10" s="17">
        <v>0</v>
      </c>
      <c r="D10" s="17">
        <v>0</v>
      </c>
      <c r="E10" s="17">
        <v>0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0</v>
      </c>
      <c r="L10" s="17">
        <v>1</v>
      </c>
      <c r="M10" s="17">
        <v>1</v>
      </c>
      <c r="N10" s="17"/>
      <c r="O10" s="17"/>
    </row>
    <row r="11" spans="1:15" x14ac:dyDescent="0.3">
      <c r="A11" s="15" t="s">
        <v>91</v>
      </c>
      <c r="B11" s="17">
        <v>0</v>
      </c>
      <c r="C11" s="17">
        <v>0</v>
      </c>
      <c r="D11" s="17">
        <v>0</v>
      </c>
      <c r="E11" s="17">
        <v>0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0</v>
      </c>
      <c r="L11" s="17">
        <v>1</v>
      </c>
      <c r="M11" s="17">
        <v>1</v>
      </c>
      <c r="N11" s="17"/>
      <c r="O11" s="17"/>
    </row>
    <row r="12" spans="1:15" x14ac:dyDescent="0.3">
      <c r="A12" s="15" t="s">
        <v>92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0</v>
      </c>
      <c r="L12" s="17">
        <v>1</v>
      </c>
      <c r="M12" s="17">
        <v>0</v>
      </c>
      <c r="N12" s="17"/>
      <c r="O12" s="17"/>
    </row>
    <row r="13" spans="1:15" x14ac:dyDescent="0.3">
      <c r="A13" s="15" t="s">
        <v>93</v>
      </c>
      <c r="B13" s="17">
        <v>0</v>
      </c>
      <c r="C13" s="17">
        <v>0</v>
      </c>
      <c r="D13" s="17">
        <v>0</v>
      </c>
      <c r="E13" s="17">
        <v>0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0</v>
      </c>
      <c r="L13" s="17">
        <v>1</v>
      </c>
      <c r="M13" s="17">
        <v>1</v>
      </c>
      <c r="N13" s="17"/>
      <c r="O13" s="17"/>
    </row>
    <row r="14" spans="1:15" x14ac:dyDescent="0.3">
      <c r="A14" s="15" t="s">
        <v>94</v>
      </c>
      <c r="B14" s="17">
        <v>0</v>
      </c>
      <c r="C14" s="17">
        <v>0</v>
      </c>
      <c r="D14" s="17">
        <v>0</v>
      </c>
      <c r="E14" s="17">
        <v>0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0</v>
      </c>
      <c r="L14" s="17">
        <v>0</v>
      </c>
      <c r="M14" s="17">
        <v>1</v>
      </c>
      <c r="N14" s="17"/>
      <c r="O14" s="17"/>
    </row>
    <row r="15" spans="1:15" x14ac:dyDescent="0.3">
      <c r="A15" s="15" t="s">
        <v>95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0</v>
      </c>
      <c r="L15" s="17">
        <v>1</v>
      </c>
      <c r="M15" s="17">
        <v>1</v>
      </c>
      <c r="N15" s="17"/>
      <c r="O15" s="17"/>
    </row>
    <row r="16" spans="1:15" x14ac:dyDescent="0.3">
      <c r="A16" s="15" t="s">
        <v>96</v>
      </c>
      <c r="B16" s="17">
        <v>0</v>
      </c>
      <c r="C16" s="17">
        <v>0</v>
      </c>
      <c r="D16" s="17">
        <v>0</v>
      </c>
      <c r="E16" s="17">
        <v>0</v>
      </c>
      <c r="F16" s="17">
        <v>1</v>
      </c>
      <c r="G16" s="17">
        <v>0</v>
      </c>
      <c r="H16" s="17">
        <v>1</v>
      </c>
      <c r="I16" s="17">
        <v>1</v>
      </c>
      <c r="J16" s="17">
        <v>1</v>
      </c>
      <c r="K16" s="17">
        <v>0</v>
      </c>
      <c r="L16" s="17">
        <v>0</v>
      </c>
      <c r="M16" s="17">
        <v>1</v>
      </c>
      <c r="N16" s="17"/>
      <c r="O16" s="17"/>
    </row>
    <row r="17" spans="1:15" x14ac:dyDescent="0.3">
      <c r="A17" s="15" t="s">
        <v>97</v>
      </c>
      <c r="B17" s="17">
        <v>0</v>
      </c>
      <c r="C17" s="17">
        <v>0</v>
      </c>
      <c r="D17" s="17">
        <v>0</v>
      </c>
      <c r="E17" s="17">
        <v>0</v>
      </c>
      <c r="F17" s="17">
        <v>1</v>
      </c>
      <c r="G17" s="17">
        <v>1</v>
      </c>
      <c r="H17" s="17">
        <v>0</v>
      </c>
      <c r="I17" s="17">
        <v>1</v>
      </c>
      <c r="J17" s="17">
        <v>1</v>
      </c>
      <c r="K17" s="17">
        <v>0</v>
      </c>
      <c r="L17" s="17">
        <v>0</v>
      </c>
      <c r="M17" s="17">
        <v>1</v>
      </c>
      <c r="N17" s="17"/>
      <c r="O17" s="17"/>
    </row>
    <row r="18" spans="1:15" x14ac:dyDescent="0.3">
      <c r="A18" s="15" t="s">
        <v>98</v>
      </c>
      <c r="B18" s="17">
        <v>0</v>
      </c>
      <c r="C18" s="17">
        <v>0</v>
      </c>
      <c r="D18" s="17">
        <v>0</v>
      </c>
      <c r="E18" s="17">
        <v>0</v>
      </c>
      <c r="F18" s="17">
        <v>1</v>
      </c>
      <c r="G18" s="17">
        <v>1</v>
      </c>
      <c r="H18" s="17">
        <v>1</v>
      </c>
      <c r="I18" s="17">
        <v>0</v>
      </c>
      <c r="J18" s="17">
        <v>1</v>
      </c>
      <c r="K18" s="17">
        <v>0</v>
      </c>
      <c r="L18" s="17">
        <v>1</v>
      </c>
      <c r="M18" s="17">
        <v>1</v>
      </c>
      <c r="N18" s="17"/>
      <c r="O18" s="17"/>
    </row>
    <row r="19" spans="1:15" x14ac:dyDescent="0.3">
      <c r="A19" s="15" t="s">
        <v>99</v>
      </c>
      <c r="B19" s="17">
        <v>0</v>
      </c>
      <c r="C19" s="17">
        <v>0</v>
      </c>
      <c r="D19" s="17">
        <v>0</v>
      </c>
      <c r="E19" s="17">
        <v>0</v>
      </c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>
        <v>0</v>
      </c>
      <c r="L19" s="17">
        <v>1</v>
      </c>
      <c r="M19" s="17">
        <v>1</v>
      </c>
      <c r="N19" s="17"/>
      <c r="O19" s="17"/>
    </row>
    <row r="20" spans="1:15" x14ac:dyDescent="0.3">
      <c r="A20" s="15" t="s">
        <v>100</v>
      </c>
      <c r="B20" s="17">
        <v>0</v>
      </c>
      <c r="C20" s="17">
        <v>0</v>
      </c>
      <c r="D20" s="17">
        <v>0</v>
      </c>
      <c r="E20" s="17">
        <v>0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0</v>
      </c>
      <c r="L20" s="17">
        <v>1</v>
      </c>
      <c r="M20" s="17">
        <v>1</v>
      </c>
      <c r="N20" s="17"/>
      <c r="O20" s="17"/>
    </row>
    <row r="21" spans="1:15" x14ac:dyDescent="0.3">
      <c r="A21" s="15" t="s">
        <v>101</v>
      </c>
      <c r="B21" s="17">
        <v>0</v>
      </c>
      <c r="C21" s="17">
        <v>0</v>
      </c>
      <c r="D21" s="17">
        <v>0</v>
      </c>
      <c r="E21" s="17">
        <v>0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0</v>
      </c>
      <c r="L21" s="17">
        <v>1</v>
      </c>
      <c r="M21" s="17">
        <v>1</v>
      </c>
      <c r="N21" s="17"/>
      <c r="O21" s="17"/>
    </row>
    <row r="22" spans="1:15" x14ac:dyDescent="0.3">
      <c r="A22" s="15" t="s">
        <v>102</v>
      </c>
      <c r="B22" s="17">
        <v>0</v>
      </c>
      <c r="C22" s="17">
        <v>0</v>
      </c>
      <c r="D22" s="17">
        <v>0</v>
      </c>
      <c r="E22" s="17">
        <v>0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0</v>
      </c>
      <c r="L22" s="17">
        <v>0</v>
      </c>
      <c r="M22" s="17">
        <v>0</v>
      </c>
      <c r="N22" s="17"/>
      <c r="O22" s="17"/>
    </row>
    <row r="23" spans="1:15" x14ac:dyDescent="0.3">
      <c r="A23" s="15" t="s">
        <v>103</v>
      </c>
      <c r="B23" s="17">
        <v>0</v>
      </c>
      <c r="C23" s="17">
        <v>0</v>
      </c>
      <c r="D23" s="17">
        <v>0</v>
      </c>
      <c r="E23" s="17">
        <v>0</v>
      </c>
      <c r="F23" s="17">
        <v>1</v>
      </c>
      <c r="G23" s="17">
        <v>0</v>
      </c>
      <c r="H23" s="17">
        <v>1</v>
      </c>
      <c r="I23" s="17">
        <v>1</v>
      </c>
      <c r="J23" s="17">
        <v>1</v>
      </c>
      <c r="K23" s="17">
        <v>0</v>
      </c>
      <c r="L23" s="17">
        <v>0</v>
      </c>
      <c r="M23" s="17">
        <v>1</v>
      </c>
      <c r="N23" s="17"/>
      <c r="O23" s="17"/>
    </row>
    <row r="24" spans="1:15" x14ac:dyDescent="0.3">
      <c r="A24" s="15" t="s">
        <v>104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0</v>
      </c>
      <c r="H24" s="17">
        <v>1</v>
      </c>
      <c r="I24" s="17">
        <v>1</v>
      </c>
      <c r="J24" s="17">
        <v>1</v>
      </c>
      <c r="K24" s="17">
        <v>0</v>
      </c>
      <c r="L24" s="17">
        <v>0</v>
      </c>
      <c r="M24" s="17">
        <v>1</v>
      </c>
      <c r="N24" s="17"/>
      <c r="O24" s="17"/>
    </row>
    <row r="25" spans="1:15" x14ac:dyDescent="0.3">
      <c r="A25" s="6" t="s">
        <v>105</v>
      </c>
      <c r="B25" s="18">
        <v>0</v>
      </c>
      <c r="C25" s="18">
        <v>0</v>
      </c>
      <c r="D25" s="18">
        <v>0</v>
      </c>
      <c r="E25" s="18">
        <v>0</v>
      </c>
      <c r="F25" s="18">
        <v>1</v>
      </c>
      <c r="G25" s="18">
        <v>0</v>
      </c>
      <c r="H25" s="18">
        <v>1</v>
      </c>
      <c r="I25" s="18">
        <v>0</v>
      </c>
      <c r="J25" s="18">
        <v>1</v>
      </c>
      <c r="K25" s="18">
        <v>0</v>
      </c>
      <c r="L25" s="18">
        <v>1</v>
      </c>
      <c r="M25" s="18">
        <v>0</v>
      </c>
      <c r="N25" s="18"/>
      <c r="O25" s="18"/>
    </row>
  </sheetData>
  <mergeCells count="1">
    <mergeCell ref="A1:O1"/>
  </mergeCells>
  <conditionalFormatting sqref="B3:O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workbookViewId="0">
      <selection activeCell="Q9" sqref="Q9"/>
    </sheetView>
  </sheetViews>
  <sheetFormatPr defaultRowHeight="14.4" x14ac:dyDescent="0.3"/>
  <cols>
    <col min="1" max="1" width="8" style="8" bestFit="1" customWidth="1"/>
    <col min="2" max="2" width="18.6640625" style="8" bestFit="1" customWidth="1"/>
    <col min="3" max="3" width="15.44140625" style="8" bestFit="1" customWidth="1"/>
    <col min="4" max="4" width="14.33203125" style="8" bestFit="1" customWidth="1"/>
    <col min="5" max="5" width="13.44140625" style="8" bestFit="1" customWidth="1"/>
    <col min="6" max="6" width="16" style="8" bestFit="1" customWidth="1"/>
    <col min="7" max="7" width="12.5546875" style="8" bestFit="1" customWidth="1"/>
    <col min="8" max="8" width="11.44140625" style="8" bestFit="1" customWidth="1"/>
    <col min="9" max="9" width="11.5546875" style="8" bestFit="1" customWidth="1"/>
    <col min="10" max="10" width="15.33203125" style="8" bestFit="1" customWidth="1"/>
    <col min="11" max="11" width="14.88671875" style="8" bestFit="1" customWidth="1"/>
    <col min="12" max="13" width="4" style="8" bestFit="1" customWidth="1"/>
    <col min="14" max="16384" width="8.88671875" style="8"/>
  </cols>
  <sheetData>
    <row r="1" spans="1:15" ht="15" thickBot="1" x14ac:dyDescent="0.35">
      <c r="A1" s="28" t="s">
        <v>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">
      <c r="A2" s="6" t="s">
        <v>82</v>
      </c>
      <c r="B2" s="6" t="s">
        <v>114</v>
      </c>
      <c r="C2" s="6" t="s">
        <v>115</v>
      </c>
      <c r="D2" s="6" t="s">
        <v>116</v>
      </c>
      <c r="E2" s="6" t="s">
        <v>117</v>
      </c>
      <c r="F2" s="6" t="s">
        <v>106</v>
      </c>
      <c r="G2" s="6" t="s">
        <v>69</v>
      </c>
      <c r="H2" s="6" t="s">
        <v>70</v>
      </c>
      <c r="I2" s="6" t="s">
        <v>71</v>
      </c>
      <c r="J2" s="6" t="s">
        <v>56</v>
      </c>
      <c r="K2" s="6" t="s">
        <v>51</v>
      </c>
      <c r="L2" s="6"/>
      <c r="M2" s="6"/>
      <c r="N2" s="6"/>
      <c r="O2" s="6"/>
    </row>
    <row r="3" spans="1:15" x14ac:dyDescent="0.3">
      <c r="A3" s="8" t="s">
        <v>83</v>
      </c>
      <c r="B3" s="8">
        <v>5</v>
      </c>
      <c r="C3" s="8">
        <v>6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465</v>
      </c>
      <c r="M3" s="8">
        <v>0</v>
      </c>
    </row>
    <row r="4" spans="1:15" x14ac:dyDescent="0.3">
      <c r="A4" s="8" t="s">
        <v>84</v>
      </c>
      <c r="B4" s="8">
        <v>6</v>
      </c>
      <c r="C4" s="8">
        <v>6</v>
      </c>
      <c r="D4" s="8">
        <v>0</v>
      </c>
      <c r="E4" s="8">
        <v>0</v>
      </c>
      <c r="F4" s="8">
        <v>0</v>
      </c>
      <c r="G4" s="8">
        <v>0</v>
      </c>
      <c r="H4" s="8">
        <v>253</v>
      </c>
      <c r="I4" s="8">
        <v>0</v>
      </c>
      <c r="J4" s="8">
        <v>0</v>
      </c>
      <c r="K4" s="8">
        <v>0</v>
      </c>
      <c r="L4" s="8">
        <v>465</v>
      </c>
      <c r="M4" s="8">
        <v>0</v>
      </c>
    </row>
    <row r="5" spans="1:15" x14ac:dyDescent="0.3">
      <c r="A5" s="8" t="s">
        <v>85</v>
      </c>
      <c r="B5" s="8">
        <v>6</v>
      </c>
      <c r="C5" s="8">
        <v>6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465</v>
      </c>
      <c r="M5" s="8">
        <v>0</v>
      </c>
    </row>
    <row r="6" spans="1:15" x14ac:dyDescent="0.3">
      <c r="A6" s="8" t="s">
        <v>86</v>
      </c>
      <c r="B6" s="8">
        <v>6</v>
      </c>
      <c r="C6" s="8">
        <v>6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465</v>
      </c>
      <c r="M6" s="8">
        <v>0</v>
      </c>
    </row>
    <row r="7" spans="1:15" x14ac:dyDescent="0.3">
      <c r="A7" s="8" t="s">
        <v>87</v>
      </c>
      <c r="B7" s="8">
        <v>6</v>
      </c>
      <c r="C7" s="8">
        <v>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465</v>
      </c>
      <c r="M7" s="8">
        <v>0</v>
      </c>
    </row>
    <row r="8" spans="1:15" x14ac:dyDescent="0.3">
      <c r="A8" s="8" t="s">
        <v>88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189</v>
      </c>
      <c r="H8" s="8">
        <v>30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5" x14ac:dyDescent="0.3">
      <c r="A9" s="8" t="s">
        <v>89</v>
      </c>
      <c r="B9" s="8">
        <v>6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464</v>
      </c>
      <c r="K9" s="8">
        <v>0</v>
      </c>
      <c r="L9" s="8">
        <v>465</v>
      </c>
      <c r="M9" s="8">
        <v>106</v>
      </c>
    </row>
    <row r="10" spans="1:15" x14ac:dyDescent="0.3">
      <c r="A10" s="8" t="s">
        <v>90</v>
      </c>
      <c r="B10" s="8">
        <v>3</v>
      </c>
      <c r="C10" s="8">
        <v>6</v>
      </c>
      <c r="D10" s="8">
        <v>6</v>
      </c>
      <c r="E10" s="8">
        <v>6</v>
      </c>
      <c r="F10" s="8">
        <v>465</v>
      </c>
      <c r="G10" s="8">
        <v>465</v>
      </c>
      <c r="H10" s="8">
        <v>465</v>
      </c>
      <c r="I10" s="8">
        <v>465</v>
      </c>
      <c r="J10" s="8">
        <v>0</v>
      </c>
      <c r="K10" s="8">
        <v>0</v>
      </c>
      <c r="L10" s="8">
        <v>0</v>
      </c>
      <c r="M10" s="8">
        <v>465</v>
      </c>
    </row>
    <row r="11" spans="1:15" x14ac:dyDescent="0.3">
      <c r="A11" s="8" t="s">
        <v>91</v>
      </c>
      <c r="B11" s="8">
        <v>5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465</v>
      </c>
      <c r="M11" s="8">
        <v>465</v>
      </c>
    </row>
    <row r="12" spans="1:15" x14ac:dyDescent="0.3">
      <c r="A12" s="8" t="s">
        <v>92</v>
      </c>
      <c r="B12" s="8">
        <v>6</v>
      </c>
      <c r="C12" s="8">
        <v>6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0</v>
      </c>
      <c r="L12" s="8">
        <v>465</v>
      </c>
      <c r="M12" s="8">
        <v>195</v>
      </c>
    </row>
    <row r="13" spans="1:15" x14ac:dyDescent="0.3">
      <c r="A13" s="8" t="s">
        <v>93</v>
      </c>
      <c r="B13" s="8">
        <v>3</v>
      </c>
      <c r="C13" s="8">
        <v>6</v>
      </c>
      <c r="D13" s="8">
        <v>4</v>
      </c>
      <c r="E13" s="8">
        <v>3</v>
      </c>
      <c r="F13" s="8">
        <v>0</v>
      </c>
      <c r="G13" s="8">
        <v>464</v>
      </c>
      <c r="H13" s="8">
        <v>464</v>
      </c>
      <c r="I13" s="8">
        <v>396</v>
      </c>
      <c r="J13" s="8">
        <v>0</v>
      </c>
      <c r="K13" s="8">
        <v>0</v>
      </c>
      <c r="L13" s="8">
        <v>465</v>
      </c>
      <c r="M13" s="8">
        <v>0</v>
      </c>
    </row>
    <row r="14" spans="1:15" x14ac:dyDescent="0.3">
      <c r="A14" s="8" t="s">
        <v>94</v>
      </c>
      <c r="B14" s="8">
        <v>5</v>
      </c>
      <c r="C14" s="8">
        <v>0</v>
      </c>
      <c r="D14" s="8">
        <v>0</v>
      </c>
      <c r="E14" s="8">
        <v>0</v>
      </c>
      <c r="F14" s="8">
        <v>0</v>
      </c>
      <c r="G14" s="8">
        <v>26</v>
      </c>
      <c r="H14" s="8">
        <v>0</v>
      </c>
      <c r="I14" s="8">
        <v>0</v>
      </c>
      <c r="J14" s="8">
        <v>0</v>
      </c>
      <c r="K14" s="8">
        <v>0</v>
      </c>
      <c r="L14" s="8">
        <v>174</v>
      </c>
      <c r="M14" s="8">
        <v>0</v>
      </c>
    </row>
    <row r="15" spans="1:15" x14ac:dyDescent="0.3">
      <c r="A15" s="8" t="s">
        <v>95</v>
      </c>
      <c r="B15" s="8">
        <v>5</v>
      </c>
      <c r="C15" s="8">
        <v>0</v>
      </c>
      <c r="D15" s="8">
        <v>0</v>
      </c>
      <c r="E15" s="8">
        <v>0</v>
      </c>
      <c r="F15" s="8">
        <v>0</v>
      </c>
      <c r="G15" s="8">
        <v>399</v>
      </c>
      <c r="H15" s="8">
        <v>0</v>
      </c>
      <c r="I15" s="8">
        <v>0</v>
      </c>
      <c r="J15" s="8">
        <v>0</v>
      </c>
      <c r="K15" s="8">
        <v>0</v>
      </c>
      <c r="L15" s="8">
        <v>451</v>
      </c>
      <c r="M15" s="8">
        <v>0</v>
      </c>
    </row>
    <row r="16" spans="1:15" x14ac:dyDescent="0.3">
      <c r="A16" s="8" t="s">
        <v>96</v>
      </c>
      <c r="B16" s="8">
        <v>6</v>
      </c>
      <c r="C16" s="8">
        <v>6</v>
      </c>
      <c r="D16" s="8">
        <v>6</v>
      </c>
      <c r="E16" s="8">
        <v>6</v>
      </c>
      <c r="F16" s="8">
        <v>0</v>
      </c>
      <c r="G16" s="8">
        <v>305</v>
      </c>
      <c r="H16" s="8">
        <v>465</v>
      </c>
      <c r="I16" s="8">
        <v>463</v>
      </c>
      <c r="J16" s="8">
        <v>41</v>
      </c>
      <c r="K16" s="8">
        <v>0</v>
      </c>
      <c r="L16" s="8">
        <v>308</v>
      </c>
      <c r="M16" s="8">
        <v>419</v>
      </c>
    </row>
    <row r="17" spans="1:15" x14ac:dyDescent="0.3">
      <c r="A17" s="8" t="s">
        <v>97</v>
      </c>
      <c r="B17" s="8">
        <v>5</v>
      </c>
      <c r="C17" s="8">
        <v>3</v>
      </c>
      <c r="D17" s="8">
        <v>2</v>
      </c>
      <c r="E17" s="8">
        <v>0</v>
      </c>
      <c r="F17" s="8">
        <v>0</v>
      </c>
      <c r="G17" s="8">
        <v>100</v>
      </c>
      <c r="H17" s="8">
        <v>294</v>
      </c>
      <c r="I17" s="8">
        <v>1</v>
      </c>
      <c r="J17" s="8">
        <v>27</v>
      </c>
      <c r="K17" s="8">
        <v>0</v>
      </c>
      <c r="L17" s="8">
        <v>271</v>
      </c>
      <c r="M17" s="8">
        <v>52</v>
      </c>
    </row>
    <row r="18" spans="1:15" x14ac:dyDescent="0.3">
      <c r="A18" s="8" t="s">
        <v>98</v>
      </c>
      <c r="B18" s="8">
        <v>5</v>
      </c>
      <c r="C18" s="8">
        <v>6</v>
      </c>
      <c r="D18" s="8">
        <v>6</v>
      </c>
      <c r="E18" s="8">
        <v>2</v>
      </c>
      <c r="F18" s="8">
        <v>0</v>
      </c>
      <c r="G18" s="8">
        <v>465</v>
      </c>
      <c r="H18" s="8">
        <v>465</v>
      </c>
      <c r="I18" s="8">
        <v>276</v>
      </c>
      <c r="J18" s="8">
        <v>0</v>
      </c>
      <c r="K18" s="8">
        <v>0</v>
      </c>
      <c r="L18" s="8">
        <v>0</v>
      </c>
      <c r="M18" s="8">
        <v>0</v>
      </c>
    </row>
    <row r="19" spans="1:15" x14ac:dyDescent="0.3">
      <c r="A19" s="8" t="s">
        <v>99</v>
      </c>
      <c r="B19" s="8">
        <v>0</v>
      </c>
      <c r="C19" s="8">
        <v>6</v>
      </c>
      <c r="D19" s="8">
        <v>6</v>
      </c>
      <c r="E19" s="8">
        <v>5</v>
      </c>
      <c r="F19" s="8">
        <v>0</v>
      </c>
      <c r="G19" s="8">
        <v>465</v>
      </c>
      <c r="H19" s="8">
        <v>465</v>
      </c>
      <c r="I19" s="8">
        <v>464</v>
      </c>
      <c r="J19" s="8">
        <v>0</v>
      </c>
      <c r="K19" s="8">
        <v>0</v>
      </c>
      <c r="L19" s="8">
        <v>0</v>
      </c>
      <c r="M19" s="8">
        <v>0</v>
      </c>
    </row>
    <row r="20" spans="1:15" x14ac:dyDescent="0.3">
      <c r="A20" s="8" t="s">
        <v>100</v>
      </c>
      <c r="B20" s="8">
        <v>0</v>
      </c>
      <c r="C20" s="8">
        <v>6</v>
      </c>
      <c r="D20" s="8">
        <v>6</v>
      </c>
      <c r="E20" s="8">
        <v>4</v>
      </c>
      <c r="F20" s="8">
        <v>0</v>
      </c>
      <c r="G20" s="8">
        <v>464</v>
      </c>
      <c r="H20" s="8">
        <v>465</v>
      </c>
      <c r="I20" s="8">
        <v>333</v>
      </c>
      <c r="J20" s="8">
        <v>0</v>
      </c>
      <c r="K20" s="8">
        <v>0</v>
      </c>
      <c r="L20" s="8">
        <v>0</v>
      </c>
      <c r="M20" s="8">
        <v>0</v>
      </c>
    </row>
    <row r="21" spans="1:15" x14ac:dyDescent="0.3">
      <c r="A21" s="8" t="s">
        <v>101</v>
      </c>
      <c r="B21" s="8">
        <v>0</v>
      </c>
      <c r="C21" s="8">
        <v>6</v>
      </c>
      <c r="D21" s="8">
        <v>6</v>
      </c>
      <c r="E21" s="8">
        <v>6</v>
      </c>
      <c r="F21" s="8">
        <v>0</v>
      </c>
      <c r="G21" s="8">
        <v>465</v>
      </c>
      <c r="H21" s="8">
        <v>465</v>
      </c>
      <c r="I21" s="8">
        <v>465</v>
      </c>
      <c r="J21" s="8">
        <v>0</v>
      </c>
      <c r="K21" s="8">
        <v>0</v>
      </c>
      <c r="L21" s="8">
        <v>0</v>
      </c>
      <c r="M21" s="8">
        <v>0</v>
      </c>
    </row>
    <row r="22" spans="1:15" x14ac:dyDescent="0.3">
      <c r="A22" s="8" t="s">
        <v>102</v>
      </c>
      <c r="B22" s="8">
        <v>4</v>
      </c>
      <c r="C22" s="8">
        <v>6</v>
      </c>
      <c r="D22" s="8">
        <v>6</v>
      </c>
      <c r="E22" s="8">
        <v>6</v>
      </c>
      <c r="F22" s="8">
        <v>130</v>
      </c>
      <c r="G22" s="8">
        <v>465</v>
      </c>
      <c r="H22" s="8">
        <v>465</v>
      </c>
      <c r="I22" s="8">
        <v>465</v>
      </c>
      <c r="J22" s="8">
        <v>111</v>
      </c>
      <c r="K22" s="8">
        <v>0</v>
      </c>
      <c r="L22" s="8">
        <v>203</v>
      </c>
      <c r="M22" s="8">
        <v>189</v>
      </c>
    </row>
    <row r="23" spans="1:15" x14ac:dyDescent="0.3">
      <c r="A23" s="8" t="s">
        <v>103</v>
      </c>
      <c r="B23" s="8">
        <v>0</v>
      </c>
      <c r="C23" s="8">
        <v>3</v>
      </c>
      <c r="D23" s="8">
        <v>6</v>
      </c>
      <c r="E23" s="8">
        <v>3</v>
      </c>
      <c r="F23" s="8">
        <v>0</v>
      </c>
      <c r="G23" s="8">
        <v>239</v>
      </c>
      <c r="H23" s="8">
        <v>423</v>
      </c>
      <c r="I23" s="8">
        <v>118</v>
      </c>
      <c r="J23" s="8">
        <v>0</v>
      </c>
      <c r="K23" s="8">
        <v>0</v>
      </c>
      <c r="L23" s="8">
        <v>212</v>
      </c>
      <c r="M23" s="8">
        <v>37</v>
      </c>
    </row>
    <row r="24" spans="1:15" x14ac:dyDescent="0.3">
      <c r="A24" s="8" t="s">
        <v>104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8">
        <v>245</v>
      </c>
      <c r="H24" s="8">
        <v>465</v>
      </c>
      <c r="I24" s="8">
        <v>132</v>
      </c>
      <c r="J24" s="8">
        <v>0</v>
      </c>
      <c r="K24" s="8">
        <v>0</v>
      </c>
      <c r="L24" s="8">
        <v>275</v>
      </c>
      <c r="M24" s="8">
        <v>83</v>
      </c>
    </row>
    <row r="25" spans="1:15" x14ac:dyDescent="0.3">
      <c r="A25" s="6" t="s">
        <v>105</v>
      </c>
      <c r="B25" s="6">
        <v>2</v>
      </c>
      <c r="C25" s="6">
        <v>2</v>
      </c>
      <c r="D25" s="6">
        <v>2</v>
      </c>
      <c r="E25" s="6">
        <v>0</v>
      </c>
      <c r="F25" s="6">
        <v>0</v>
      </c>
      <c r="G25" s="6">
        <v>200</v>
      </c>
      <c r="H25" s="6">
        <v>460</v>
      </c>
      <c r="I25" s="6">
        <v>212</v>
      </c>
      <c r="J25" s="6">
        <v>0</v>
      </c>
      <c r="K25" s="6">
        <v>0</v>
      </c>
      <c r="L25" s="6">
        <v>360</v>
      </c>
      <c r="M25" s="6">
        <v>153</v>
      </c>
      <c r="N25" s="6"/>
      <c r="O25" s="6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4" x14ac:dyDescent="0.3"/>
  <cols>
    <col min="1" max="1" width="46.109375" customWidth="1"/>
  </cols>
  <sheetData>
    <row r="1" spans="1:1" x14ac:dyDescent="0.3">
      <c r="A1" t="s">
        <v>107</v>
      </c>
    </row>
    <row r="2" spans="1:1" x14ac:dyDescent="0.3">
      <c r="A2" t="s">
        <v>108</v>
      </c>
    </row>
    <row r="3" spans="1:1" x14ac:dyDescent="0.3">
      <c r="A3" t="s">
        <v>109</v>
      </c>
    </row>
    <row r="4" spans="1:1" x14ac:dyDescent="0.3">
      <c r="A4" t="s">
        <v>110</v>
      </c>
    </row>
    <row r="5" spans="1:1" x14ac:dyDescent="0.3">
      <c r="A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2025-09-22T13:12:40Z</dcterms:modified>
</cp:coreProperties>
</file>