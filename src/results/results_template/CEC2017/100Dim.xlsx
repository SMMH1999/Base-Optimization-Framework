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\results_template\CEC2017\"/>
    </mc:Choice>
  </mc:AlternateContent>
  <xr:revisionPtr revIDLastSave="0" documentId="13_ncr:1_{51E90A65-63FD-43E0-AB88-C17B558408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AJ90" i="2" l="1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AJ3" i="2"/>
  <c r="R95" i="2" s="1"/>
  <c r="R96" i="2" s="1"/>
  <c r="AI3" i="2"/>
  <c r="Q95" i="2" s="1"/>
  <c r="Q96" i="2" s="1"/>
  <c r="AH3" i="2"/>
  <c r="P95" i="2" s="1"/>
  <c r="P96" i="2" s="1"/>
  <c r="AG3" i="2"/>
  <c r="AF3" i="2"/>
  <c r="AE3" i="2"/>
  <c r="AD3" i="2"/>
  <c r="AC3" i="2"/>
  <c r="AB3" i="2"/>
  <c r="AA3" i="2"/>
  <c r="Z3" i="2"/>
  <c r="H95" i="2" s="1"/>
  <c r="Y3" i="2"/>
  <c r="X3" i="2"/>
  <c r="W3" i="2"/>
  <c r="V3" i="2"/>
  <c r="I95" i="2" l="1"/>
  <c r="K95" i="2"/>
  <c r="H93" i="2"/>
  <c r="L93" i="2"/>
  <c r="I93" i="2"/>
  <c r="Q93" i="2"/>
  <c r="J95" i="2"/>
  <c r="R93" i="2"/>
  <c r="D95" i="2"/>
  <c r="E93" i="2"/>
  <c r="F93" i="2"/>
  <c r="N93" i="2"/>
  <c r="P93" i="2"/>
  <c r="M93" i="2"/>
  <c r="G93" i="2"/>
  <c r="O93" i="2"/>
  <c r="L95" i="2"/>
  <c r="K93" i="2"/>
  <c r="M95" i="2"/>
  <c r="D93" i="2"/>
  <c r="F95" i="2"/>
  <c r="N95" i="2"/>
  <c r="N96" i="2" s="1"/>
  <c r="J93" i="2"/>
  <c r="E95" i="2"/>
  <c r="I96" i="2" s="1"/>
  <c r="G95" i="2"/>
  <c r="O95" i="2"/>
  <c r="O96" i="2" s="1"/>
  <c r="J94" i="2" l="1"/>
  <c r="F96" i="2"/>
  <c r="L94" i="2"/>
  <c r="G94" i="2"/>
  <c r="K96" i="2"/>
  <c r="Q94" i="2"/>
  <c r="M96" i="2"/>
  <c r="F94" i="2"/>
  <c r="D94" i="2"/>
  <c r="D96" i="2"/>
  <c r="J96" i="2"/>
  <c r="E94" i="2"/>
  <c r="H96" i="2"/>
  <c r="N94" i="2"/>
  <c r="I94" i="2"/>
  <c r="G96" i="2"/>
  <c r="L96" i="2"/>
  <c r="P94" i="2"/>
  <c r="M94" i="2"/>
  <c r="K94" i="2"/>
  <c r="E96" i="2"/>
  <c r="O94" i="2"/>
  <c r="R94" i="2"/>
  <c r="H94" i="2"/>
</calcChain>
</file>

<file path=xl/sharedStrings.xml><?xml version="1.0" encoding="utf-8"?>
<sst xmlns="http://schemas.openxmlformats.org/spreadsheetml/2006/main" count="558" uniqueCount="358">
  <si>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</si>
  <si>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</si>
  <si>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</si>
  <si>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</si>
  <si>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</si>
  <si>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</si>
  <si>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</si>
  <si>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</si>
  <si>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</si>
  <si>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</si>
  <si>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</si>
  <si>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</si>
  <si>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</si>
  <si>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</si>
  <si>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</si>
  <si>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</si>
  <si>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</si>
  <si>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</si>
  <si>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</si>
  <si>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</si>
  <si>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</si>
  <si>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</si>
  <si>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</si>
  <si>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</si>
  <si>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</si>
  <si>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</si>
  <si>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</si>
  <si>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</si>
  <si>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</si>
  <si>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</si>
  <si>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</si>
  <si>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</si>
  <si>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Unimodal
Functions</t>
  </si>
  <si>
    <t>Simple
Multimodal
Functions</t>
  </si>
  <si>
    <t>Composition
Functions</t>
  </si>
  <si>
    <t>Functions</t>
  </si>
  <si>
    <t>Column1</t>
  </si>
  <si>
    <t>Column2</t>
  </si>
  <si>
    <t>Hybrid
Function</t>
  </si>
  <si>
    <t>Comparison of optimization results for the CEC benchmark functions 2017 (100 Dim)</t>
  </si>
  <si>
    <t>Total number of 
best answers</t>
  </si>
  <si>
    <t>Rank by total number of 
best answers</t>
  </si>
  <si>
    <t>Average rating in the set</t>
  </si>
  <si>
    <t>Rank based on 
the average in the set</t>
  </si>
  <si>
    <t>P-value of the Wilcoxon analysis for the CEC benchmark functions 2017 (100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</si>
  <si>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</si>
  <si>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</si>
  <si>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</si>
  <si>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</si>
  <si>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</si>
  <si>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</si>
  <si>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</si>
  <si>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</si>
  <si>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</si>
  <si>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</si>
  <si>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</si>
  <si>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</si>
  <si>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</si>
  <si>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</si>
  <si>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</si>
  <si>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2017 (100 Dim)</t>
  </si>
  <si>
    <t>H-value of the T-test analysis for the CEC benchmark functions 2017 (100 Dim)</t>
  </si>
  <si>
    <t>H-value of the Wilcoxon analysis for the CEC benchmark functions 2017 (100 Dim)</t>
  </si>
  <si>
    <t>State of the Wilcoxon analysis for the CEC benchmark functions 2017 (100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</si>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</sst>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/>
    <xf numFmtId="0" fontId="0" fillId="0" borderId="3" xfId="0" applyBorder="1"/>
    <xf numFmtId="2" fontId="0" fillId="0" borderId="5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/>
    <xf numFmtId="1" fontId="0" fillId="0" borderId="3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39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92" totalsRowShown="0" headerRowDxfId="38" dataDxfId="37" tableBorderDxfId="36">
  <autoFilter ref="S2:T92" xr:uid="{00000000-0009-0000-0100-000001000000}"/>
  <tableColumns count="2">
    <tableColumn id="1" xr3:uid="{00000000-0010-0000-0000-000001000000}" name="Column1" dataDxfId="35"/>
    <tableColumn id="2" xr3:uid="{00000000-0010-0000-0000-000002000000}" name="Column2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"/>
  <sheetViews>
    <sheetView tabSelected="1" zoomScaleNormal="100" workbookViewId="0">
      <selection activeCell="J20" sqref="J20"/>
    </sheetView>
  </sheetViews>
  <sheetFormatPr defaultColWidth="8.85546875" defaultRowHeight="15" x14ac:dyDescent="0.25"/>
  <cols>
    <col min="1" max="1" width="11.28515625" style="6" bestFit="1" customWidth="1"/>
    <col min="2" max="2" width="4" style="6" bestFit="1" customWidth="1"/>
    <col min="3" max="3" width="6" style="6" bestFit="1" customWidth="1"/>
    <col min="4" max="12" width="11.28515625" style="6" bestFit="1" customWidth="1"/>
    <col min="13" max="18" width="12.28515625" style="6" bestFit="1" customWidth="1"/>
    <col min="19" max="20" width="11.140625" style="6" bestFit="1" customWidth="1"/>
    <col min="21" max="21" width="8.85546875" style="6"/>
    <col min="22" max="30" width="11.28515625" bestFit="1" customWidth="1"/>
    <col min="31" max="32" width="12.28515625" bestFit="1" customWidth="1"/>
    <col min="33" max="36" width="12.28515625" style="6" bestFit="1" customWidth="1"/>
    <col min="37" max="16384" width="8.85546875" style="6"/>
  </cols>
  <sheetData>
    <row r="1" spans="1:36" ht="15.75" thickBot="1" x14ac:dyDescent="0.3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36" x14ac:dyDescent="0.25">
      <c r="A2" s="14" t="s">
        <v>35</v>
      </c>
      <c r="B2" s="14"/>
      <c r="C2" s="14"/>
      <c r="D2" s="14" t="s">
        <v>45</v>
      </c>
      <c r="E2" s="14" t="s">
        <v>46</v>
      </c>
      <c r="F2" s="14" t="s">
        <v>47</v>
      </c>
      <c r="G2" s="14" t="s">
        <v>48</v>
      </c>
      <c r="H2" s="14" t="s">
        <v>49</v>
      </c>
      <c r="I2" s="14" t="s">
        <v>50</v>
      </c>
      <c r="J2" s="14" t="s">
        <v>51</v>
      </c>
      <c r="K2" s="14" t="s">
        <v>52</v>
      </c>
      <c r="L2" s="14" t="s">
        <v>53</v>
      </c>
      <c r="M2" s="14" t="s">
        <v>54</v>
      </c>
      <c r="N2" s="14" t="s">
        <v>55</v>
      </c>
      <c r="O2" s="14" t="s">
        <v>56</v>
      </c>
      <c r="P2" s="14" t="s">
        <v>57</v>
      </c>
      <c r="Q2" s="14" t="s">
        <v>58</v>
      </c>
      <c r="R2" s="14" t="s">
        <v>59</v>
      </c>
      <c r="S2" s="3" t="s">
        <v>36</v>
      </c>
      <c r="T2" s="3" t="s">
        <v>37</v>
      </c>
      <c r="V2" s="14" t="str">
        <f>D2</f>
        <v>Algorithm 1</v>
      </c>
      <c r="W2" s="14" t="str">
        <f t="shared" ref="W2:AJ2" si="0">E2</f>
        <v>Algorithm 2</v>
      </c>
      <c r="X2" s="14" t="str">
        <f t="shared" si="0"/>
        <v>Algorithm 3</v>
      </c>
      <c r="Y2" s="14" t="str">
        <f t="shared" si="0"/>
        <v>Algorithm 4</v>
      </c>
      <c r="Z2" s="14" t="str">
        <f t="shared" si="0"/>
        <v>Algorithm 5</v>
      </c>
      <c r="AA2" s="14" t="str">
        <f t="shared" si="0"/>
        <v>Algorithm 6</v>
      </c>
      <c r="AB2" s="14" t="str">
        <f t="shared" si="0"/>
        <v>Algorithm 7</v>
      </c>
      <c r="AC2" s="14" t="str">
        <f t="shared" si="0"/>
        <v>Algorithm 8</v>
      </c>
      <c r="AD2" s="14" t="str">
        <f t="shared" si="0"/>
        <v>Algorithm 9</v>
      </c>
      <c r="AE2" s="14" t="str">
        <f t="shared" si="0"/>
        <v>Algorithm 10</v>
      </c>
      <c r="AF2" s="14" t="str">
        <f t="shared" si="0"/>
        <v>Algorithm 11</v>
      </c>
      <c r="AG2" s="14" t="str">
        <f t="shared" si="0"/>
        <v>Algorithm 12</v>
      </c>
      <c r="AH2" s="14" t="str">
        <f t="shared" si="0"/>
        <v>Algorithm 13</v>
      </c>
      <c r="AI2" s="14" t="str">
        <f t="shared" si="0"/>
        <v>Algorithm 14</v>
      </c>
      <c r="AJ2" s="14" t="str">
        <f t="shared" si="0"/>
        <v>Algorithm 15</v>
      </c>
    </row>
    <row r="3" spans="1:36" ht="14.45" customHeight="1" x14ac:dyDescent="0.25">
      <c r="A3" s="25" t="s">
        <v>32</v>
      </c>
      <c r="B3" s="1" t="s">
        <v>64</v>
      </c>
      <c r="C3" s="1" t="s">
        <v>94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 t="s">
        <v>0</v>
      </c>
      <c r="T3" s="1" t="s">
        <v>29</v>
      </c>
      <c r="V3" s="6" t="e">
        <f t="shared" ref="V3:AJ3" si="1">_xlfn.RANK.EQ(D3,$D3:$R3,1)</f>
        <v>#N/A</v>
      </c>
      <c r="W3" s="6" t="e">
        <f t="shared" si="1"/>
        <v>#N/A</v>
      </c>
      <c r="X3" s="6" t="e">
        <f t="shared" si="1"/>
        <v>#N/A</v>
      </c>
      <c r="Y3" s="6" t="e">
        <f t="shared" si="1"/>
        <v>#N/A</v>
      </c>
      <c r="Z3" s="6" t="e">
        <f t="shared" si="1"/>
        <v>#N/A</v>
      </c>
      <c r="AA3" s="6" t="e">
        <f t="shared" si="1"/>
        <v>#N/A</v>
      </c>
      <c r="AB3" s="6" t="e">
        <f t="shared" si="1"/>
        <v>#N/A</v>
      </c>
      <c r="AC3" s="6" t="e">
        <f t="shared" si="1"/>
        <v>#N/A</v>
      </c>
      <c r="AD3" s="6" t="e">
        <f t="shared" si="1"/>
        <v>#N/A</v>
      </c>
      <c r="AE3" s="6" t="e">
        <f t="shared" si="1"/>
        <v>#N/A</v>
      </c>
      <c r="AF3" s="6" t="e">
        <f t="shared" si="1"/>
        <v>#N/A</v>
      </c>
      <c r="AG3" s="6" t="e">
        <f t="shared" si="1"/>
        <v>#N/A</v>
      </c>
      <c r="AH3" s="6" t="e">
        <f t="shared" si="1"/>
        <v>#N/A</v>
      </c>
      <c r="AI3" s="6" t="e">
        <f t="shared" si="1"/>
        <v>#N/A</v>
      </c>
      <c r="AJ3" s="6" t="e">
        <f t="shared" si="1"/>
        <v>#N/A</v>
      </c>
    </row>
    <row r="4" spans="1:36" x14ac:dyDescent="0.25">
      <c r="A4" s="20"/>
      <c r="B4" s="9" t="s">
        <v>64</v>
      </c>
      <c r="C4" s="9" t="s">
        <v>95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3"/>
      <c r="T4" s="3" t="s">
        <v>30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6" x14ac:dyDescent="0.25">
      <c r="A5" s="20"/>
      <c r="B5" s="4" t="s">
        <v>64</v>
      </c>
      <c r="C5" s="4" t="s">
        <v>96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4"/>
      <c r="T5" s="4" t="s">
        <v>31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6" x14ac:dyDescent="0.25">
      <c r="A6" s="8"/>
      <c r="B6" s="9" t="s">
        <v>65</v>
      </c>
      <c r="C6" s="9" t="s">
        <v>97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9"/>
      <c r="T6" s="9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6" x14ac:dyDescent="0.25">
      <c r="A7" s="8"/>
      <c r="B7" s="9" t="s">
        <v>65</v>
      </c>
      <c r="C7" s="9" t="s">
        <v>98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6" x14ac:dyDescent="0.25">
      <c r="A8" s="8"/>
      <c r="B8" s="9" t="s">
        <v>65</v>
      </c>
      <c r="C8" s="9" t="s">
        <v>99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9"/>
      <c r="T8" s="9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6" x14ac:dyDescent="0.25">
      <c r="A9" s="25" t="s">
        <v>33</v>
      </c>
      <c r="B9" s="1" t="s">
        <v>66</v>
      </c>
      <c r="C9" s="1" t="s">
        <v>100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" t="s">
        <v>1</v>
      </c>
      <c r="T9" s="1" t="s">
        <v>29</v>
      </c>
      <c r="V9" s="6" t="e">
        <f t="shared" ref="V9:AJ9" si="2">_xlfn.RANK.EQ(D9,$D9:$R9,1)</f>
        <v>#N/A</v>
      </c>
      <c r="W9" s="6" t="e">
        <f t="shared" si="2"/>
        <v>#N/A</v>
      </c>
      <c r="X9" s="6" t="e">
        <f t="shared" si="2"/>
        <v>#N/A</v>
      </c>
      <c r="Y9" s="6" t="e">
        <f t="shared" si="2"/>
        <v>#N/A</v>
      </c>
      <c r="Z9" s="6" t="e">
        <f t="shared" si="2"/>
        <v>#N/A</v>
      </c>
      <c r="AA9" s="6" t="e">
        <f t="shared" si="2"/>
        <v>#N/A</v>
      </c>
      <c r="AB9" s="6" t="e">
        <f t="shared" si="2"/>
        <v>#N/A</v>
      </c>
      <c r="AC9" s="6" t="e">
        <f t="shared" si="2"/>
        <v>#N/A</v>
      </c>
      <c r="AD9" s="6" t="e">
        <f t="shared" si="2"/>
        <v>#N/A</v>
      </c>
      <c r="AE9" s="6" t="e">
        <f t="shared" si="2"/>
        <v>#N/A</v>
      </c>
      <c r="AF9" s="6" t="e">
        <f t="shared" si="2"/>
        <v>#N/A</v>
      </c>
      <c r="AG9" s="6" t="e">
        <f t="shared" si="2"/>
        <v>#N/A</v>
      </c>
      <c r="AH9" s="6" t="e">
        <f t="shared" si="2"/>
        <v>#N/A</v>
      </c>
      <c r="AI9" s="6" t="e">
        <f t="shared" si="2"/>
        <v>#N/A</v>
      </c>
      <c r="AJ9" s="6" t="e">
        <f t="shared" si="2"/>
        <v>#N/A</v>
      </c>
    </row>
    <row r="10" spans="1:36" x14ac:dyDescent="0.25">
      <c r="A10" s="20"/>
      <c r="B10" s="9" t="s">
        <v>66</v>
      </c>
      <c r="C10" s="9" t="s">
        <v>101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3"/>
      <c r="T10" s="3" t="s">
        <v>30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6" x14ac:dyDescent="0.25">
      <c r="A11" s="20"/>
      <c r="B11" s="4" t="s">
        <v>66</v>
      </c>
      <c r="C11" s="4" t="s">
        <v>102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/>
      <c r="T11" s="4" t="s">
        <v>31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6" ht="14.45" customHeight="1" x14ac:dyDescent="0.25">
      <c r="A12" s="20"/>
      <c r="B12" s="1" t="s">
        <v>67</v>
      </c>
      <c r="C12" s="1" t="s">
        <v>103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" t="s">
        <v>2</v>
      </c>
      <c r="T12" s="1" t="s">
        <v>29</v>
      </c>
      <c r="V12" s="6" t="e">
        <f t="shared" ref="V12:AJ12" si="3">_xlfn.RANK.EQ(D12,$D12:$R12,1)</f>
        <v>#N/A</v>
      </c>
      <c r="W12" s="6" t="e">
        <f t="shared" si="3"/>
        <v>#N/A</v>
      </c>
      <c r="X12" s="6" t="e">
        <f t="shared" si="3"/>
        <v>#N/A</v>
      </c>
      <c r="Y12" s="6" t="e">
        <f t="shared" si="3"/>
        <v>#N/A</v>
      </c>
      <c r="Z12" s="6" t="e">
        <f t="shared" si="3"/>
        <v>#N/A</v>
      </c>
      <c r="AA12" s="6" t="e">
        <f t="shared" si="3"/>
        <v>#N/A</v>
      </c>
      <c r="AB12" s="6" t="e">
        <f t="shared" si="3"/>
        <v>#N/A</v>
      </c>
      <c r="AC12" s="6" t="e">
        <f t="shared" si="3"/>
        <v>#N/A</v>
      </c>
      <c r="AD12" s="6" t="e">
        <f t="shared" si="3"/>
        <v>#N/A</v>
      </c>
      <c r="AE12" s="6" t="e">
        <f t="shared" si="3"/>
        <v>#N/A</v>
      </c>
      <c r="AF12" s="6" t="e">
        <f t="shared" si="3"/>
        <v>#N/A</v>
      </c>
      <c r="AG12" s="6" t="e">
        <f t="shared" si="3"/>
        <v>#N/A</v>
      </c>
      <c r="AH12" s="6" t="e">
        <f t="shared" si="3"/>
        <v>#N/A</v>
      </c>
      <c r="AI12" s="6" t="e">
        <f t="shared" si="3"/>
        <v>#N/A</v>
      </c>
      <c r="AJ12" s="6" t="e">
        <f t="shared" si="3"/>
        <v>#N/A</v>
      </c>
    </row>
    <row r="13" spans="1:36" x14ac:dyDescent="0.25">
      <c r="A13" s="20"/>
      <c r="B13" s="9" t="s">
        <v>67</v>
      </c>
      <c r="C13" s="9" t="s">
        <v>104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"/>
      <c r="T13" s="3" t="s">
        <v>30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6" x14ac:dyDescent="0.25">
      <c r="A14" s="20"/>
      <c r="B14" s="4" t="s">
        <v>67</v>
      </c>
      <c r="C14" s="4" t="s">
        <v>105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/>
      <c r="T14" s="4" t="s">
        <v>31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6" x14ac:dyDescent="0.25">
      <c r="A15" s="20"/>
      <c r="B15" s="1" t="s">
        <v>68</v>
      </c>
      <c r="C15" s="1" t="s">
        <v>106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" t="s">
        <v>3</v>
      </c>
      <c r="T15" s="1" t="s">
        <v>29</v>
      </c>
      <c r="V15" s="6" t="e">
        <f t="shared" ref="V15:AJ15" si="4">_xlfn.RANK.EQ(D15,$D15:$R15,1)</f>
        <v>#N/A</v>
      </c>
      <c r="W15" s="6" t="e">
        <f t="shared" si="4"/>
        <v>#N/A</v>
      </c>
      <c r="X15" s="6" t="e">
        <f t="shared" si="4"/>
        <v>#N/A</v>
      </c>
      <c r="Y15" s="6" t="e">
        <f t="shared" si="4"/>
        <v>#N/A</v>
      </c>
      <c r="Z15" s="6" t="e">
        <f t="shared" si="4"/>
        <v>#N/A</v>
      </c>
      <c r="AA15" s="6" t="e">
        <f t="shared" si="4"/>
        <v>#N/A</v>
      </c>
      <c r="AB15" s="6" t="e">
        <f t="shared" si="4"/>
        <v>#N/A</v>
      </c>
      <c r="AC15" s="6" t="e">
        <f t="shared" si="4"/>
        <v>#N/A</v>
      </c>
      <c r="AD15" s="6" t="e">
        <f t="shared" si="4"/>
        <v>#N/A</v>
      </c>
      <c r="AE15" s="6" t="e">
        <f t="shared" si="4"/>
        <v>#N/A</v>
      </c>
      <c r="AF15" s="6" t="e">
        <f t="shared" si="4"/>
        <v>#N/A</v>
      </c>
      <c r="AG15" s="6" t="e">
        <f t="shared" si="4"/>
        <v>#N/A</v>
      </c>
      <c r="AH15" s="6" t="e">
        <f t="shared" si="4"/>
        <v>#N/A</v>
      </c>
      <c r="AI15" s="6" t="e">
        <f t="shared" si="4"/>
        <v>#N/A</v>
      </c>
      <c r="AJ15" s="6" t="e">
        <f t="shared" si="4"/>
        <v>#N/A</v>
      </c>
    </row>
    <row r="16" spans="1:36" x14ac:dyDescent="0.25">
      <c r="A16" s="20"/>
      <c r="B16" s="9" t="s">
        <v>68</v>
      </c>
      <c r="C16" s="9" t="s">
        <v>107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3"/>
      <c r="T16" s="3" t="s">
        <v>30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6" x14ac:dyDescent="0.25">
      <c r="A17" s="20"/>
      <c r="B17" s="4" t="s">
        <v>68</v>
      </c>
      <c r="C17" s="4" t="s">
        <v>108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/>
      <c r="T17" s="4" t="s">
        <v>31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6" x14ac:dyDescent="0.25">
      <c r="A18" s="20"/>
      <c r="B18" s="1" t="s">
        <v>69</v>
      </c>
      <c r="C18" s="1" t="s">
        <v>109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" t="s">
        <v>4</v>
      </c>
      <c r="T18" s="1" t="s">
        <v>29</v>
      </c>
      <c r="V18" s="6" t="e">
        <f t="shared" ref="V18:AJ18" si="5">_xlfn.RANK.EQ(D18,$D18:$R18,1)</f>
        <v>#N/A</v>
      </c>
      <c r="W18" s="6" t="e">
        <f t="shared" si="5"/>
        <v>#N/A</v>
      </c>
      <c r="X18" s="6" t="e">
        <f t="shared" si="5"/>
        <v>#N/A</v>
      </c>
      <c r="Y18" s="6" t="e">
        <f t="shared" si="5"/>
        <v>#N/A</v>
      </c>
      <c r="Z18" s="6" t="e">
        <f t="shared" si="5"/>
        <v>#N/A</v>
      </c>
      <c r="AA18" s="6" t="e">
        <f t="shared" si="5"/>
        <v>#N/A</v>
      </c>
      <c r="AB18" s="6" t="e">
        <f t="shared" si="5"/>
        <v>#N/A</v>
      </c>
      <c r="AC18" s="6" t="e">
        <f t="shared" si="5"/>
        <v>#N/A</v>
      </c>
      <c r="AD18" s="6" t="e">
        <f t="shared" si="5"/>
        <v>#N/A</v>
      </c>
      <c r="AE18" s="6" t="e">
        <f t="shared" si="5"/>
        <v>#N/A</v>
      </c>
      <c r="AF18" s="6" t="e">
        <f t="shared" si="5"/>
        <v>#N/A</v>
      </c>
      <c r="AG18" s="6" t="e">
        <f t="shared" si="5"/>
        <v>#N/A</v>
      </c>
      <c r="AH18" s="6" t="e">
        <f t="shared" si="5"/>
        <v>#N/A</v>
      </c>
      <c r="AI18" s="6" t="e">
        <f t="shared" si="5"/>
        <v>#N/A</v>
      </c>
      <c r="AJ18" s="6" t="e">
        <f t="shared" si="5"/>
        <v>#N/A</v>
      </c>
    </row>
    <row r="19" spans="1:36" x14ac:dyDescent="0.25">
      <c r="A19" s="20"/>
      <c r="B19" s="9" t="s">
        <v>69</v>
      </c>
      <c r="C19" s="9" t="s">
        <v>110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3"/>
      <c r="T19" s="3" t="s">
        <v>30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6" x14ac:dyDescent="0.25">
      <c r="A20" s="20"/>
      <c r="B20" s="4" t="s">
        <v>69</v>
      </c>
      <c r="C20" s="4" t="s">
        <v>111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/>
      <c r="T20" s="4" t="s">
        <v>31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6" x14ac:dyDescent="0.25">
      <c r="A21" s="20"/>
      <c r="B21" s="1" t="s">
        <v>70</v>
      </c>
      <c r="C21" s="1" t="s">
        <v>112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 t="s">
        <v>5</v>
      </c>
      <c r="T21" s="1" t="s">
        <v>29</v>
      </c>
      <c r="V21" s="6" t="e">
        <f t="shared" ref="V21:AJ21" si="6">_xlfn.RANK.EQ(D21,$D21:$R21,1)</f>
        <v>#N/A</v>
      </c>
      <c r="W21" s="6" t="e">
        <f t="shared" si="6"/>
        <v>#N/A</v>
      </c>
      <c r="X21" s="6" t="e">
        <f t="shared" si="6"/>
        <v>#N/A</v>
      </c>
      <c r="Y21" s="6" t="e">
        <f t="shared" si="6"/>
        <v>#N/A</v>
      </c>
      <c r="Z21" s="6" t="e">
        <f t="shared" si="6"/>
        <v>#N/A</v>
      </c>
      <c r="AA21" s="6" t="e">
        <f t="shared" si="6"/>
        <v>#N/A</v>
      </c>
      <c r="AB21" s="6" t="e">
        <f t="shared" si="6"/>
        <v>#N/A</v>
      </c>
      <c r="AC21" s="6" t="e">
        <f t="shared" si="6"/>
        <v>#N/A</v>
      </c>
      <c r="AD21" s="6" t="e">
        <f t="shared" si="6"/>
        <v>#N/A</v>
      </c>
      <c r="AE21" s="6" t="e">
        <f t="shared" si="6"/>
        <v>#N/A</v>
      </c>
      <c r="AF21" s="6" t="e">
        <f t="shared" si="6"/>
        <v>#N/A</v>
      </c>
      <c r="AG21" s="6" t="e">
        <f t="shared" si="6"/>
        <v>#N/A</v>
      </c>
      <c r="AH21" s="6" t="e">
        <f t="shared" si="6"/>
        <v>#N/A</v>
      </c>
      <c r="AI21" s="6" t="e">
        <f t="shared" si="6"/>
        <v>#N/A</v>
      </c>
      <c r="AJ21" s="6" t="e">
        <f t="shared" si="6"/>
        <v>#N/A</v>
      </c>
    </row>
    <row r="22" spans="1:36" x14ac:dyDescent="0.25">
      <c r="A22" s="20"/>
      <c r="B22" s="9" t="s">
        <v>70</v>
      </c>
      <c r="C22" s="9" t="s">
        <v>113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3"/>
      <c r="T22" s="3" t="s">
        <v>30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6" x14ac:dyDescent="0.25">
      <c r="A23" s="20"/>
      <c r="B23" s="4" t="s">
        <v>70</v>
      </c>
      <c r="C23" s="4" t="s">
        <v>114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/>
      <c r="T23" s="4" t="s">
        <v>31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6" x14ac:dyDescent="0.25">
      <c r="A24" s="20"/>
      <c r="B24" s="1" t="s">
        <v>71</v>
      </c>
      <c r="C24" s="1" t="s">
        <v>115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" t="s">
        <v>6</v>
      </c>
      <c r="T24" s="1" t="s">
        <v>29</v>
      </c>
      <c r="V24" s="6" t="e">
        <f t="shared" ref="V24:AJ24" si="7">_xlfn.RANK.EQ(D24,$D24:$R24,1)</f>
        <v>#N/A</v>
      </c>
      <c r="W24" s="6" t="e">
        <f t="shared" si="7"/>
        <v>#N/A</v>
      </c>
      <c r="X24" s="6" t="e">
        <f t="shared" si="7"/>
        <v>#N/A</v>
      </c>
      <c r="Y24" s="6" t="e">
        <f t="shared" si="7"/>
        <v>#N/A</v>
      </c>
      <c r="Z24" s="6" t="e">
        <f t="shared" si="7"/>
        <v>#N/A</v>
      </c>
      <c r="AA24" s="6" t="e">
        <f t="shared" si="7"/>
        <v>#N/A</v>
      </c>
      <c r="AB24" s="6" t="e">
        <f t="shared" si="7"/>
        <v>#N/A</v>
      </c>
      <c r="AC24" s="6" t="e">
        <f t="shared" si="7"/>
        <v>#N/A</v>
      </c>
      <c r="AD24" s="6" t="e">
        <f t="shared" si="7"/>
        <v>#N/A</v>
      </c>
      <c r="AE24" s="6" t="e">
        <f t="shared" si="7"/>
        <v>#N/A</v>
      </c>
      <c r="AF24" s="6" t="e">
        <f t="shared" si="7"/>
        <v>#N/A</v>
      </c>
      <c r="AG24" s="6" t="e">
        <f t="shared" si="7"/>
        <v>#N/A</v>
      </c>
      <c r="AH24" s="6" t="e">
        <f t="shared" si="7"/>
        <v>#N/A</v>
      </c>
      <c r="AI24" s="6" t="e">
        <f t="shared" si="7"/>
        <v>#N/A</v>
      </c>
      <c r="AJ24" s="6" t="e">
        <f t="shared" si="7"/>
        <v>#N/A</v>
      </c>
    </row>
    <row r="25" spans="1:36" x14ac:dyDescent="0.25">
      <c r="A25" s="20"/>
      <c r="B25" s="9" t="s">
        <v>71</v>
      </c>
      <c r="C25" s="9" t="s">
        <v>116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3"/>
      <c r="T25" s="3" t="s">
        <v>30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6" x14ac:dyDescent="0.25">
      <c r="A26" s="20"/>
      <c r="B26" s="4" t="s">
        <v>71</v>
      </c>
      <c r="C26" s="4" t="s">
        <v>117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/>
      <c r="T26" s="4" t="s">
        <v>31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6" x14ac:dyDescent="0.25">
      <c r="A27" s="20"/>
      <c r="B27" s="1" t="s">
        <v>72</v>
      </c>
      <c r="C27" s="1" t="s">
        <v>118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" t="s">
        <v>7</v>
      </c>
      <c r="T27" s="1" t="s">
        <v>29</v>
      </c>
      <c r="V27" s="6" t="e">
        <f t="shared" ref="V27:AJ27" si="8">_xlfn.RANK.EQ(D27,$D27:$R27,1)</f>
        <v>#N/A</v>
      </c>
      <c r="W27" s="6" t="e">
        <f t="shared" si="8"/>
        <v>#N/A</v>
      </c>
      <c r="X27" s="6" t="e">
        <f t="shared" si="8"/>
        <v>#N/A</v>
      </c>
      <c r="Y27" s="6" t="e">
        <f t="shared" si="8"/>
        <v>#N/A</v>
      </c>
      <c r="Z27" s="6" t="e">
        <f t="shared" si="8"/>
        <v>#N/A</v>
      </c>
      <c r="AA27" s="6" t="e">
        <f t="shared" si="8"/>
        <v>#N/A</v>
      </c>
      <c r="AB27" s="6" t="e">
        <f t="shared" si="8"/>
        <v>#N/A</v>
      </c>
      <c r="AC27" s="6" t="e">
        <f t="shared" si="8"/>
        <v>#N/A</v>
      </c>
      <c r="AD27" s="6" t="e">
        <f t="shared" si="8"/>
        <v>#N/A</v>
      </c>
      <c r="AE27" s="6" t="e">
        <f t="shared" si="8"/>
        <v>#N/A</v>
      </c>
      <c r="AF27" s="6" t="e">
        <f t="shared" si="8"/>
        <v>#N/A</v>
      </c>
      <c r="AG27" s="6" t="e">
        <f t="shared" si="8"/>
        <v>#N/A</v>
      </c>
      <c r="AH27" s="6" t="e">
        <f t="shared" si="8"/>
        <v>#N/A</v>
      </c>
      <c r="AI27" s="6" t="e">
        <f t="shared" si="8"/>
        <v>#N/A</v>
      </c>
      <c r="AJ27" s="6" t="e">
        <f t="shared" si="8"/>
        <v>#N/A</v>
      </c>
    </row>
    <row r="28" spans="1:36" x14ac:dyDescent="0.25">
      <c r="A28" s="20"/>
      <c r="B28" s="9" t="s">
        <v>72</v>
      </c>
      <c r="C28" s="9" t="s">
        <v>119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3"/>
      <c r="T28" s="3" t="s">
        <v>30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6" x14ac:dyDescent="0.25">
      <c r="A29" s="23"/>
      <c r="B29" s="4" t="s">
        <v>72</v>
      </c>
      <c r="C29" s="4" t="s">
        <v>120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/>
      <c r="T29" s="4" t="s">
        <v>31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6" x14ac:dyDescent="0.25">
      <c r="A30" s="25" t="s">
        <v>38</v>
      </c>
      <c r="B30" s="1" t="s">
        <v>73</v>
      </c>
      <c r="C30" s="1" t="s">
        <v>121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" t="s">
        <v>8</v>
      </c>
      <c r="T30" s="1" t="s">
        <v>29</v>
      </c>
      <c r="V30" s="6" t="e">
        <f t="shared" ref="V30:AJ30" si="9">_xlfn.RANK.EQ(D30,$D30:$R30,1)</f>
        <v>#N/A</v>
      </c>
      <c r="W30" s="6" t="e">
        <f t="shared" si="9"/>
        <v>#N/A</v>
      </c>
      <c r="X30" s="6" t="e">
        <f t="shared" si="9"/>
        <v>#N/A</v>
      </c>
      <c r="Y30" s="6" t="e">
        <f t="shared" si="9"/>
        <v>#N/A</v>
      </c>
      <c r="Z30" s="6" t="e">
        <f t="shared" si="9"/>
        <v>#N/A</v>
      </c>
      <c r="AA30" s="6" t="e">
        <f t="shared" si="9"/>
        <v>#N/A</v>
      </c>
      <c r="AB30" s="6" t="e">
        <f t="shared" si="9"/>
        <v>#N/A</v>
      </c>
      <c r="AC30" s="6" t="e">
        <f t="shared" si="9"/>
        <v>#N/A</v>
      </c>
      <c r="AD30" s="6" t="e">
        <f t="shared" si="9"/>
        <v>#N/A</v>
      </c>
      <c r="AE30" s="6" t="e">
        <f t="shared" si="9"/>
        <v>#N/A</v>
      </c>
      <c r="AF30" s="6" t="e">
        <f t="shared" si="9"/>
        <v>#N/A</v>
      </c>
      <c r="AG30" s="6" t="e">
        <f t="shared" si="9"/>
        <v>#N/A</v>
      </c>
      <c r="AH30" s="6" t="e">
        <f t="shared" si="9"/>
        <v>#N/A</v>
      </c>
      <c r="AI30" s="6" t="e">
        <f t="shared" si="9"/>
        <v>#N/A</v>
      </c>
      <c r="AJ30" s="6" t="e">
        <f t="shared" si="9"/>
        <v>#N/A</v>
      </c>
    </row>
    <row r="31" spans="1:36" x14ac:dyDescent="0.25">
      <c r="A31" s="20"/>
      <c r="B31" s="9" t="s">
        <v>73</v>
      </c>
      <c r="C31" s="9" t="s">
        <v>122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3"/>
      <c r="T31" s="3" t="s">
        <v>30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6" x14ac:dyDescent="0.25">
      <c r="A32" s="20"/>
      <c r="B32" s="4" t="s">
        <v>73</v>
      </c>
      <c r="C32" s="4" t="s">
        <v>123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/>
      <c r="T32" s="4" t="s">
        <v>31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6" x14ac:dyDescent="0.25">
      <c r="A33" s="20"/>
      <c r="B33" s="1" t="s">
        <v>74</v>
      </c>
      <c r="C33" s="1" t="s">
        <v>124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" t="s">
        <v>9</v>
      </c>
      <c r="T33" s="1" t="s">
        <v>29</v>
      </c>
      <c r="V33" s="6" t="e">
        <f t="shared" ref="V33:AJ33" si="10">_xlfn.RANK.EQ(D33,$D33:$R33,1)</f>
        <v>#N/A</v>
      </c>
      <c r="W33" s="6" t="e">
        <f t="shared" si="10"/>
        <v>#N/A</v>
      </c>
      <c r="X33" s="6" t="e">
        <f t="shared" si="10"/>
        <v>#N/A</v>
      </c>
      <c r="Y33" s="6" t="e">
        <f t="shared" si="10"/>
        <v>#N/A</v>
      </c>
      <c r="Z33" s="6" t="e">
        <f t="shared" si="10"/>
        <v>#N/A</v>
      </c>
      <c r="AA33" s="6" t="e">
        <f t="shared" si="10"/>
        <v>#N/A</v>
      </c>
      <c r="AB33" s="6" t="e">
        <f t="shared" si="10"/>
        <v>#N/A</v>
      </c>
      <c r="AC33" s="6" t="e">
        <f t="shared" si="10"/>
        <v>#N/A</v>
      </c>
      <c r="AD33" s="6" t="e">
        <f t="shared" si="10"/>
        <v>#N/A</v>
      </c>
      <c r="AE33" s="6" t="e">
        <f t="shared" si="10"/>
        <v>#N/A</v>
      </c>
      <c r="AF33" s="6" t="e">
        <f t="shared" si="10"/>
        <v>#N/A</v>
      </c>
      <c r="AG33" s="6" t="e">
        <f t="shared" si="10"/>
        <v>#N/A</v>
      </c>
      <c r="AH33" s="6" t="e">
        <f t="shared" si="10"/>
        <v>#N/A</v>
      </c>
      <c r="AI33" s="6" t="e">
        <f t="shared" si="10"/>
        <v>#N/A</v>
      </c>
      <c r="AJ33" s="6" t="e">
        <f t="shared" si="10"/>
        <v>#N/A</v>
      </c>
    </row>
    <row r="34" spans="1:36" x14ac:dyDescent="0.25">
      <c r="A34" s="20"/>
      <c r="B34" s="9" t="s">
        <v>74</v>
      </c>
      <c r="C34" s="9" t="s">
        <v>125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3"/>
      <c r="T34" s="3" t="s">
        <v>30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6" x14ac:dyDescent="0.25">
      <c r="A35" s="20"/>
      <c r="B35" s="4" t="s">
        <v>74</v>
      </c>
      <c r="C35" s="4" t="s">
        <v>126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/>
      <c r="T35" s="4" t="s">
        <v>31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6" x14ac:dyDescent="0.25">
      <c r="A36" s="20"/>
      <c r="B36" s="1" t="s">
        <v>75</v>
      </c>
      <c r="C36" s="1" t="s">
        <v>127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" t="s">
        <v>10</v>
      </c>
      <c r="T36" s="1" t="s">
        <v>29</v>
      </c>
      <c r="V36" s="6" t="e">
        <f t="shared" ref="V36:AJ36" si="11">_xlfn.RANK.EQ(D36,$D36:$R36,1)</f>
        <v>#N/A</v>
      </c>
      <c r="W36" s="6" t="e">
        <f t="shared" si="11"/>
        <v>#N/A</v>
      </c>
      <c r="X36" s="6" t="e">
        <f t="shared" si="11"/>
        <v>#N/A</v>
      </c>
      <c r="Y36" s="6" t="e">
        <f t="shared" si="11"/>
        <v>#N/A</v>
      </c>
      <c r="Z36" s="6" t="e">
        <f t="shared" si="11"/>
        <v>#N/A</v>
      </c>
      <c r="AA36" s="6" t="e">
        <f t="shared" si="11"/>
        <v>#N/A</v>
      </c>
      <c r="AB36" s="6" t="e">
        <f t="shared" si="11"/>
        <v>#N/A</v>
      </c>
      <c r="AC36" s="6" t="e">
        <f t="shared" si="11"/>
        <v>#N/A</v>
      </c>
      <c r="AD36" s="6" t="e">
        <f t="shared" si="11"/>
        <v>#N/A</v>
      </c>
      <c r="AE36" s="6" t="e">
        <f t="shared" si="11"/>
        <v>#N/A</v>
      </c>
      <c r="AF36" s="6" t="e">
        <f t="shared" si="11"/>
        <v>#N/A</v>
      </c>
      <c r="AG36" s="6" t="e">
        <f t="shared" si="11"/>
        <v>#N/A</v>
      </c>
      <c r="AH36" s="6" t="e">
        <f t="shared" si="11"/>
        <v>#N/A</v>
      </c>
      <c r="AI36" s="6" t="e">
        <f t="shared" si="11"/>
        <v>#N/A</v>
      </c>
      <c r="AJ36" s="6" t="e">
        <f t="shared" si="11"/>
        <v>#N/A</v>
      </c>
    </row>
    <row r="37" spans="1:36" x14ac:dyDescent="0.25">
      <c r="A37" s="20"/>
      <c r="B37" s="9" t="s">
        <v>75</v>
      </c>
      <c r="C37" s="9" t="s">
        <v>128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3"/>
      <c r="T37" s="3" t="s">
        <v>30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6" x14ac:dyDescent="0.25">
      <c r="A38" s="20"/>
      <c r="B38" s="4" t="s">
        <v>75</v>
      </c>
      <c r="C38" s="4" t="s">
        <v>129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/>
      <c r="T38" s="4" t="s">
        <v>31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6" x14ac:dyDescent="0.25">
      <c r="A39" s="20"/>
      <c r="B39" s="1" t="s">
        <v>76</v>
      </c>
      <c r="C39" s="1" t="s">
        <v>130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" t="s">
        <v>11</v>
      </c>
      <c r="T39" s="1" t="s">
        <v>29</v>
      </c>
      <c r="V39" s="6" t="e">
        <f t="shared" ref="V39:AJ39" si="12">_xlfn.RANK.EQ(D39,$D39:$R39,1)</f>
        <v>#N/A</v>
      </c>
      <c r="W39" s="6" t="e">
        <f t="shared" si="12"/>
        <v>#N/A</v>
      </c>
      <c r="X39" s="6" t="e">
        <f t="shared" si="12"/>
        <v>#N/A</v>
      </c>
      <c r="Y39" s="6" t="e">
        <f t="shared" si="12"/>
        <v>#N/A</v>
      </c>
      <c r="Z39" s="6" t="e">
        <f t="shared" si="12"/>
        <v>#N/A</v>
      </c>
      <c r="AA39" s="6" t="e">
        <f t="shared" si="12"/>
        <v>#N/A</v>
      </c>
      <c r="AB39" s="6" t="e">
        <f t="shared" si="12"/>
        <v>#N/A</v>
      </c>
      <c r="AC39" s="6" t="e">
        <f t="shared" si="12"/>
        <v>#N/A</v>
      </c>
      <c r="AD39" s="6" t="e">
        <f t="shared" si="12"/>
        <v>#N/A</v>
      </c>
      <c r="AE39" s="6" t="e">
        <f t="shared" si="12"/>
        <v>#N/A</v>
      </c>
      <c r="AF39" s="6" t="e">
        <f t="shared" si="12"/>
        <v>#N/A</v>
      </c>
      <c r="AG39" s="6" t="e">
        <f t="shared" si="12"/>
        <v>#N/A</v>
      </c>
      <c r="AH39" s="6" t="e">
        <f t="shared" si="12"/>
        <v>#N/A</v>
      </c>
      <c r="AI39" s="6" t="e">
        <f t="shared" si="12"/>
        <v>#N/A</v>
      </c>
      <c r="AJ39" s="6" t="e">
        <f t="shared" si="12"/>
        <v>#N/A</v>
      </c>
    </row>
    <row r="40" spans="1:36" x14ac:dyDescent="0.25">
      <c r="A40" s="20"/>
      <c r="B40" s="9" t="s">
        <v>76</v>
      </c>
      <c r="C40" s="9" t="s">
        <v>131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3"/>
      <c r="T40" s="3" t="s">
        <v>30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6" x14ac:dyDescent="0.25">
      <c r="A41" s="20"/>
      <c r="B41" s="4" t="s">
        <v>76</v>
      </c>
      <c r="C41" s="4" t="s">
        <v>132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/>
      <c r="T41" s="4" t="s">
        <v>31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6" x14ac:dyDescent="0.25">
      <c r="A42" s="20"/>
      <c r="B42" s="1" t="s">
        <v>77</v>
      </c>
      <c r="C42" s="1" t="s">
        <v>133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 t="s">
        <v>12</v>
      </c>
      <c r="T42" s="1" t="s">
        <v>29</v>
      </c>
      <c r="V42" s="6" t="e">
        <f t="shared" ref="V42:AJ42" si="13">_xlfn.RANK.EQ(D42,$D42:$R42,1)</f>
        <v>#N/A</v>
      </c>
      <c r="W42" s="6" t="e">
        <f t="shared" si="13"/>
        <v>#N/A</v>
      </c>
      <c r="X42" s="6" t="e">
        <f t="shared" si="13"/>
        <v>#N/A</v>
      </c>
      <c r="Y42" s="6" t="e">
        <f t="shared" si="13"/>
        <v>#N/A</v>
      </c>
      <c r="Z42" s="6" t="e">
        <f t="shared" si="13"/>
        <v>#N/A</v>
      </c>
      <c r="AA42" s="6" t="e">
        <f t="shared" si="13"/>
        <v>#N/A</v>
      </c>
      <c r="AB42" s="6" t="e">
        <f t="shared" si="13"/>
        <v>#N/A</v>
      </c>
      <c r="AC42" s="6" t="e">
        <f t="shared" si="13"/>
        <v>#N/A</v>
      </c>
      <c r="AD42" s="6" t="e">
        <f t="shared" si="13"/>
        <v>#N/A</v>
      </c>
      <c r="AE42" s="6" t="e">
        <f t="shared" si="13"/>
        <v>#N/A</v>
      </c>
      <c r="AF42" s="6" t="e">
        <f t="shared" si="13"/>
        <v>#N/A</v>
      </c>
      <c r="AG42" s="6" t="e">
        <f t="shared" si="13"/>
        <v>#N/A</v>
      </c>
      <c r="AH42" s="6" t="e">
        <f t="shared" si="13"/>
        <v>#N/A</v>
      </c>
      <c r="AI42" s="6" t="e">
        <f t="shared" si="13"/>
        <v>#N/A</v>
      </c>
      <c r="AJ42" s="6" t="e">
        <f t="shared" si="13"/>
        <v>#N/A</v>
      </c>
    </row>
    <row r="43" spans="1:36" x14ac:dyDescent="0.25">
      <c r="A43" s="20"/>
      <c r="B43" s="9" t="s">
        <v>77</v>
      </c>
      <c r="C43" s="9" t="s">
        <v>134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3"/>
      <c r="T43" s="3" t="s">
        <v>30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6" x14ac:dyDescent="0.25">
      <c r="A44" s="20"/>
      <c r="B44" s="4" t="s">
        <v>77</v>
      </c>
      <c r="C44" s="4" t="s">
        <v>135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/>
      <c r="T44" s="4" t="s">
        <v>31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6" x14ac:dyDescent="0.25">
      <c r="A45" s="20"/>
      <c r="B45" s="1" t="s">
        <v>78</v>
      </c>
      <c r="C45" s="1" t="s">
        <v>136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" t="s">
        <v>13</v>
      </c>
      <c r="T45" s="1" t="s">
        <v>29</v>
      </c>
      <c r="V45" s="6" t="e">
        <f t="shared" ref="V45:AJ45" si="14">_xlfn.RANK.EQ(D45,$D45:$R45,1)</f>
        <v>#N/A</v>
      </c>
      <c r="W45" s="6" t="e">
        <f t="shared" si="14"/>
        <v>#N/A</v>
      </c>
      <c r="X45" s="6" t="e">
        <f t="shared" si="14"/>
        <v>#N/A</v>
      </c>
      <c r="Y45" s="6" t="e">
        <f t="shared" si="14"/>
        <v>#N/A</v>
      </c>
      <c r="Z45" s="6" t="e">
        <f t="shared" si="14"/>
        <v>#N/A</v>
      </c>
      <c r="AA45" s="6" t="e">
        <f t="shared" si="14"/>
        <v>#N/A</v>
      </c>
      <c r="AB45" s="6" t="e">
        <f t="shared" si="14"/>
        <v>#N/A</v>
      </c>
      <c r="AC45" s="6" t="e">
        <f t="shared" si="14"/>
        <v>#N/A</v>
      </c>
      <c r="AD45" s="6" t="e">
        <f t="shared" si="14"/>
        <v>#N/A</v>
      </c>
      <c r="AE45" s="6" t="e">
        <f t="shared" si="14"/>
        <v>#N/A</v>
      </c>
      <c r="AF45" s="6" t="e">
        <f t="shared" si="14"/>
        <v>#N/A</v>
      </c>
      <c r="AG45" s="6" t="e">
        <f t="shared" si="14"/>
        <v>#N/A</v>
      </c>
      <c r="AH45" s="6" t="e">
        <f t="shared" si="14"/>
        <v>#N/A</v>
      </c>
      <c r="AI45" s="6" t="e">
        <f t="shared" si="14"/>
        <v>#N/A</v>
      </c>
      <c r="AJ45" s="6" t="e">
        <f t="shared" si="14"/>
        <v>#N/A</v>
      </c>
    </row>
    <row r="46" spans="1:36" x14ac:dyDescent="0.25">
      <c r="A46" s="20"/>
      <c r="B46" s="9" t="s">
        <v>78</v>
      </c>
      <c r="C46" s="9" t="s">
        <v>137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3"/>
      <c r="T46" s="3" t="s">
        <v>30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6" x14ac:dyDescent="0.25">
      <c r="A47" s="20"/>
      <c r="B47" s="4" t="s">
        <v>78</v>
      </c>
      <c r="C47" s="4" t="s">
        <v>138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/>
      <c r="T47" s="4" t="s">
        <v>31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6" x14ac:dyDescent="0.25">
      <c r="A48" s="20"/>
      <c r="B48" s="1" t="s">
        <v>79</v>
      </c>
      <c r="C48" s="1" t="s">
        <v>139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" t="s">
        <v>14</v>
      </c>
      <c r="T48" s="1" t="s">
        <v>29</v>
      </c>
      <c r="V48" s="6" t="e">
        <f t="shared" ref="V48:AJ48" si="15">_xlfn.RANK.EQ(D48,$D48:$R48,1)</f>
        <v>#N/A</v>
      </c>
      <c r="W48" s="6" t="e">
        <f t="shared" si="15"/>
        <v>#N/A</v>
      </c>
      <c r="X48" s="6" t="e">
        <f t="shared" si="15"/>
        <v>#N/A</v>
      </c>
      <c r="Y48" s="6" t="e">
        <f t="shared" si="15"/>
        <v>#N/A</v>
      </c>
      <c r="Z48" s="6" t="e">
        <f t="shared" si="15"/>
        <v>#N/A</v>
      </c>
      <c r="AA48" s="6" t="e">
        <f t="shared" si="15"/>
        <v>#N/A</v>
      </c>
      <c r="AB48" s="6" t="e">
        <f t="shared" si="15"/>
        <v>#N/A</v>
      </c>
      <c r="AC48" s="6" t="e">
        <f t="shared" si="15"/>
        <v>#N/A</v>
      </c>
      <c r="AD48" s="6" t="e">
        <f t="shared" si="15"/>
        <v>#N/A</v>
      </c>
      <c r="AE48" s="6" t="e">
        <f t="shared" si="15"/>
        <v>#N/A</v>
      </c>
      <c r="AF48" s="6" t="e">
        <f t="shared" si="15"/>
        <v>#N/A</v>
      </c>
      <c r="AG48" s="6" t="e">
        <f t="shared" si="15"/>
        <v>#N/A</v>
      </c>
      <c r="AH48" s="6" t="e">
        <f t="shared" si="15"/>
        <v>#N/A</v>
      </c>
      <c r="AI48" s="6" t="e">
        <f t="shared" si="15"/>
        <v>#N/A</v>
      </c>
      <c r="AJ48" s="6" t="e">
        <f t="shared" si="15"/>
        <v>#N/A</v>
      </c>
    </row>
    <row r="49" spans="1:36" x14ac:dyDescent="0.25">
      <c r="A49" s="20"/>
      <c r="B49" s="9" t="s">
        <v>79</v>
      </c>
      <c r="C49" s="9" t="s">
        <v>140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3"/>
      <c r="T49" s="3" t="s">
        <v>30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6" x14ac:dyDescent="0.25">
      <c r="A50" s="20"/>
      <c r="B50" s="4" t="s">
        <v>79</v>
      </c>
      <c r="C50" s="4" t="s">
        <v>141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/>
      <c r="T50" s="4" t="s">
        <v>31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6" ht="14.45" customHeight="1" x14ac:dyDescent="0.25">
      <c r="A51" s="20"/>
      <c r="B51" s="1" t="s">
        <v>80</v>
      </c>
      <c r="C51" s="1" t="s">
        <v>142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" t="s">
        <v>15</v>
      </c>
      <c r="T51" s="1" t="s">
        <v>29</v>
      </c>
      <c r="V51" s="6" t="e">
        <f t="shared" ref="V51:AJ51" si="16">_xlfn.RANK.EQ(D51,$D51:$R51,1)</f>
        <v>#N/A</v>
      </c>
      <c r="W51" s="6" t="e">
        <f t="shared" si="16"/>
        <v>#N/A</v>
      </c>
      <c r="X51" s="6" t="e">
        <f t="shared" si="16"/>
        <v>#N/A</v>
      </c>
      <c r="Y51" s="6" t="e">
        <f t="shared" si="16"/>
        <v>#N/A</v>
      </c>
      <c r="Z51" s="6" t="e">
        <f t="shared" si="16"/>
        <v>#N/A</v>
      </c>
      <c r="AA51" s="6" t="e">
        <f t="shared" si="16"/>
        <v>#N/A</v>
      </c>
      <c r="AB51" s="6" t="e">
        <f t="shared" si="16"/>
        <v>#N/A</v>
      </c>
      <c r="AC51" s="6" t="e">
        <f t="shared" si="16"/>
        <v>#N/A</v>
      </c>
      <c r="AD51" s="6" t="e">
        <f t="shared" si="16"/>
        <v>#N/A</v>
      </c>
      <c r="AE51" s="6" t="e">
        <f t="shared" si="16"/>
        <v>#N/A</v>
      </c>
      <c r="AF51" s="6" t="e">
        <f t="shared" si="16"/>
        <v>#N/A</v>
      </c>
      <c r="AG51" s="6" t="e">
        <f t="shared" si="16"/>
        <v>#N/A</v>
      </c>
      <c r="AH51" s="6" t="e">
        <f t="shared" si="16"/>
        <v>#N/A</v>
      </c>
      <c r="AI51" s="6" t="e">
        <f t="shared" si="16"/>
        <v>#N/A</v>
      </c>
      <c r="AJ51" s="6" t="e">
        <f t="shared" si="16"/>
        <v>#N/A</v>
      </c>
    </row>
    <row r="52" spans="1:36" x14ac:dyDescent="0.25">
      <c r="A52" s="20"/>
      <c r="B52" s="9" t="s">
        <v>80</v>
      </c>
      <c r="C52" s="9" t="s">
        <v>143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3"/>
      <c r="T52" s="3" t="s">
        <v>30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6" x14ac:dyDescent="0.25">
      <c r="A53" s="20"/>
      <c r="B53" s="4" t="s">
        <v>80</v>
      </c>
      <c r="C53" s="4" t="s">
        <v>144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/>
      <c r="T53" s="4" t="s">
        <v>31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6" x14ac:dyDescent="0.25">
      <c r="A54" s="20"/>
      <c r="B54" s="1" t="s">
        <v>81</v>
      </c>
      <c r="C54" s="1" t="s">
        <v>145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" t="s">
        <v>16</v>
      </c>
      <c r="T54" s="1" t="s">
        <v>29</v>
      </c>
      <c r="V54" s="6" t="e">
        <f t="shared" ref="V54:AJ54" si="17">_xlfn.RANK.EQ(D54,$D54:$R54,1)</f>
        <v>#N/A</v>
      </c>
      <c r="W54" s="6" t="e">
        <f t="shared" si="17"/>
        <v>#N/A</v>
      </c>
      <c r="X54" s="6" t="e">
        <f t="shared" si="17"/>
        <v>#N/A</v>
      </c>
      <c r="Y54" s="6" t="e">
        <f t="shared" si="17"/>
        <v>#N/A</v>
      </c>
      <c r="Z54" s="6" t="e">
        <f t="shared" si="17"/>
        <v>#N/A</v>
      </c>
      <c r="AA54" s="6" t="e">
        <f t="shared" si="17"/>
        <v>#N/A</v>
      </c>
      <c r="AB54" s="6" t="e">
        <f t="shared" si="17"/>
        <v>#N/A</v>
      </c>
      <c r="AC54" s="6" t="e">
        <f t="shared" si="17"/>
        <v>#N/A</v>
      </c>
      <c r="AD54" s="6" t="e">
        <f t="shared" si="17"/>
        <v>#N/A</v>
      </c>
      <c r="AE54" s="6" t="e">
        <f t="shared" si="17"/>
        <v>#N/A</v>
      </c>
      <c r="AF54" s="6" t="e">
        <f t="shared" si="17"/>
        <v>#N/A</v>
      </c>
      <c r="AG54" s="6" t="e">
        <f t="shared" si="17"/>
        <v>#N/A</v>
      </c>
      <c r="AH54" s="6" t="e">
        <f t="shared" si="17"/>
        <v>#N/A</v>
      </c>
      <c r="AI54" s="6" t="e">
        <f t="shared" si="17"/>
        <v>#N/A</v>
      </c>
      <c r="AJ54" s="6" t="e">
        <f t="shared" si="17"/>
        <v>#N/A</v>
      </c>
    </row>
    <row r="55" spans="1:36" x14ac:dyDescent="0.25">
      <c r="A55" s="20"/>
      <c r="B55" s="9" t="s">
        <v>81</v>
      </c>
      <c r="C55" s="9" t="s">
        <v>146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3"/>
      <c r="T55" s="3" t="s">
        <v>30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6" x14ac:dyDescent="0.25">
      <c r="A56" s="20"/>
      <c r="B56" s="4" t="s">
        <v>81</v>
      </c>
      <c r="C56" s="4" t="s">
        <v>147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/>
      <c r="T56" s="4" t="s">
        <v>31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6" x14ac:dyDescent="0.25">
      <c r="A57" s="20"/>
      <c r="B57" s="1" t="s">
        <v>82</v>
      </c>
      <c r="C57" s="1" t="s">
        <v>148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1" t="s">
        <v>17</v>
      </c>
      <c r="T57" s="1" t="s">
        <v>29</v>
      </c>
      <c r="V57" s="6" t="e">
        <f t="shared" ref="V57:AJ57" si="18">_xlfn.RANK.EQ(D57,$D57:$R57,1)</f>
        <v>#N/A</v>
      </c>
      <c r="W57" s="6" t="e">
        <f t="shared" si="18"/>
        <v>#N/A</v>
      </c>
      <c r="X57" s="6" t="e">
        <f t="shared" si="18"/>
        <v>#N/A</v>
      </c>
      <c r="Y57" s="6" t="e">
        <f t="shared" si="18"/>
        <v>#N/A</v>
      </c>
      <c r="Z57" s="6" t="e">
        <f t="shared" si="18"/>
        <v>#N/A</v>
      </c>
      <c r="AA57" s="6" t="e">
        <f t="shared" si="18"/>
        <v>#N/A</v>
      </c>
      <c r="AB57" s="6" t="e">
        <f t="shared" si="18"/>
        <v>#N/A</v>
      </c>
      <c r="AC57" s="6" t="e">
        <f t="shared" si="18"/>
        <v>#N/A</v>
      </c>
      <c r="AD57" s="6" t="e">
        <f t="shared" si="18"/>
        <v>#N/A</v>
      </c>
      <c r="AE57" s="6" t="e">
        <f t="shared" si="18"/>
        <v>#N/A</v>
      </c>
      <c r="AF57" s="6" t="e">
        <f t="shared" si="18"/>
        <v>#N/A</v>
      </c>
      <c r="AG57" s="6" t="e">
        <f t="shared" si="18"/>
        <v>#N/A</v>
      </c>
      <c r="AH57" s="6" t="e">
        <f t="shared" si="18"/>
        <v>#N/A</v>
      </c>
      <c r="AI57" s="6" t="e">
        <f t="shared" si="18"/>
        <v>#N/A</v>
      </c>
      <c r="AJ57" s="6" t="e">
        <f t="shared" si="18"/>
        <v>#N/A</v>
      </c>
    </row>
    <row r="58" spans="1:36" x14ac:dyDescent="0.25">
      <c r="A58" s="20"/>
      <c r="B58" s="9" t="s">
        <v>82</v>
      </c>
      <c r="C58" s="9" t="s">
        <v>149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3"/>
      <c r="T58" s="3" t="s">
        <v>30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6" x14ac:dyDescent="0.25">
      <c r="A59" s="23"/>
      <c r="B59" s="4" t="s">
        <v>82</v>
      </c>
      <c r="C59" s="4" t="s">
        <v>150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/>
      <c r="T59" s="4" t="s">
        <v>31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6" x14ac:dyDescent="0.25">
      <c r="A60" s="25" t="s">
        <v>34</v>
      </c>
      <c r="B60" s="1" t="s">
        <v>83</v>
      </c>
      <c r="C60" s="1" t="s">
        <v>151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1" t="s">
        <v>18</v>
      </c>
      <c r="T60" s="1" t="s">
        <v>29</v>
      </c>
      <c r="V60" s="6" t="e">
        <f t="shared" ref="V60:AJ60" si="19">_xlfn.RANK.EQ(D60,$D60:$R60,1)</f>
        <v>#N/A</v>
      </c>
      <c r="W60" s="6" t="e">
        <f t="shared" si="19"/>
        <v>#N/A</v>
      </c>
      <c r="X60" s="6" t="e">
        <f t="shared" si="19"/>
        <v>#N/A</v>
      </c>
      <c r="Y60" s="6" t="e">
        <f t="shared" si="19"/>
        <v>#N/A</v>
      </c>
      <c r="Z60" s="6" t="e">
        <f t="shared" si="19"/>
        <v>#N/A</v>
      </c>
      <c r="AA60" s="6" t="e">
        <f t="shared" si="19"/>
        <v>#N/A</v>
      </c>
      <c r="AB60" s="6" t="e">
        <f t="shared" si="19"/>
        <v>#N/A</v>
      </c>
      <c r="AC60" s="6" t="e">
        <f t="shared" si="19"/>
        <v>#N/A</v>
      </c>
      <c r="AD60" s="6" t="e">
        <f t="shared" si="19"/>
        <v>#N/A</v>
      </c>
      <c r="AE60" s="6" t="e">
        <f t="shared" si="19"/>
        <v>#N/A</v>
      </c>
      <c r="AF60" s="6" t="e">
        <f t="shared" si="19"/>
        <v>#N/A</v>
      </c>
      <c r="AG60" s="6" t="e">
        <f t="shared" si="19"/>
        <v>#N/A</v>
      </c>
      <c r="AH60" s="6" t="e">
        <f t="shared" si="19"/>
        <v>#N/A</v>
      </c>
      <c r="AI60" s="6" t="e">
        <f t="shared" si="19"/>
        <v>#N/A</v>
      </c>
      <c r="AJ60" s="6" t="e">
        <f t="shared" si="19"/>
        <v>#N/A</v>
      </c>
    </row>
    <row r="61" spans="1:36" x14ac:dyDescent="0.25">
      <c r="A61" s="20"/>
      <c r="B61" s="9" t="s">
        <v>83</v>
      </c>
      <c r="C61" s="9" t="s">
        <v>152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3"/>
      <c r="T61" s="3" t="s">
        <v>30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6" x14ac:dyDescent="0.25">
      <c r="A62" s="20"/>
      <c r="B62" s="4" t="s">
        <v>83</v>
      </c>
      <c r="C62" s="4" t="s">
        <v>153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/>
      <c r="T62" s="4" t="s">
        <v>31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6" x14ac:dyDescent="0.25">
      <c r="A63" s="20"/>
      <c r="B63" s="1" t="s">
        <v>84</v>
      </c>
      <c r="C63" s="1" t="s">
        <v>154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1" t="s">
        <v>19</v>
      </c>
      <c r="T63" s="1" t="s">
        <v>29</v>
      </c>
      <c r="V63" s="6" t="e">
        <f t="shared" ref="V63:AJ63" si="20">_xlfn.RANK.EQ(D63,$D63:$R63,1)</f>
        <v>#N/A</v>
      </c>
      <c r="W63" s="6" t="e">
        <f t="shared" si="20"/>
        <v>#N/A</v>
      </c>
      <c r="X63" s="6" t="e">
        <f t="shared" si="20"/>
        <v>#N/A</v>
      </c>
      <c r="Y63" s="6" t="e">
        <f t="shared" si="20"/>
        <v>#N/A</v>
      </c>
      <c r="Z63" s="6" t="e">
        <f t="shared" si="20"/>
        <v>#N/A</v>
      </c>
      <c r="AA63" s="6" t="e">
        <f t="shared" si="20"/>
        <v>#N/A</v>
      </c>
      <c r="AB63" s="6" t="e">
        <f t="shared" si="20"/>
        <v>#N/A</v>
      </c>
      <c r="AC63" s="6" t="e">
        <f t="shared" si="20"/>
        <v>#N/A</v>
      </c>
      <c r="AD63" s="6" t="e">
        <f t="shared" si="20"/>
        <v>#N/A</v>
      </c>
      <c r="AE63" s="6" t="e">
        <f t="shared" si="20"/>
        <v>#N/A</v>
      </c>
      <c r="AF63" s="6" t="e">
        <f t="shared" si="20"/>
        <v>#N/A</v>
      </c>
      <c r="AG63" s="6" t="e">
        <f t="shared" si="20"/>
        <v>#N/A</v>
      </c>
      <c r="AH63" s="6" t="e">
        <f t="shared" si="20"/>
        <v>#N/A</v>
      </c>
      <c r="AI63" s="6" t="e">
        <f t="shared" si="20"/>
        <v>#N/A</v>
      </c>
      <c r="AJ63" s="6" t="e">
        <f t="shared" si="20"/>
        <v>#N/A</v>
      </c>
    </row>
    <row r="64" spans="1:36" x14ac:dyDescent="0.25">
      <c r="A64" s="20"/>
      <c r="B64" s="9" t="s">
        <v>84</v>
      </c>
      <c r="C64" s="9" t="s">
        <v>155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3"/>
      <c r="T64" s="3" t="s">
        <v>30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6" x14ac:dyDescent="0.25">
      <c r="A65" s="20"/>
      <c r="B65" s="4" t="s">
        <v>84</v>
      </c>
      <c r="C65" s="4" t="s">
        <v>156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/>
      <c r="T65" s="4" t="s">
        <v>31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6" x14ac:dyDescent="0.25">
      <c r="A66" s="20"/>
      <c r="B66" s="1" t="s">
        <v>85</v>
      </c>
      <c r="C66" s="1" t="s">
        <v>157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" t="s">
        <v>20</v>
      </c>
      <c r="T66" s="1" t="s">
        <v>29</v>
      </c>
      <c r="V66" s="6" t="e">
        <f t="shared" ref="V66:AJ66" si="21">_xlfn.RANK.EQ(D66,$D66:$R66,1)</f>
        <v>#N/A</v>
      </c>
      <c r="W66" s="6" t="e">
        <f t="shared" si="21"/>
        <v>#N/A</v>
      </c>
      <c r="X66" s="6" t="e">
        <f t="shared" si="21"/>
        <v>#N/A</v>
      </c>
      <c r="Y66" s="6" t="e">
        <f t="shared" si="21"/>
        <v>#N/A</v>
      </c>
      <c r="Z66" s="6" t="e">
        <f t="shared" si="21"/>
        <v>#N/A</v>
      </c>
      <c r="AA66" s="6" t="e">
        <f t="shared" si="21"/>
        <v>#N/A</v>
      </c>
      <c r="AB66" s="6" t="e">
        <f t="shared" si="21"/>
        <v>#N/A</v>
      </c>
      <c r="AC66" s="6" t="e">
        <f t="shared" si="21"/>
        <v>#N/A</v>
      </c>
      <c r="AD66" s="6" t="e">
        <f t="shared" si="21"/>
        <v>#N/A</v>
      </c>
      <c r="AE66" s="6" t="e">
        <f t="shared" si="21"/>
        <v>#N/A</v>
      </c>
      <c r="AF66" s="6" t="e">
        <f t="shared" si="21"/>
        <v>#N/A</v>
      </c>
      <c r="AG66" s="6" t="e">
        <f t="shared" si="21"/>
        <v>#N/A</v>
      </c>
      <c r="AH66" s="6" t="e">
        <f t="shared" si="21"/>
        <v>#N/A</v>
      </c>
      <c r="AI66" s="6" t="e">
        <f t="shared" si="21"/>
        <v>#N/A</v>
      </c>
      <c r="AJ66" s="6" t="e">
        <f t="shared" si="21"/>
        <v>#N/A</v>
      </c>
    </row>
    <row r="67" spans="1:36" x14ac:dyDescent="0.25">
      <c r="A67" s="20"/>
      <c r="B67" s="9" t="s">
        <v>85</v>
      </c>
      <c r="C67" s="9" t="s">
        <v>158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3"/>
      <c r="T67" s="3" t="s">
        <v>30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6" x14ac:dyDescent="0.25">
      <c r="A68" s="20"/>
      <c r="B68" s="4" t="s">
        <v>85</v>
      </c>
      <c r="C68" s="4" t="s">
        <v>159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4"/>
      <c r="T68" s="4" t="s">
        <v>31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6" ht="14.45" customHeight="1" x14ac:dyDescent="0.25">
      <c r="A69" s="20"/>
      <c r="B69" s="1" t="s">
        <v>86</v>
      </c>
      <c r="C69" s="1" t="s">
        <v>160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1" t="s">
        <v>21</v>
      </c>
      <c r="T69" s="1" t="s">
        <v>29</v>
      </c>
      <c r="V69" s="6" t="e">
        <f t="shared" ref="V69:AJ69" si="22">_xlfn.RANK.EQ(D69,$D69:$R69,1)</f>
        <v>#N/A</v>
      </c>
      <c r="W69" s="6" t="e">
        <f t="shared" si="22"/>
        <v>#N/A</v>
      </c>
      <c r="X69" s="6" t="e">
        <f t="shared" si="22"/>
        <v>#N/A</v>
      </c>
      <c r="Y69" s="6" t="e">
        <f t="shared" si="22"/>
        <v>#N/A</v>
      </c>
      <c r="Z69" s="6" t="e">
        <f t="shared" si="22"/>
        <v>#N/A</v>
      </c>
      <c r="AA69" s="6" t="e">
        <f t="shared" si="22"/>
        <v>#N/A</v>
      </c>
      <c r="AB69" s="6" t="e">
        <f t="shared" si="22"/>
        <v>#N/A</v>
      </c>
      <c r="AC69" s="6" t="e">
        <f t="shared" si="22"/>
        <v>#N/A</v>
      </c>
      <c r="AD69" s="6" t="e">
        <f t="shared" si="22"/>
        <v>#N/A</v>
      </c>
      <c r="AE69" s="6" t="e">
        <f t="shared" si="22"/>
        <v>#N/A</v>
      </c>
      <c r="AF69" s="6" t="e">
        <f t="shared" si="22"/>
        <v>#N/A</v>
      </c>
      <c r="AG69" s="6" t="e">
        <f t="shared" si="22"/>
        <v>#N/A</v>
      </c>
      <c r="AH69" s="6" t="e">
        <f t="shared" si="22"/>
        <v>#N/A</v>
      </c>
      <c r="AI69" s="6" t="e">
        <f t="shared" si="22"/>
        <v>#N/A</v>
      </c>
      <c r="AJ69" s="6" t="e">
        <f t="shared" si="22"/>
        <v>#N/A</v>
      </c>
    </row>
    <row r="70" spans="1:36" x14ac:dyDescent="0.25">
      <c r="A70" s="20"/>
      <c r="B70" s="9" t="s">
        <v>86</v>
      </c>
      <c r="C70" s="9" t="s">
        <v>161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3"/>
      <c r="T70" s="3" t="s">
        <v>30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6" x14ac:dyDescent="0.25">
      <c r="A71" s="20"/>
      <c r="B71" s="4" t="s">
        <v>86</v>
      </c>
      <c r="C71" s="4" t="s">
        <v>162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4"/>
      <c r="T71" s="4" t="s">
        <v>31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6" x14ac:dyDescent="0.25">
      <c r="A72" s="20"/>
      <c r="B72" s="1" t="s">
        <v>87</v>
      </c>
      <c r="C72" s="1" t="s">
        <v>163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1" t="s">
        <v>22</v>
      </c>
      <c r="T72" s="1" t="s">
        <v>29</v>
      </c>
      <c r="V72" s="6" t="e">
        <f t="shared" ref="V72:AJ72" si="23">_xlfn.RANK.EQ(D72,$D72:$R72,1)</f>
        <v>#N/A</v>
      </c>
      <c r="W72" s="6" t="e">
        <f t="shared" si="23"/>
        <v>#N/A</v>
      </c>
      <c r="X72" s="6" t="e">
        <f t="shared" si="23"/>
        <v>#N/A</v>
      </c>
      <c r="Y72" s="6" t="e">
        <f t="shared" si="23"/>
        <v>#N/A</v>
      </c>
      <c r="Z72" s="6" t="e">
        <f t="shared" si="23"/>
        <v>#N/A</v>
      </c>
      <c r="AA72" s="6" t="e">
        <f t="shared" si="23"/>
        <v>#N/A</v>
      </c>
      <c r="AB72" s="6" t="e">
        <f t="shared" si="23"/>
        <v>#N/A</v>
      </c>
      <c r="AC72" s="6" t="e">
        <f t="shared" si="23"/>
        <v>#N/A</v>
      </c>
      <c r="AD72" s="6" t="e">
        <f t="shared" si="23"/>
        <v>#N/A</v>
      </c>
      <c r="AE72" s="6" t="e">
        <f t="shared" si="23"/>
        <v>#N/A</v>
      </c>
      <c r="AF72" s="6" t="e">
        <f t="shared" si="23"/>
        <v>#N/A</v>
      </c>
      <c r="AG72" s="6" t="e">
        <f t="shared" si="23"/>
        <v>#N/A</v>
      </c>
      <c r="AH72" s="6" t="e">
        <f t="shared" si="23"/>
        <v>#N/A</v>
      </c>
      <c r="AI72" s="6" t="e">
        <f t="shared" si="23"/>
        <v>#N/A</v>
      </c>
      <c r="AJ72" s="6" t="e">
        <f t="shared" si="23"/>
        <v>#N/A</v>
      </c>
    </row>
    <row r="73" spans="1:36" x14ac:dyDescent="0.25">
      <c r="A73" s="20"/>
      <c r="B73" s="9" t="s">
        <v>87</v>
      </c>
      <c r="C73" s="9" t="s">
        <v>164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"/>
      <c r="T73" s="3" t="s">
        <v>30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6" x14ac:dyDescent="0.25">
      <c r="A74" s="20"/>
      <c r="B74" s="4" t="s">
        <v>87</v>
      </c>
      <c r="C74" s="4" t="s">
        <v>165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4"/>
      <c r="T74" s="4" t="s">
        <v>31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6" x14ac:dyDescent="0.25">
      <c r="A75" s="20"/>
      <c r="B75" s="1" t="s">
        <v>88</v>
      </c>
      <c r="C75" s="1" t="s">
        <v>166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1" t="s">
        <v>23</v>
      </c>
      <c r="T75" s="1" t="s">
        <v>29</v>
      </c>
      <c r="V75" s="6" t="e">
        <f t="shared" ref="V75:AJ75" si="24">_xlfn.RANK.EQ(D75,$D75:$R75,1)</f>
        <v>#N/A</v>
      </c>
      <c r="W75" s="6" t="e">
        <f t="shared" si="24"/>
        <v>#N/A</v>
      </c>
      <c r="X75" s="6" t="e">
        <f t="shared" si="24"/>
        <v>#N/A</v>
      </c>
      <c r="Y75" s="6" t="e">
        <f t="shared" si="24"/>
        <v>#N/A</v>
      </c>
      <c r="Z75" s="6" t="e">
        <f t="shared" si="24"/>
        <v>#N/A</v>
      </c>
      <c r="AA75" s="6" t="e">
        <f t="shared" si="24"/>
        <v>#N/A</v>
      </c>
      <c r="AB75" s="6" t="e">
        <f t="shared" si="24"/>
        <v>#N/A</v>
      </c>
      <c r="AC75" s="6" t="e">
        <f t="shared" si="24"/>
        <v>#N/A</v>
      </c>
      <c r="AD75" s="6" t="e">
        <f t="shared" si="24"/>
        <v>#N/A</v>
      </c>
      <c r="AE75" s="6" t="e">
        <f t="shared" si="24"/>
        <v>#N/A</v>
      </c>
      <c r="AF75" s="6" t="e">
        <f t="shared" si="24"/>
        <v>#N/A</v>
      </c>
      <c r="AG75" s="6" t="e">
        <f t="shared" si="24"/>
        <v>#N/A</v>
      </c>
      <c r="AH75" s="6" t="e">
        <f t="shared" si="24"/>
        <v>#N/A</v>
      </c>
      <c r="AI75" s="6" t="e">
        <f t="shared" si="24"/>
        <v>#N/A</v>
      </c>
      <c r="AJ75" s="6" t="e">
        <f t="shared" si="24"/>
        <v>#N/A</v>
      </c>
    </row>
    <row r="76" spans="1:36" x14ac:dyDescent="0.25">
      <c r="A76" s="20"/>
      <c r="B76" s="9" t="s">
        <v>88</v>
      </c>
      <c r="C76" s="9" t="s">
        <v>167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3"/>
      <c r="T76" s="3" t="s">
        <v>30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6" x14ac:dyDescent="0.25">
      <c r="A77" s="20"/>
      <c r="B77" s="4" t="s">
        <v>88</v>
      </c>
      <c r="C77" s="4" t="s">
        <v>168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4"/>
      <c r="T77" s="4" t="s">
        <v>31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6" x14ac:dyDescent="0.25">
      <c r="A78" s="20"/>
      <c r="B78" s="1" t="s">
        <v>89</v>
      </c>
      <c r="C78" s="1" t="s">
        <v>169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1" t="s">
        <v>24</v>
      </c>
      <c r="T78" s="1" t="s">
        <v>29</v>
      </c>
      <c r="V78" s="6" t="e">
        <f t="shared" ref="V78:AJ78" si="25">_xlfn.RANK.EQ(D78,$D78:$R78,1)</f>
        <v>#N/A</v>
      </c>
      <c r="W78" s="6" t="e">
        <f t="shared" si="25"/>
        <v>#N/A</v>
      </c>
      <c r="X78" s="6" t="e">
        <f t="shared" si="25"/>
        <v>#N/A</v>
      </c>
      <c r="Y78" s="6" t="e">
        <f t="shared" si="25"/>
        <v>#N/A</v>
      </c>
      <c r="Z78" s="6" t="e">
        <f t="shared" si="25"/>
        <v>#N/A</v>
      </c>
      <c r="AA78" s="6" t="e">
        <f t="shared" si="25"/>
        <v>#N/A</v>
      </c>
      <c r="AB78" s="6" t="e">
        <f t="shared" si="25"/>
        <v>#N/A</v>
      </c>
      <c r="AC78" s="6" t="e">
        <f t="shared" si="25"/>
        <v>#N/A</v>
      </c>
      <c r="AD78" s="6" t="e">
        <f t="shared" si="25"/>
        <v>#N/A</v>
      </c>
      <c r="AE78" s="6" t="e">
        <f t="shared" si="25"/>
        <v>#N/A</v>
      </c>
      <c r="AF78" s="6" t="e">
        <f t="shared" si="25"/>
        <v>#N/A</v>
      </c>
      <c r="AG78" s="6" t="e">
        <f t="shared" si="25"/>
        <v>#N/A</v>
      </c>
      <c r="AH78" s="6" t="e">
        <f t="shared" si="25"/>
        <v>#N/A</v>
      </c>
      <c r="AI78" s="6" t="e">
        <f t="shared" si="25"/>
        <v>#N/A</v>
      </c>
      <c r="AJ78" s="6" t="e">
        <f t="shared" si="25"/>
        <v>#N/A</v>
      </c>
    </row>
    <row r="79" spans="1:36" x14ac:dyDescent="0.25">
      <c r="A79" s="20"/>
      <c r="B79" s="9" t="s">
        <v>89</v>
      </c>
      <c r="C79" s="9" t="s">
        <v>170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3"/>
      <c r="T79" s="3" t="s">
        <v>30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6" x14ac:dyDescent="0.25">
      <c r="A80" s="20"/>
      <c r="B80" s="4" t="s">
        <v>89</v>
      </c>
      <c r="C80" s="4" t="s">
        <v>171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4"/>
      <c r="T80" s="4" t="s">
        <v>31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6" x14ac:dyDescent="0.25">
      <c r="A81" s="20"/>
      <c r="B81" s="1" t="s">
        <v>90</v>
      </c>
      <c r="C81" s="1" t="s">
        <v>172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1" t="s">
        <v>25</v>
      </c>
      <c r="T81" s="1" t="s">
        <v>29</v>
      </c>
      <c r="V81" s="6" t="e">
        <f t="shared" ref="V81:AJ81" si="26">_xlfn.RANK.EQ(D81,$D81:$R81,1)</f>
        <v>#N/A</v>
      </c>
      <c r="W81" s="6" t="e">
        <f t="shared" si="26"/>
        <v>#N/A</v>
      </c>
      <c r="X81" s="6" t="e">
        <f t="shared" si="26"/>
        <v>#N/A</v>
      </c>
      <c r="Y81" s="6" t="e">
        <f t="shared" si="26"/>
        <v>#N/A</v>
      </c>
      <c r="Z81" s="6" t="e">
        <f t="shared" si="26"/>
        <v>#N/A</v>
      </c>
      <c r="AA81" s="6" t="e">
        <f t="shared" si="26"/>
        <v>#N/A</v>
      </c>
      <c r="AB81" s="6" t="e">
        <f t="shared" si="26"/>
        <v>#N/A</v>
      </c>
      <c r="AC81" s="6" t="e">
        <f t="shared" si="26"/>
        <v>#N/A</v>
      </c>
      <c r="AD81" s="6" t="e">
        <f t="shared" si="26"/>
        <v>#N/A</v>
      </c>
      <c r="AE81" s="6" t="e">
        <f t="shared" si="26"/>
        <v>#N/A</v>
      </c>
      <c r="AF81" s="6" t="e">
        <f t="shared" si="26"/>
        <v>#N/A</v>
      </c>
      <c r="AG81" s="6" t="e">
        <f t="shared" si="26"/>
        <v>#N/A</v>
      </c>
      <c r="AH81" s="6" t="e">
        <f t="shared" si="26"/>
        <v>#N/A</v>
      </c>
      <c r="AI81" s="6" t="e">
        <f t="shared" si="26"/>
        <v>#N/A</v>
      </c>
      <c r="AJ81" s="6" t="e">
        <f t="shared" si="26"/>
        <v>#N/A</v>
      </c>
    </row>
    <row r="82" spans="1:36" x14ac:dyDescent="0.25">
      <c r="A82" s="20"/>
      <c r="B82" s="9" t="s">
        <v>90</v>
      </c>
      <c r="C82" s="9" t="s">
        <v>173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3"/>
      <c r="T82" s="3" t="s">
        <v>30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6" x14ac:dyDescent="0.25">
      <c r="A83" s="20"/>
      <c r="B83" s="4" t="s">
        <v>90</v>
      </c>
      <c r="C83" s="4" t="s">
        <v>174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4"/>
      <c r="T83" s="4" t="s">
        <v>31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6" x14ac:dyDescent="0.25">
      <c r="A84" s="20"/>
      <c r="B84" s="1" t="s">
        <v>91</v>
      </c>
      <c r="C84" s="1" t="s">
        <v>175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1" t="s">
        <v>26</v>
      </c>
      <c r="T84" s="1" t="s">
        <v>29</v>
      </c>
      <c r="V84" s="6" t="e">
        <f t="shared" ref="V84:AJ84" si="27">_xlfn.RANK.EQ(D84,$D84:$R84,1)</f>
        <v>#N/A</v>
      </c>
      <c r="W84" s="6" t="e">
        <f t="shared" si="27"/>
        <v>#N/A</v>
      </c>
      <c r="X84" s="6" t="e">
        <f t="shared" si="27"/>
        <v>#N/A</v>
      </c>
      <c r="Y84" s="6" t="e">
        <f t="shared" si="27"/>
        <v>#N/A</v>
      </c>
      <c r="Z84" s="6" t="e">
        <f t="shared" si="27"/>
        <v>#N/A</v>
      </c>
      <c r="AA84" s="6" t="e">
        <f t="shared" si="27"/>
        <v>#N/A</v>
      </c>
      <c r="AB84" s="6" t="e">
        <f t="shared" si="27"/>
        <v>#N/A</v>
      </c>
      <c r="AC84" s="6" t="e">
        <f t="shared" si="27"/>
        <v>#N/A</v>
      </c>
      <c r="AD84" s="6" t="e">
        <f t="shared" si="27"/>
        <v>#N/A</v>
      </c>
      <c r="AE84" s="6" t="e">
        <f t="shared" si="27"/>
        <v>#N/A</v>
      </c>
      <c r="AF84" s="6" t="e">
        <f t="shared" si="27"/>
        <v>#N/A</v>
      </c>
      <c r="AG84" s="6" t="e">
        <f t="shared" si="27"/>
        <v>#N/A</v>
      </c>
      <c r="AH84" s="6" t="e">
        <f t="shared" si="27"/>
        <v>#N/A</v>
      </c>
      <c r="AI84" s="6" t="e">
        <f t="shared" si="27"/>
        <v>#N/A</v>
      </c>
      <c r="AJ84" s="6" t="e">
        <f t="shared" si="27"/>
        <v>#N/A</v>
      </c>
    </row>
    <row r="85" spans="1:36" x14ac:dyDescent="0.25">
      <c r="A85" s="20"/>
      <c r="B85" s="9" t="s">
        <v>91</v>
      </c>
      <c r="C85" s="9" t="s">
        <v>176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3"/>
      <c r="T85" s="3" t="s">
        <v>30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6" x14ac:dyDescent="0.25">
      <c r="A86" s="20"/>
      <c r="B86" s="4" t="s">
        <v>91</v>
      </c>
      <c r="C86" s="4" t="s">
        <v>177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4"/>
      <c r="T86" s="4" t="s">
        <v>31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6" x14ac:dyDescent="0.25">
      <c r="A87" s="20"/>
      <c r="B87" s="1" t="s">
        <v>92</v>
      </c>
      <c r="C87" s="1" t="s">
        <v>178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1" t="s">
        <v>27</v>
      </c>
      <c r="T87" s="1" t="s">
        <v>29</v>
      </c>
      <c r="V87" s="6" t="e">
        <f t="shared" ref="V87:AJ87" si="28">_xlfn.RANK.EQ(D87,$D87:$R87,1)</f>
        <v>#N/A</v>
      </c>
      <c r="W87" s="6" t="e">
        <f t="shared" si="28"/>
        <v>#N/A</v>
      </c>
      <c r="X87" s="6" t="e">
        <f t="shared" si="28"/>
        <v>#N/A</v>
      </c>
      <c r="Y87" s="6" t="e">
        <f t="shared" si="28"/>
        <v>#N/A</v>
      </c>
      <c r="Z87" s="6" t="e">
        <f t="shared" si="28"/>
        <v>#N/A</v>
      </c>
      <c r="AA87" s="6" t="e">
        <f t="shared" si="28"/>
        <v>#N/A</v>
      </c>
      <c r="AB87" s="6" t="e">
        <f t="shared" si="28"/>
        <v>#N/A</v>
      </c>
      <c r="AC87" s="6" t="e">
        <f t="shared" si="28"/>
        <v>#N/A</v>
      </c>
      <c r="AD87" s="6" t="e">
        <f t="shared" si="28"/>
        <v>#N/A</v>
      </c>
      <c r="AE87" s="6" t="e">
        <f t="shared" si="28"/>
        <v>#N/A</v>
      </c>
      <c r="AF87" s="6" t="e">
        <f t="shared" si="28"/>
        <v>#N/A</v>
      </c>
      <c r="AG87" s="6" t="e">
        <f t="shared" si="28"/>
        <v>#N/A</v>
      </c>
      <c r="AH87" s="6" t="e">
        <f t="shared" si="28"/>
        <v>#N/A</v>
      </c>
      <c r="AI87" s="6" t="e">
        <f t="shared" si="28"/>
        <v>#N/A</v>
      </c>
      <c r="AJ87" s="6" t="e">
        <f t="shared" si="28"/>
        <v>#N/A</v>
      </c>
    </row>
    <row r="88" spans="1:36" x14ac:dyDescent="0.25">
      <c r="A88" s="20"/>
      <c r="B88" s="9" t="s">
        <v>92</v>
      </c>
      <c r="C88" s="9" t="s">
        <v>179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3"/>
      <c r="T88" s="3" t="s">
        <v>30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6" x14ac:dyDescent="0.25">
      <c r="A89" s="20"/>
      <c r="B89" s="4" t="s">
        <v>92</v>
      </c>
      <c r="C89" s="4" t="s">
        <v>180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4"/>
      <c r="T89" s="4" t="s">
        <v>31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6" x14ac:dyDescent="0.25">
      <c r="A90" s="20"/>
      <c r="B90" s="1" t="s">
        <v>93</v>
      </c>
      <c r="C90" s="1" t="s">
        <v>181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1" t="s">
        <v>28</v>
      </c>
      <c r="T90" s="1" t="s">
        <v>29</v>
      </c>
      <c r="V90" s="6" t="e">
        <f t="shared" ref="V90:AJ90" si="29">_xlfn.RANK.EQ(D90,$D90:$R90,1)</f>
        <v>#N/A</v>
      </c>
      <c r="W90" s="6" t="e">
        <f t="shared" si="29"/>
        <v>#N/A</v>
      </c>
      <c r="X90" s="6" t="e">
        <f t="shared" si="29"/>
        <v>#N/A</v>
      </c>
      <c r="Y90" s="6" t="e">
        <f t="shared" si="29"/>
        <v>#N/A</v>
      </c>
      <c r="Z90" s="6" t="e">
        <f t="shared" si="29"/>
        <v>#N/A</v>
      </c>
      <c r="AA90" s="6" t="e">
        <f t="shared" si="29"/>
        <v>#N/A</v>
      </c>
      <c r="AB90" s="6" t="e">
        <f t="shared" si="29"/>
        <v>#N/A</v>
      </c>
      <c r="AC90" s="6" t="e">
        <f t="shared" si="29"/>
        <v>#N/A</v>
      </c>
      <c r="AD90" s="6" t="e">
        <f t="shared" si="29"/>
        <v>#N/A</v>
      </c>
      <c r="AE90" s="6" t="e">
        <f t="shared" si="29"/>
        <v>#N/A</v>
      </c>
      <c r="AF90" s="6" t="e">
        <f t="shared" si="29"/>
        <v>#N/A</v>
      </c>
      <c r="AG90" s="6" t="e">
        <f t="shared" si="29"/>
        <v>#N/A</v>
      </c>
      <c r="AH90" s="6" t="e">
        <f t="shared" si="29"/>
        <v>#N/A</v>
      </c>
      <c r="AI90" s="6" t="e">
        <f t="shared" si="29"/>
        <v>#N/A</v>
      </c>
      <c r="AJ90" s="6" t="e">
        <f t="shared" si="29"/>
        <v>#N/A</v>
      </c>
    </row>
    <row r="91" spans="1:36" x14ac:dyDescent="0.25">
      <c r="A91" s="20"/>
      <c r="B91" s="9" t="s">
        <v>93</v>
      </c>
      <c r="C91" s="9" t="s">
        <v>182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3"/>
      <c r="T91" s="3" t="s">
        <v>30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6" x14ac:dyDescent="0.25">
      <c r="A92" s="23"/>
      <c r="B92" s="4" t="s">
        <v>93</v>
      </c>
      <c r="C92" s="4" t="s">
        <v>183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3"/>
      <c r="T92" s="3" t="s">
        <v>31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6" ht="32.450000000000003" customHeight="1" x14ac:dyDescent="0.25">
      <c r="A93" s="25" t="s">
        <v>40</v>
      </c>
      <c r="B93" s="26"/>
      <c r="C93" s="26"/>
      <c r="D93" s="1">
        <f>COUNTIF(V3:V92,1)</f>
        <v>0</v>
      </c>
      <c r="E93" s="1">
        <f t="shared" ref="E93:R93" si="30">COUNTIF(W3:W92,1)</f>
        <v>0</v>
      </c>
      <c r="F93" s="1">
        <f t="shared" si="30"/>
        <v>0</v>
      </c>
      <c r="G93" s="1">
        <f t="shared" si="30"/>
        <v>0</v>
      </c>
      <c r="H93" s="1">
        <f t="shared" si="30"/>
        <v>0</v>
      </c>
      <c r="I93" s="1">
        <f t="shared" si="30"/>
        <v>0</v>
      </c>
      <c r="J93" s="1">
        <f t="shared" si="30"/>
        <v>0</v>
      </c>
      <c r="K93" s="1">
        <f t="shared" si="30"/>
        <v>0</v>
      </c>
      <c r="L93" s="1">
        <f t="shared" si="30"/>
        <v>0</v>
      </c>
      <c r="M93" s="1">
        <f t="shared" si="30"/>
        <v>0</v>
      </c>
      <c r="N93" s="1">
        <f t="shared" si="30"/>
        <v>0</v>
      </c>
      <c r="O93" s="1">
        <f t="shared" si="30"/>
        <v>0</v>
      </c>
      <c r="P93" s="1">
        <f t="shared" si="30"/>
        <v>0</v>
      </c>
      <c r="Q93" s="1">
        <f t="shared" si="30"/>
        <v>0</v>
      </c>
      <c r="R93" s="1">
        <f t="shared" si="30"/>
        <v>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6" ht="32.450000000000003" customHeight="1" x14ac:dyDescent="0.25">
      <c r="A94" s="20" t="s">
        <v>41</v>
      </c>
      <c r="B94" s="21"/>
      <c r="C94" s="21"/>
      <c r="D94" s="9">
        <f>_xlfn.RANK.EQ(D93,$D93:$R93,0)</f>
        <v>1</v>
      </c>
      <c r="E94" s="9">
        <f t="shared" ref="E94:R94" si="31">_xlfn.RANK.EQ(E93,$D93:$R93,0)</f>
        <v>1</v>
      </c>
      <c r="F94" s="9">
        <f t="shared" si="31"/>
        <v>1</v>
      </c>
      <c r="G94" s="9">
        <f t="shared" si="31"/>
        <v>1</v>
      </c>
      <c r="H94" s="9">
        <f t="shared" si="31"/>
        <v>1</v>
      </c>
      <c r="I94" s="9">
        <f t="shared" si="31"/>
        <v>1</v>
      </c>
      <c r="J94" s="9">
        <f t="shared" si="31"/>
        <v>1</v>
      </c>
      <c r="K94" s="9">
        <f t="shared" si="31"/>
        <v>1</v>
      </c>
      <c r="L94" s="9">
        <f t="shared" si="31"/>
        <v>1</v>
      </c>
      <c r="M94" s="9">
        <f t="shared" si="31"/>
        <v>1</v>
      </c>
      <c r="N94" s="9">
        <f t="shared" si="31"/>
        <v>1</v>
      </c>
      <c r="O94" s="9">
        <f t="shared" si="31"/>
        <v>1</v>
      </c>
      <c r="P94" s="9">
        <f t="shared" si="31"/>
        <v>1</v>
      </c>
      <c r="Q94" s="9">
        <f t="shared" si="31"/>
        <v>1</v>
      </c>
      <c r="R94" s="9">
        <f t="shared" si="31"/>
        <v>1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6" ht="32.450000000000003" customHeight="1" x14ac:dyDescent="0.25">
      <c r="A95" s="22" t="s">
        <v>42</v>
      </c>
      <c r="B95" s="21"/>
      <c r="C95" s="21"/>
      <c r="D95" s="13" t="e">
        <f>AVERAGE(V3:V92)</f>
        <v>#N/A</v>
      </c>
      <c r="E95" s="13" t="e">
        <f t="shared" ref="E95:R95" si="32">AVERAGE(W3:W92)</f>
        <v>#N/A</v>
      </c>
      <c r="F95" s="13" t="e">
        <f t="shared" si="32"/>
        <v>#N/A</v>
      </c>
      <c r="G95" s="13" t="e">
        <f t="shared" si="32"/>
        <v>#N/A</v>
      </c>
      <c r="H95" s="13" t="e">
        <f t="shared" si="32"/>
        <v>#N/A</v>
      </c>
      <c r="I95" s="13" t="e">
        <f t="shared" si="32"/>
        <v>#N/A</v>
      </c>
      <c r="J95" s="13" t="e">
        <f t="shared" si="32"/>
        <v>#N/A</v>
      </c>
      <c r="K95" s="13" t="e">
        <f t="shared" si="32"/>
        <v>#N/A</v>
      </c>
      <c r="L95" s="13" t="e">
        <f t="shared" si="32"/>
        <v>#N/A</v>
      </c>
      <c r="M95" s="13" t="e">
        <f t="shared" si="32"/>
        <v>#N/A</v>
      </c>
      <c r="N95" s="13" t="e">
        <f t="shared" si="32"/>
        <v>#N/A</v>
      </c>
      <c r="O95" s="13" t="e">
        <f t="shared" si="32"/>
        <v>#N/A</v>
      </c>
      <c r="P95" s="13" t="e">
        <f t="shared" si="32"/>
        <v>#N/A</v>
      </c>
      <c r="Q95" s="13" t="e">
        <f t="shared" si="32"/>
        <v>#N/A</v>
      </c>
      <c r="R95" s="13" t="e">
        <f t="shared" si="32"/>
        <v>#N/A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6" ht="32.450000000000003" customHeight="1" x14ac:dyDescent="0.25">
      <c r="A96" s="23" t="s">
        <v>43</v>
      </c>
      <c r="B96" s="24"/>
      <c r="C96" s="24"/>
      <c r="D96" s="4" t="e">
        <f>_xlfn.RANK.EQ(D95,$D95:$R95,1)</f>
        <v>#N/A</v>
      </c>
      <c r="E96" s="4" t="e">
        <f t="shared" ref="E96:R96" si="33">_xlfn.RANK.EQ(E95,$D95:$R95,1)</f>
        <v>#N/A</v>
      </c>
      <c r="F96" s="4" t="e">
        <f t="shared" si="33"/>
        <v>#N/A</v>
      </c>
      <c r="G96" s="4" t="e">
        <f t="shared" si="33"/>
        <v>#N/A</v>
      </c>
      <c r="H96" s="4" t="e">
        <f t="shared" si="33"/>
        <v>#N/A</v>
      </c>
      <c r="I96" s="4" t="e">
        <f t="shared" si="33"/>
        <v>#N/A</v>
      </c>
      <c r="J96" s="4" t="e">
        <f t="shared" si="33"/>
        <v>#N/A</v>
      </c>
      <c r="K96" s="4" t="e">
        <f t="shared" si="33"/>
        <v>#N/A</v>
      </c>
      <c r="L96" s="4" t="e">
        <f t="shared" si="33"/>
        <v>#N/A</v>
      </c>
      <c r="M96" s="4" t="e">
        <f t="shared" si="33"/>
        <v>#N/A</v>
      </c>
      <c r="N96" s="4" t="e">
        <f t="shared" si="33"/>
        <v>#N/A</v>
      </c>
      <c r="O96" s="4" t="e">
        <f t="shared" si="33"/>
        <v>#N/A</v>
      </c>
      <c r="P96" s="4" t="e">
        <f t="shared" si="33"/>
        <v>#N/A</v>
      </c>
      <c r="Q96" s="4" t="e">
        <f t="shared" si="33"/>
        <v>#N/A</v>
      </c>
      <c r="R96" s="4" t="e">
        <f t="shared" si="33"/>
        <v>#N/A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</sheetData>
  <mergeCells count="9">
    <mergeCell ref="A1:R1"/>
    <mergeCell ref="A94:C94"/>
    <mergeCell ref="A95:C95"/>
    <mergeCell ref="A96:C96"/>
    <mergeCell ref="A93:C93"/>
    <mergeCell ref="A60:A92"/>
    <mergeCell ref="A30:A59"/>
    <mergeCell ref="A3:A5"/>
    <mergeCell ref="A9:A29"/>
  </mergeCells>
  <phoneticPr fontId="3" type="noConversion"/>
  <conditionalFormatting sqref="D3:R3">
    <cfRule type="top10" dxfId="33" priority="6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>
      <selection activeCell="B2" sqref="B2:O2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184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348</v>
      </c>
      <c r="G2" s="14" t="s">
        <v>349</v>
      </c>
      <c r="H2" s="14" t="s">
        <v>350</v>
      </c>
      <c r="I2" s="14" t="s">
        <v>351</v>
      </c>
      <c r="J2" s="14" t="s">
        <v>352</v>
      </c>
      <c r="K2" s="14" t="s">
        <v>353</v>
      </c>
      <c r="L2" s="14" t="s">
        <v>354</v>
      </c>
      <c r="M2" s="14" t="s">
        <v>355</v>
      </c>
      <c r="N2" s="14" t="s">
        <v>356</v>
      </c>
      <c r="O2" s="14" t="s">
        <v>357</v>
      </c>
    </row>
    <row r="3" spans="1:15" x14ac:dyDescent="0.25">
      <c r="A3" s="12" t="s">
        <v>185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2"/>
    </row>
    <row r="4" spans="1:15" x14ac:dyDescent="0.25">
      <c r="A4" s="15" t="s">
        <v>186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</row>
    <row r="5" spans="1:15" x14ac:dyDescent="0.25">
      <c r="A5" s="15" t="s">
        <v>187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5"/>
    </row>
    <row r="6" spans="1:15" x14ac:dyDescent="0.25">
      <c r="A6" s="15" t="s">
        <v>188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15"/>
    </row>
    <row r="7" spans="1:15" x14ac:dyDescent="0.25">
      <c r="A7" s="15" t="s">
        <v>189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15"/>
    </row>
    <row r="8" spans="1:15" x14ac:dyDescent="0.25">
      <c r="A8" s="15" t="s">
        <v>190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15"/>
    </row>
    <row r="9" spans="1:15" x14ac:dyDescent="0.25">
      <c r="A9" s="15" t="s">
        <v>191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5"/>
    </row>
    <row r="10" spans="1:15" x14ac:dyDescent="0.25">
      <c r="A10" s="15" t="s">
        <v>192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5"/>
    </row>
    <row r="11" spans="1:15" x14ac:dyDescent="0.25">
      <c r="A11" s="15" t="s">
        <v>193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5"/>
    </row>
    <row r="12" spans="1:15" x14ac:dyDescent="0.25">
      <c r="A12" s="15" t="s">
        <v>194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5"/>
    </row>
    <row r="13" spans="1:15" x14ac:dyDescent="0.25">
      <c r="A13" s="15" t="s">
        <v>195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5"/>
    </row>
    <row r="14" spans="1:15" x14ac:dyDescent="0.25">
      <c r="A14" s="15" t="s">
        <v>196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5"/>
    </row>
    <row r="15" spans="1:15" x14ac:dyDescent="0.25">
      <c r="A15" s="15" t="s">
        <v>197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5"/>
    </row>
    <row r="16" spans="1:15" x14ac:dyDescent="0.25">
      <c r="A16" s="15" t="s">
        <v>198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5"/>
    </row>
    <row r="17" spans="1:15" x14ac:dyDescent="0.25">
      <c r="A17" s="15" t="s">
        <v>199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5"/>
    </row>
    <row r="18" spans="1:15" x14ac:dyDescent="0.25">
      <c r="A18" s="15" t="s">
        <v>200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5"/>
    </row>
    <row r="19" spans="1:15" x14ac:dyDescent="0.25">
      <c r="A19" s="15" t="s">
        <v>201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5"/>
    </row>
    <row r="20" spans="1:15" x14ac:dyDescent="0.25">
      <c r="A20" s="15" t="s">
        <v>202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5"/>
    </row>
    <row r="21" spans="1:15" x14ac:dyDescent="0.25">
      <c r="A21" s="15" t="s">
        <v>203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5"/>
    </row>
    <row r="22" spans="1:15" x14ac:dyDescent="0.25">
      <c r="A22" s="15" t="s">
        <v>204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5"/>
    </row>
    <row r="23" spans="1:15" x14ac:dyDescent="0.25">
      <c r="A23" s="15" t="s">
        <v>205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5"/>
    </row>
    <row r="24" spans="1:15" x14ac:dyDescent="0.25">
      <c r="A24" s="15" t="s">
        <v>206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5"/>
    </row>
    <row r="25" spans="1:15" x14ac:dyDescent="0.25">
      <c r="A25" s="15" t="s">
        <v>207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5"/>
    </row>
    <row r="26" spans="1:15" x14ac:dyDescent="0.25">
      <c r="A26" s="15" t="s">
        <v>208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5"/>
    </row>
    <row r="27" spans="1:15" x14ac:dyDescent="0.25">
      <c r="A27" s="15" t="s">
        <v>209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5"/>
    </row>
    <row r="28" spans="1:15" x14ac:dyDescent="0.25">
      <c r="A28" s="15" t="s">
        <v>210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5"/>
    </row>
    <row r="29" spans="1:15" x14ac:dyDescent="0.25">
      <c r="A29" s="15" t="s">
        <v>211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5"/>
    </row>
    <row r="30" spans="1:15" x14ac:dyDescent="0.25">
      <c r="A30" s="15" t="s">
        <v>212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5"/>
    </row>
    <row r="31" spans="1:15" x14ac:dyDescent="0.25">
      <c r="A31" s="15" t="s">
        <v>213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5"/>
    </row>
    <row r="32" spans="1:15" x14ac:dyDescent="0.25">
      <c r="A32" s="11" t="s">
        <v>214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>
      <selection activeCell="B2" sqref="B2:O2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215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348</v>
      </c>
      <c r="G2" s="14" t="s">
        <v>349</v>
      </c>
      <c r="H2" s="14" t="s">
        <v>350</v>
      </c>
      <c r="I2" s="14" t="s">
        <v>351</v>
      </c>
      <c r="J2" s="14" t="s">
        <v>352</v>
      </c>
      <c r="K2" s="14" t="s">
        <v>353</v>
      </c>
      <c r="L2" s="14" t="s">
        <v>354</v>
      </c>
      <c r="M2" s="14" t="s">
        <v>355</v>
      </c>
      <c r="N2" s="14" t="s">
        <v>356</v>
      </c>
      <c r="O2" s="14" t="s">
        <v>357</v>
      </c>
    </row>
    <row r="3" spans="1:15" x14ac:dyDescent="0.25">
      <c r="A3" s="12" t="s">
        <v>216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15" t="s">
        <v>217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5">
      <c r="A5" s="15" t="s">
        <v>218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15" t="s">
        <v>219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15" t="s">
        <v>220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15" t="s">
        <v>221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15" t="s">
        <v>222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5">
      <c r="A10" s="15" t="s">
        <v>223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5">
      <c r="A11" s="15" t="s">
        <v>224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15" t="s">
        <v>225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5">
      <c r="A13" s="15" t="s">
        <v>226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5">
      <c r="A14" s="15" t="s">
        <v>227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15" t="s">
        <v>228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15" t="s">
        <v>229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A17" s="15" t="s">
        <v>230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15" t="s">
        <v>231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15" t="s">
        <v>232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15" t="s">
        <v>233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15" t="s">
        <v>234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15" t="s">
        <v>235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5">
      <c r="A23" s="15" t="s">
        <v>236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5">
      <c r="A24" s="15" t="s">
        <v>237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15" t="s">
        <v>238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25">
      <c r="A26" s="15" t="s">
        <v>239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25">
      <c r="A27" s="15" t="s">
        <v>240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5">
      <c r="A28" s="15" t="s">
        <v>241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25">
      <c r="A29" s="15" t="s">
        <v>242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25">
      <c r="A30" s="15" t="s">
        <v>243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25">
      <c r="A31" s="15" t="s">
        <v>244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25">
      <c r="A32" s="11" t="s">
        <v>245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zoomScaleNormal="100" workbookViewId="0">
      <selection activeCell="B2" sqref="B2:O2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11" t="s">
        <v>246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348</v>
      </c>
      <c r="G2" s="14" t="s">
        <v>349</v>
      </c>
      <c r="H2" s="14" t="s">
        <v>350</v>
      </c>
      <c r="I2" s="14" t="s">
        <v>351</v>
      </c>
      <c r="J2" s="14" t="s">
        <v>352</v>
      </c>
      <c r="K2" s="14" t="s">
        <v>353</v>
      </c>
      <c r="L2" s="14" t="s">
        <v>354</v>
      </c>
      <c r="M2" s="14" t="s">
        <v>355</v>
      </c>
      <c r="N2" s="14" t="s">
        <v>356</v>
      </c>
      <c r="O2" s="14" t="s">
        <v>357</v>
      </c>
    </row>
    <row r="3" spans="1:15" x14ac:dyDescent="0.25">
      <c r="A3" s="12" t="s">
        <v>247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5" t="s">
        <v>248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15" t="s">
        <v>249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15" t="s">
        <v>250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15" t="s">
        <v>251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15" t="s">
        <v>252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15" t="s">
        <v>253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15" t="s">
        <v>254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15" t="s">
        <v>255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15" t="s">
        <v>256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15" t="s">
        <v>257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15" t="s">
        <v>258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15" t="s">
        <v>259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15" t="s">
        <v>260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15" t="s">
        <v>261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15" t="s">
        <v>262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15" t="s">
        <v>263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15" t="s">
        <v>264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15" t="s">
        <v>265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15" t="s">
        <v>266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15" t="s">
        <v>267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15" t="s">
        <v>268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15" t="s">
        <v>269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15" t="s">
        <v>270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15" t="s">
        <v>271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15" t="s">
        <v>272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15" t="s">
        <v>273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15" t="s">
        <v>274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15" t="s">
        <v>275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11" t="s">
        <v>276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selection activeCell="B2" sqref="B2:O2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62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277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348</v>
      </c>
      <c r="G2" s="14" t="s">
        <v>349</v>
      </c>
      <c r="H2" s="14" t="s">
        <v>350</v>
      </c>
      <c r="I2" s="14" t="s">
        <v>351</v>
      </c>
      <c r="J2" s="14" t="s">
        <v>352</v>
      </c>
      <c r="K2" s="14" t="s">
        <v>353</v>
      </c>
      <c r="L2" s="14" t="s">
        <v>354</v>
      </c>
      <c r="M2" s="14" t="s">
        <v>355</v>
      </c>
      <c r="N2" s="14" t="s">
        <v>356</v>
      </c>
      <c r="O2" s="14" t="s">
        <v>357</v>
      </c>
    </row>
    <row r="3" spans="1:15" x14ac:dyDescent="0.25">
      <c r="A3" s="1" t="s">
        <v>278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9" t="s">
        <v>279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x14ac:dyDescent="0.25">
      <c r="A5" s="9" t="s">
        <v>280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25">
      <c r="A6" s="9" t="s">
        <v>281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x14ac:dyDescent="0.25">
      <c r="A7" s="9" t="s">
        <v>282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 x14ac:dyDescent="0.25">
      <c r="A8" s="9" t="s">
        <v>283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x14ac:dyDescent="0.25">
      <c r="A9" s="9" t="s">
        <v>284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x14ac:dyDescent="0.25">
      <c r="A10" s="9" t="s">
        <v>285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x14ac:dyDescent="0.25">
      <c r="A11" s="9" t="s">
        <v>286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9" t="s">
        <v>287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25">
      <c r="A13" s="9" t="s">
        <v>288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25">
      <c r="A14" s="9" t="s">
        <v>289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x14ac:dyDescent="0.25">
      <c r="A15" s="9" t="s">
        <v>290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25">
      <c r="A16" s="9" t="s">
        <v>291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25">
      <c r="A17" s="9" t="s">
        <v>292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25">
      <c r="A18" s="9" t="s">
        <v>293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5">
      <c r="A19" s="9" t="s">
        <v>294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25">
      <c r="A20" s="9" t="s">
        <v>295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9" t="s">
        <v>296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9" t="s">
        <v>297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5">
      <c r="A23" s="9" t="s">
        <v>298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25">
      <c r="A24" s="9" t="s">
        <v>299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25">
      <c r="A25" s="9" t="s">
        <v>300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25">
      <c r="A26" s="9" t="s">
        <v>301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25">
      <c r="A27" s="9" t="s">
        <v>302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25">
      <c r="A28" s="9" t="s">
        <v>303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25">
      <c r="A29" s="9" t="s">
        <v>304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25">
      <c r="A30" s="9" t="s">
        <v>305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25">
      <c r="A31" s="9" t="s">
        <v>306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25">
      <c r="A32" s="4" t="s">
        <v>307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>
      <selection activeCell="K26" sqref="K26"/>
    </sheetView>
  </sheetViews>
  <sheetFormatPr defaultRowHeight="15" x14ac:dyDescent="0.25"/>
  <cols>
    <col min="1" max="1" width="8.7109375" style="6" bestFit="1" customWidth="1"/>
    <col min="2" max="9" width="15.140625" style="6" bestFit="1" customWidth="1"/>
    <col min="10" max="15" width="16.140625" style="6" bestFit="1" customWidth="1"/>
  </cols>
  <sheetData>
    <row r="1" spans="1:15" ht="15.75" thickBot="1" x14ac:dyDescent="0.3">
      <c r="A1" s="27" t="s">
        <v>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4" t="s">
        <v>308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348</v>
      </c>
      <c r="G2" s="14" t="s">
        <v>349</v>
      </c>
      <c r="H2" s="14" t="s">
        <v>350</v>
      </c>
      <c r="I2" s="14" t="s">
        <v>351</v>
      </c>
      <c r="J2" s="14" t="s">
        <v>352</v>
      </c>
      <c r="K2" s="14" t="s">
        <v>353</v>
      </c>
      <c r="L2" s="14" t="s">
        <v>354</v>
      </c>
      <c r="M2" s="14" t="s">
        <v>355</v>
      </c>
      <c r="N2" s="14" t="s">
        <v>356</v>
      </c>
      <c r="O2" s="14" t="s">
        <v>357</v>
      </c>
    </row>
    <row r="3" spans="1:15" x14ac:dyDescent="0.25">
      <c r="A3" s="1" t="s">
        <v>309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9" t="s">
        <v>310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 t="s">
        <v>311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 t="s">
        <v>312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9" t="s">
        <v>313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9" t="s">
        <v>314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9" t="s">
        <v>315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9" t="s">
        <v>316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9" t="s">
        <v>317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9" t="s">
        <v>318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9" t="s">
        <v>319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9" t="s">
        <v>320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9" t="s">
        <v>321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9" t="s">
        <v>322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9" t="s">
        <v>323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9" t="s">
        <v>324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9" t="s">
        <v>325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9" t="s">
        <v>326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9" t="s">
        <v>327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9" t="s">
        <v>328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9" t="s">
        <v>329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9" t="s">
        <v>330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9" t="s">
        <v>331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5">
      <c r="A26" s="9" t="s">
        <v>332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9" t="s">
        <v>333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5">
      <c r="A28" s="9" t="s">
        <v>334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5">
      <c r="A29" s="9" t="s">
        <v>335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25">
      <c r="A30" s="9" t="s">
        <v>336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9" t="s">
        <v>337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25">
      <c r="A32" s="4" t="s">
        <v>338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A19" sqref="A19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339</v>
      </c>
    </row>
    <row r="2" spans="1:1" x14ac:dyDescent="0.25">
      <c r="A2" t="s">
        <v>340</v>
      </c>
    </row>
    <row r="3" spans="1:1" x14ac:dyDescent="0.25">
      <c r="A3" t="s">
        <v>341</v>
      </c>
    </row>
    <row r="4" spans="1:1" x14ac:dyDescent="0.25">
      <c r="A4" t="s">
        <v>342</v>
      </c>
    </row>
    <row r="5" spans="1:1" x14ac:dyDescent="0.25">
      <c r="A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2025-12-29T19:20:15Z</dcterms:modified>
</cp:coreProperties>
</file>