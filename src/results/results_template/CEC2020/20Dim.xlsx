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\results_template\CEC2020\"/>
    </mc:Choice>
  </mc:AlternateContent>
  <xr:revisionPtr revIDLastSave="0" documentId="13_ncr:1_{AAFCDCDB-0BF5-484E-85D4-44A4A1CA3B6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AJ3" i="2"/>
  <c r="R35" i="2" s="1"/>
  <c r="R36" i="2" s="1"/>
  <c r="AI3" i="2"/>
  <c r="Q35" i="2" s="1"/>
  <c r="Q36" i="2" s="1"/>
  <c r="AH3" i="2"/>
  <c r="P35" i="2" s="1"/>
  <c r="P36" i="2" s="1"/>
  <c r="AG3" i="2"/>
  <c r="AF3" i="2"/>
  <c r="AE3" i="2"/>
  <c r="AD3" i="2"/>
  <c r="AC3" i="2"/>
  <c r="AB3" i="2"/>
  <c r="AA3" i="2"/>
  <c r="I35" i="2" s="1"/>
  <c r="Z3" i="2"/>
  <c r="Y3" i="2"/>
  <c r="X3" i="2"/>
  <c r="W3" i="2"/>
  <c r="V3" i="2"/>
  <c r="L33" i="2" l="1"/>
  <c r="N33" i="2"/>
  <c r="K33" i="2"/>
  <c r="D33" i="2"/>
  <c r="E33" i="2"/>
  <c r="M33" i="2"/>
  <c r="F33" i="2"/>
  <c r="H33" i="2"/>
  <c r="D34" i="2" s="1"/>
  <c r="P33" i="2"/>
  <c r="J35" i="2"/>
  <c r="G33" i="2"/>
  <c r="O33" i="2"/>
  <c r="I33" i="2"/>
  <c r="Q33" i="2"/>
  <c r="J33" i="2"/>
  <c r="R33" i="2"/>
  <c r="R34" i="2" s="1"/>
  <c r="K35" i="2"/>
  <c r="H35" i="2"/>
  <c r="D35" i="2"/>
  <c r="L35" i="2"/>
  <c r="E35" i="2"/>
  <c r="M35" i="2"/>
  <c r="F35" i="2"/>
  <c r="N35" i="2"/>
  <c r="N36" i="2" s="1"/>
  <c r="G35" i="2"/>
  <c r="O35" i="2"/>
  <c r="O36" i="2" s="1"/>
  <c r="E34" i="2" l="1"/>
  <c r="M34" i="2"/>
  <c r="J34" i="2"/>
  <c r="G34" i="2"/>
  <c r="N34" i="2"/>
  <c r="P34" i="2"/>
  <c r="F34" i="2"/>
  <c r="O34" i="2"/>
  <c r="H34" i="2"/>
  <c r="I34" i="2"/>
  <c r="Q34" i="2"/>
  <c r="K34" i="2"/>
  <c r="L34" i="2"/>
  <c r="F36" i="2"/>
  <c r="L36" i="2"/>
  <c r="M36" i="2"/>
  <c r="D36" i="2"/>
  <c r="K36" i="2"/>
  <c r="E36" i="2"/>
  <c r="H36" i="2"/>
  <c r="I36" i="2"/>
  <c r="J36" i="2"/>
  <c r="G36" i="2"/>
</calcChain>
</file>

<file path=xl/sharedStrings.xml><?xml version="1.0" encoding="utf-8"?>
<sst xmlns="http://schemas.openxmlformats.org/spreadsheetml/2006/main" count="262" uniqueCount="159">
  <si>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</si>
  <si>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</si>
  <si>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</si>
  <si>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</si>
  <si>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</si>
  <si>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</si>
  <si>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</si>
  <si>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</si>
  <si>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</si>
  <si>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</si>
  <si>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</si>
  <si>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</si>
  <si>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</si>
  <si>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Unimodal
Functions</t>
  </si>
  <si>
    <t>Functions</t>
  </si>
  <si>
    <t>Column1</t>
  </si>
  <si>
    <t>Column2</t>
  </si>
  <si>
    <t>Hybrid
Function</t>
  </si>
  <si>
    <t>Basic
Functions</t>
  </si>
  <si>
    <t>Composition
Function</t>
  </si>
  <si>
    <t>Total number of 
best answers</t>
  </si>
  <si>
    <t>Rank by total number of 
best answers</t>
  </si>
  <si>
    <t>Average rating in the set</t>
  </si>
  <si>
    <t>Rank based on 
the average in the set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</si>
  <si>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</si>
  <si>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</si>
  <si>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</si>
  <si>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</si>
  <si>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</si>
  <si>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</si>
  <si>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</si>
  <si>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</si>
  <si>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</si>
  <si>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</si>
  <si>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</si>
  <si>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</si>
  <si>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</si>
  <si>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</si>
  <si>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</si>
  <si>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</si>
  <si>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</si>
  <si>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</si>
  <si>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</si>
  <si>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</si>
  <si>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</si>
  <si>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</si>
  <si>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</si>
  <si>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</si>
  <si>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</si>
  <si>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</si>
  <si>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</si>
  <si>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</si>
  <si>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</si>
  <si>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</si>
  <si>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</si>
  <si>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</si>
  <si>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</si>
  <si>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</si>
  <si>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</si>
  <si>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</si>
  <si>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</si>
  <si>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</si>
  <si>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</si>
  <si>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</si>
  <si>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</si>
  <si>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</si>
  <si>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</si>
  <si>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</si>
  <si>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</si>
  <si>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</si>
  <si>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</si>
  <si>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</si>
  <si>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</si>
  <si>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</si>
  <si>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</si>
  <si>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</si>
  <si>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</si>
  <si>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</si>
  <si>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</si>
  <si>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</si>
  <si>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</si>
  <si>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</si>
  <si>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</si>
  <si>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</si>
  <si>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</si>
  <si>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</si>
  <si>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</si>
  <si>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</si>
  <si>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</si>
  <si>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</si>
  <si>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</si>
  <si>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</si>
  <si>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</si>
  <si>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</si>
  <si>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</si>
  <si>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</si>
  <si>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</si>
  <si>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</si>
  <si>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</si>
  <si>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</si>
  <si>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</si>
  <si>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</si>
  <si>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</si>
  <si>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</si>
  <si>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</si>
  <si>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</si>
  <si>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</si>
  <si>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</si>
  <si>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</si>
  <si>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</si>
  <si>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</si>
  <si>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</si>
  <si>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</si>
  <si>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</si>
  <si>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</si>
  <si>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</si>
  <si>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</si>
  <si>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</si>
  <si>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</si>
  <si>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</si>
  <si>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</si>
  <si>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</si>
  <si>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</si>
  <si>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</si>
  <si>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</si>
  <si>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</si>
  <si>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</si>
  <si>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</si>
  <si>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</si>
  <si>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</si>
  <si>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</si>
  <si>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</si>
  <si>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</si>
  <si>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</si>
  <si>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</si>
  <si>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</si>
  <si>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</si>
  <si>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</si>
  <si>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</si>
  <si>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</si>
  <si>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</si>
  <si>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</si>
  <si>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</si>
  <si>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</si>
  <si>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</si>
  <si>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</si>
  <si>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</si>
  <si>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</si>
  <si>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</si>
  <si>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</si>
  <si>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</si>
  <si>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</si>
  <si>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</si>
  <si>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Comparison of optimization results for the CEC benchmark functions 2020 (20 Dim)</t>
  </si>
  <si>
    <t>P-value of the T-test analysis for the CEC benchmark functions 2020 (20 Dim)</t>
  </si>
  <si>
    <t>H-value of the T-test analysis for the CEC benchmark functions 2020 (20 Dim)</t>
  </si>
  <si>
    <t>P-value of the Wilcoxon analysis for the CEC benchmark functions 2020 (20 Dim)</t>
  </si>
  <si>
    <t>H-value of the Wilcoxon analysis for the CEC benchmark functions 2020 (20 Dim)</t>
  </si>
  <si>
    <t>State of the Wilcoxon analysis for the CEC benchmark functions 2020 (20 Dim)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</si>
</sst>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11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4" xfId="0" applyNumberFormat="1" applyBorder="1" applyAlignment="1">
      <alignment horizontal="left" vertical="top"/>
    </xf>
    <xf numFmtId="1" fontId="0" fillId="0" borderId="6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19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32" totalsRowShown="0" headerRowDxfId="18" dataDxfId="17" tableBorderDxfId="16">
  <autoFilter ref="S2:T32" xr:uid="{00000000-0009-0000-0100-000001000000}"/>
  <tableColumns count="2">
    <tableColumn id="1" xr3:uid="{00000000-0010-0000-0000-000001000000}" name="Column1" dataDxfId="15"/>
    <tableColumn id="2" xr3:uid="{00000000-0010-0000-0000-000002000000}" name="Column2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workbookViewId="0">
      <selection activeCell="F15" sqref="F15"/>
    </sheetView>
  </sheetViews>
  <sheetFormatPr defaultColWidth="8.85546875" defaultRowHeight="15" x14ac:dyDescent="0.25"/>
  <cols>
    <col min="1" max="1" width="11.140625" style="7" bestFit="1" customWidth="1"/>
    <col min="2" max="2" width="4" style="7" bestFit="1" customWidth="1"/>
    <col min="3" max="3" width="6" style="7" bestFit="1" customWidth="1"/>
    <col min="4" max="12" width="11.28515625" style="7" bestFit="1" customWidth="1"/>
    <col min="13" max="18" width="12.28515625" style="7" bestFit="1" customWidth="1"/>
    <col min="19" max="20" width="11.140625" style="7" bestFit="1" customWidth="1"/>
    <col min="21" max="21" width="8.85546875" style="7"/>
    <col min="22" max="30" width="11.28515625" bestFit="1" customWidth="1"/>
    <col min="31" max="32" width="12.28515625" bestFit="1" customWidth="1"/>
    <col min="33" max="36" width="12.28515625" style="7" bestFit="1" customWidth="1"/>
    <col min="37" max="16384" width="8.85546875" style="7"/>
  </cols>
  <sheetData>
    <row r="1" spans="1:36" ht="15.75" thickBot="1" x14ac:dyDescent="0.3">
      <c r="A1" s="21" t="s">
        <v>153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6" x14ac:dyDescent="0.25">
      <c r="A2" s="1" t="s">
        <v>14</v>
      </c>
      <c r="B2" s="1"/>
      <c r="C2" s="1"/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4" t="s">
        <v>15</v>
      </c>
      <c r="T2" s="4" t="s">
        <v>16</v>
      </c>
      <c r="V2" s="1" t="str">
        <f>D2</f>
        <v>Algorithm 1</v>
      </c>
      <c r="W2" s="1" t="str">
        <f t="shared" ref="W2:AJ2" si="0">E2</f>
        <v>Algorithm 2</v>
      </c>
      <c r="X2" s="1" t="str">
        <f t="shared" si="0"/>
        <v>Algorithm 3</v>
      </c>
      <c r="Y2" s="1" t="str">
        <f t="shared" si="0"/>
        <v>Algorithm 4</v>
      </c>
      <c r="Z2" s="1" t="str">
        <f t="shared" si="0"/>
        <v>Algorithm 5</v>
      </c>
      <c r="AA2" s="1" t="str">
        <f t="shared" si="0"/>
        <v>Algorithm 6</v>
      </c>
      <c r="AB2" s="1" t="str">
        <f t="shared" si="0"/>
        <v>Algorithm 7</v>
      </c>
      <c r="AC2" s="1" t="str">
        <f t="shared" si="0"/>
        <v>Algorithm 8</v>
      </c>
      <c r="AD2" s="1" t="str">
        <f t="shared" si="0"/>
        <v>Algorithm 9</v>
      </c>
      <c r="AE2" s="1" t="str">
        <f t="shared" si="0"/>
        <v>Algorithm 10</v>
      </c>
      <c r="AF2" s="1" t="str">
        <f t="shared" si="0"/>
        <v>Algorithm 11</v>
      </c>
      <c r="AG2" s="1" t="str">
        <f t="shared" si="0"/>
        <v>Algorithm 12</v>
      </c>
      <c r="AH2" s="1" t="str">
        <f t="shared" si="0"/>
        <v>Algorithm 13</v>
      </c>
      <c r="AI2" s="1" t="str">
        <f t="shared" si="0"/>
        <v>Algorithm 14</v>
      </c>
      <c r="AJ2" s="1" t="str">
        <f t="shared" si="0"/>
        <v>Algorithm 15</v>
      </c>
    </row>
    <row r="3" spans="1:36" ht="14.45" customHeight="1" x14ac:dyDescent="0.25">
      <c r="A3" s="25" t="s">
        <v>13</v>
      </c>
      <c r="B3" s="2" t="s">
        <v>39</v>
      </c>
      <c r="C3" s="2" t="s">
        <v>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 t="s">
        <v>0</v>
      </c>
      <c r="T3" s="2" t="s">
        <v>10</v>
      </c>
      <c r="V3" s="7" t="e">
        <f t="shared" ref="V3:AJ3" si="1">_xlfn.RANK.EQ(D3,$D3:$R3,1)</f>
        <v>#N/A</v>
      </c>
      <c r="W3" s="7" t="e">
        <f t="shared" si="1"/>
        <v>#N/A</v>
      </c>
      <c r="X3" s="7" t="e">
        <f t="shared" si="1"/>
        <v>#N/A</v>
      </c>
      <c r="Y3" s="7" t="e">
        <f t="shared" si="1"/>
        <v>#N/A</v>
      </c>
      <c r="Z3" s="7" t="e">
        <f t="shared" si="1"/>
        <v>#N/A</v>
      </c>
      <c r="AA3" s="7" t="e">
        <f t="shared" si="1"/>
        <v>#N/A</v>
      </c>
      <c r="AB3" s="7" t="e">
        <f t="shared" si="1"/>
        <v>#N/A</v>
      </c>
      <c r="AC3" s="7" t="e">
        <f t="shared" si="1"/>
        <v>#N/A</v>
      </c>
      <c r="AD3" s="7" t="e">
        <f t="shared" si="1"/>
        <v>#N/A</v>
      </c>
      <c r="AE3" s="7" t="e">
        <f t="shared" si="1"/>
        <v>#N/A</v>
      </c>
      <c r="AF3" s="7" t="e">
        <f t="shared" si="1"/>
        <v>#N/A</v>
      </c>
      <c r="AG3" s="7" t="e">
        <f t="shared" si="1"/>
        <v>#N/A</v>
      </c>
      <c r="AH3" s="7" t="e">
        <f t="shared" si="1"/>
        <v>#N/A</v>
      </c>
      <c r="AI3" s="7" t="e">
        <f t="shared" si="1"/>
        <v>#N/A</v>
      </c>
      <c r="AJ3" s="7" t="e">
        <f t="shared" si="1"/>
        <v>#N/A</v>
      </c>
    </row>
    <row r="4" spans="1:36" x14ac:dyDescent="0.25">
      <c r="A4" s="19"/>
      <c r="B4" s="10" t="s">
        <v>39</v>
      </c>
      <c r="C4" s="10" t="s">
        <v>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4"/>
      <c r="T4" s="4" t="s">
        <v>11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6" x14ac:dyDescent="0.25">
      <c r="A5" s="23"/>
      <c r="B5" s="5" t="s">
        <v>39</v>
      </c>
      <c r="C5" s="5" t="s">
        <v>51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5" t="s">
        <v>12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6" ht="14.45" customHeight="1" x14ac:dyDescent="0.25">
      <c r="A6" s="19" t="s">
        <v>18</v>
      </c>
      <c r="B6" s="2" t="s">
        <v>40</v>
      </c>
      <c r="C6" s="2" t="s">
        <v>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 t="s">
        <v>1</v>
      </c>
      <c r="T6" s="2" t="s">
        <v>10</v>
      </c>
      <c r="V6" s="7" t="e">
        <f t="shared" ref="V6:AJ6" si="2">_xlfn.RANK.EQ(D6,$D6:$R6,1)</f>
        <v>#N/A</v>
      </c>
      <c r="W6" s="7" t="e">
        <f t="shared" si="2"/>
        <v>#N/A</v>
      </c>
      <c r="X6" s="7" t="e">
        <f t="shared" si="2"/>
        <v>#N/A</v>
      </c>
      <c r="Y6" s="7" t="e">
        <f t="shared" si="2"/>
        <v>#N/A</v>
      </c>
      <c r="Z6" s="7" t="e">
        <f t="shared" si="2"/>
        <v>#N/A</v>
      </c>
      <c r="AA6" s="7" t="e">
        <f t="shared" si="2"/>
        <v>#N/A</v>
      </c>
      <c r="AB6" s="7" t="e">
        <f t="shared" si="2"/>
        <v>#N/A</v>
      </c>
      <c r="AC6" s="7" t="e">
        <f t="shared" si="2"/>
        <v>#N/A</v>
      </c>
      <c r="AD6" s="7" t="e">
        <f t="shared" si="2"/>
        <v>#N/A</v>
      </c>
      <c r="AE6" s="7" t="e">
        <f t="shared" si="2"/>
        <v>#N/A</v>
      </c>
      <c r="AF6" s="7" t="e">
        <f t="shared" si="2"/>
        <v>#N/A</v>
      </c>
      <c r="AG6" s="7" t="e">
        <f t="shared" si="2"/>
        <v>#N/A</v>
      </c>
      <c r="AH6" s="7" t="e">
        <f t="shared" si="2"/>
        <v>#N/A</v>
      </c>
      <c r="AI6" s="7" t="e">
        <f t="shared" si="2"/>
        <v>#N/A</v>
      </c>
      <c r="AJ6" s="7" t="e">
        <f t="shared" si="2"/>
        <v>#N/A</v>
      </c>
    </row>
    <row r="7" spans="1:36" x14ac:dyDescent="0.25">
      <c r="A7" s="19"/>
      <c r="B7" s="10" t="s">
        <v>40</v>
      </c>
      <c r="C7" s="10" t="s">
        <v>53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4"/>
      <c r="T7" s="4" t="s">
        <v>11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6" x14ac:dyDescent="0.25">
      <c r="A8" s="19"/>
      <c r="B8" s="5" t="s">
        <v>40</v>
      </c>
      <c r="C8" s="5" t="s">
        <v>54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5" t="s">
        <v>12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6" ht="14.45" customHeight="1" x14ac:dyDescent="0.25">
      <c r="A9" s="19"/>
      <c r="B9" s="2" t="s">
        <v>41</v>
      </c>
      <c r="C9" s="2" t="s">
        <v>55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 t="s">
        <v>2</v>
      </c>
      <c r="T9" s="2" t="s">
        <v>10</v>
      </c>
      <c r="V9" s="7" t="e">
        <f t="shared" ref="V9:AJ9" si="3">_xlfn.RANK.EQ(D9,$D9:$R9,1)</f>
        <v>#N/A</v>
      </c>
      <c r="W9" s="7" t="e">
        <f t="shared" si="3"/>
        <v>#N/A</v>
      </c>
      <c r="X9" s="7" t="e">
        <f t="shared" si="3"/>
        <v>#N/A</v>
      </c>
      <c r="Y9" s="7" t="e">
        <f t="shared" si="3"/>
        <v>#N/A</v>
      </c>
      <c r="Z9" s="7" t="e">
        <f t="shared" si="3"/>
        <v>#N/A</v>
      </c>
      <c r="AA9" s="7" t="e">
        <f t="shared" si="3"/>
        <v>#N/A</v>
      </c>
      <c r="AB9" s="7" t="e">
        <f t="shared" si="3"/>
        <v>#N/A</v>
      </c>
      <c r="AC9" s="7" t="e">
        <f t="shared" si="3"/>
        <v>#N/A</v>
      </c>
      <c r="AD9" s="7" t="e">
        <f t="shared" si="3"/>
        <v>#N/A</v>
      </c>
      <c r="AE9" s="7" t="e">
        <f t="shared" si="3"/>
        <v>#N/A</v>
      </c>
      <c r="AF9" s="7" t="e">
        <f t="shared" si="3"/>
        <v>#N/A</v>
      </c>
      <c r="AG9" s="7" t="e">
        <f t="shared" si="3"/>
        <v>#N/A</v>
      </c>
      <c r="AH9" s="7" t="e">
        <f t="shared" si="3"/>
        <v>#N/A</v>
      </c>
      <c r="AI9" s="7" t="e">
        <f t="shared" si="3"/>
        <v>#N/A</v>
      </c>
      <c r="AJ9" s="7" t="e">
        <f t="shared" si="3"/>
        <v>#N/A</v>
      </c>
    </row>
    <row r="10" spans="1:36" x14ac:dyDescent="0.25">
      <c r="A10" s="19"/>
      <c r="B10" s="10" t="s">
        <v>41</v>
      </c>
      <c r="C10" s="10" t="s">
        <v>56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4"/>
      <c r="T10" s="4" t="s">
        <v>11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6" x14ac:dyDescent="0.25">
      <c r="A11" s="19"/>
      <c r="B11" s="5" t="s">
        <v>41</v>
      </c>
      <c r="C11" s="5" t="s">
        <v>57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5" t="s">
        <v>12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6" ht="14.45" customHeight="1" x14ac:dyDescent="0.25">
      <c r="A12" s="19"/>
      <c r="B12" s="2" t="s">
        <v>42</v>
      </c>
      <c r="C12" s="2" t="s">
        <v>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 t="s">
        <v>3</v>
      </c>
      <c r="T12" s="2" t="s">
        <v>10</v>
      </c>
      <c r="V12" s="7" t="e">
        <f t="shared" ref="V12:AJ12" si="4">_xlfn.RANK.EQ(D12,$D12:$R12,1)</f>
        <v>#N/A</v>
      </c>
      <c r="W12" s="7" t="e">
        <f t="shared" si="4"/>
        <v>#N/A</v>
      </c>
      <c r="X12" s="7" t="e">
        <f t="shared" si="4"/>
        <v>#N/A</v>
      </c>
      <c r="Y12" s="7" t="e">
        <f t="shared" si="4"/>
        <v>#N/A</v>
      </c>
      <c r="Z12" s="7" t="e">
        <f t="shared" si="4"/>
        <v>#N/A</v>
      </c>
      <c r="AA12" s="7" t="e">
        <f t="shared" si="4"/>
        <v>#N/A</v>
      </c>
      <c r="AB12" s="7" t="e">
        <f t="shared" si="4"/>
        <v>#N/A</v>
      </c>
      <c r="AC12" s="7" t="e">
        <f t="shared" si="4"/>
        <v>#N/A</v>
      </c>
      <c r="AD12" s="7" t="e">
        <f t="shared" si="4"/>
        <v>#N/A</v>
      </c>
      <c r="AE12" s="7" t="e">
        <f t="shared" si="4"/>
        <v>#N/A</v>
      </c>
      <c r="AF12" s="7" t="e">
        <f t="shared" si="4"/>
        <v>#N/A</v>
      </c>
      <c r="AG12" s="7" t="e">
        <f t="shared" si="4"/>
        <v>#N/A</v>
      </c>
      <c r="AH12" s="7" t="e">
        <f t="shared" si="4"/>
        <v>#N/A</v>
      </c>
      <c r="AI12" s="7" t="e">
        <f t="shared" si="4"/>
        <v>#N/A</v>
      </c>
      <c r="AJ12" s="7" t="e">
        <f t="shared" si="4"/>
        <v>#N/A</v>
      </c>
    </row>
    <row r="13" spans="1:36" x14ac:dyDescent="0.25">
      <c r="A13" s="19"/>
      <c r="B13" s="10" t="s">
        <v>42</v>
      </c>
      <c r="C13" s="10" t="s">
        <v>59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4"/>
      <c r="T13" s="4" t="s">
        <v>11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6" x14ac:dyDescent="0.25">
      <c r="A14" s="23"/>
      <c r="B14" s="5" t="s">
        <v>42</v>
      </c>
      <c r="C14" s="5" t="s">
        <v>60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5" t="s">
        <v>12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6" ht="14.45" customHeight="1" x14ac:dyDescent="0.25">
      <c r="A15" s="19" t="s">
        <v>17</v>
      </c>
      <c r="B15" s="2" t="s">
        <v>43</v>
      </c>
      <c r="C15" s="2" t="s">
        <v>61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 t="s">
        <v>4</v>
      </c>
      <c r="T15" s="2" t="s">
        <v>10</v>
      </c>
      <c r="V15" s="7" t="e">
        <f t="shared" ref="V15:AJ15" si="5">_xlfn.RANK.EQ(D15,$D15:$R15,1)</f>
        <v>#N/A</v>
      </c>
      <c r="W15" s="7" t="e">
        <f t="shared" si="5"/>
        <v>#N/A</v>
      </c>
      <c r="X15" s="7" t="e">
        <f t="shared" si="5"/>
        <v>#N/A</v>
      </c>
      <c r="Y15" s="7" t="e">
        <f t="shared" si="5"/>
        <v>#N/A</v>
      </c>
      <c r="Z15" s="7" t="e">
        <f t="shared" si="5"/>
        <v>#N/A</v>
      </c>
      <c r="AA15" s="7" t="e">
        <f t="shared" si="5"/>
        <v>#N/A</v>
      </c>
      <c r="AB15" s="7" t="e">
        <f t="shared" si="5"/>
        <v>#N/A</v>
      </c>
      <c r="AC15" s="7" t="e">
        <f t="shared" si="5"/>
        <v>#N/A</v>
      </c>
      <c r="AD15" s="7" t="e">
        <f t="shared" si="5"/>
        <v>#N/A</v>
      </c>
      <c r="AE15" s="7" t="e">
        <f t="shared" si="5"/>
        <v>#N/A</v>
      </c>
      <c r="AF15" s="7" t="e">
        <f t="shared" si="5"/>
        <v>#N/A</v>
      </c>
      <c r="AG15" s="7" t="e">
        <f t="shared" si="5"/>
        <v>#N/A</v>
      </c>
      <c r="AH15" s="7" t="e">
        <f t="shared" si="5"/>
        <v>#N/A</v>
      </c>
      <c r="AI15" s="7" t="e">
        <f t="shared" si="5"/>
        <v>#N/A</v>
      </c>
      <c r="AJ15" s="7" t="e">
        <f t="shared" si="5"/>
        <v>#N/A</v>
      </c>
    </row>
    <row r="16" spans="1:36" x14ac:dyDescent="0.25">
      <c r="A16" s="19"/>
      <c r="B16" s="10" t="s">
        <v>43</v>
      </c>
      <c r="C16" s="10" t="s">
        <v>62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"/>
      <c r="T16" s="4" t="s">
        <v>11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6" x14ac:dyDescent="0.25">
      <c r="A17" s="19"/>
      <c r="B17" s="5" t="s">
        <v>43</v>
      </c>
      <c r="C17" s="5" t="s">
        <v>63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5" t="s">
        <v>12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6" x14ac:dyDescent="0.25">
      <c r="A18" s="19"/>
      <c r="B18" s="2" t="s">
        <v>44</v>
      </c>
      <c r="C18" s="2" t="s">
        <v>64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 t="s">
        <v>5</v>
      </c>
      <c r="T18" s="2" t="s">
        <v>10</v>
      </c>
      <c r="V18" s="7" t="e">
        <f t="shared" ref="V18:AJ18" si="6">_xlfn.RANK.EQ(D18,$D18:$R18,1)</f>
        <v>#N/A</v>
      </c>
      <c r="W18" s="7" t="e">
        <f t="shared" si="6"/>
        <v>#N/A</v>
      </c>
      <c r="X18" s="7" t="e">
        <f t="shared" si="6"/>
        <v>#N/A</v>
      </c>
      <c r="Y18" s="7" t="e">
        <f t="shared" si="6"/>
        <v>#N/A</v>
      </c>
      <c r="Z18" s="7" t="e">
        <f t="shared" si="6"/>
        <v>#N/A</v>
      </c>
      <c r="AA18" s="7" t="e">
        <f t="shared" si="6"/>
        <v>#N/A</v>
      </c>
      <c r="AB18" s="7" t="e">
        <f t="shared" si="6"/>
        <v>#N/A</v>
      </c>
      <c r="AC18" s="7" t="e">
        <f t="shared" si="6"/>
        <v>#N/A</v>
      </c>
      <c r="AD18" s="7" t="e">
        <f t="shared" si="6"/>
        <v>#N/A</v>
      </c>
      <c r="AE18" s="7" t="e">
        <f t="shared" si="6"/>
        <v>#N/A</v>
      </c>
      <c r="AF18" s="7" t="e">
        <f t="shared" si="6"/>
        <v>#N/A</v>
      </c>
      <c r="AG18" s="7" t="e">
        <f t="shared" si="6"/>
        <v>#N/A</v>
      </c>
      <c r="AH18" s="7" t="e">
        <f t="shared" si="6"/>
        <v>#N/A</v>
      </c>
      <c r="AI18" s="7" t="e">
        <f t="shared" si="6"/>
        <v>#N/A</v>
      </c>
      <c r="AJ18" s="7" t="e">
        <f t="shared" si="6"/>
        <v>#N/A</v>
      </c>
    </row>
    <row r="19" spans="1:36" x14ac:dyDescent="0.25">
      <c r="A19" s="19"/>
      <c r="B19" s="10" t="s">
        <v>44</v>
      </c>
      <c r="C19" s="10" t="s">
        <v>65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4"/>
      <c r="T19" s="4" t="s">
        <v>11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6" x14ac:dyDescent="0.25">
      <c r="A20" s="19"/>
      <c r="B20" s="5" t="s">
        <v>44</v>
      </c>
      <c r="C20" s="5" t="s">
        <v>66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5" t="s">
        <v>12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6" x14ac:dyDescent="0.25">
      <c r="A21" s="19"/>
      <c r="B21" s="2" t="s">
        <v>45</v>
      </c>
      <c r="C21" s="2" t="s">
        <v>67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 t="s">
        <v>6</v>
      </c>
      <c r="T21" s="2" t="s">
        <v>10</v>
      </c>
      <c r="V21" s="7" t="e">
        <f t="shared" ref="V21:AJ21" si="7">_xlfn.RANK.EQ(D21,$D21:$R21,1)</f>
        <v>#N/A</v>
      </c>
      <c r="W21" s="7" t="e">
        <f t="shared" si="7"/>
        <v>#N/A</v>
      </c>
      <c r="X21" s="7" t="e">
        <f t="shared" si="7"/>
        <v>#N/A</v>
      </c>
      <c r="Y21" s="7" t="e">
        <f t="shared" si="7"/>
        <v>#N/A</v>
      </c>
      <c r="Z21" s="7" t="e">
        <f t="shared" si="7"/>
        <v>#N/A</v>
      </c>
      <c r="AA21" s="7" t="e">
        <f t="shared" si="7"/>
        <v>#N/A</v>
      </c>
      <c r="AB21" s="7" t="e">
        <f t="shared" si="7"/>
        <v>#N/A</v>
      </c>
      <c r="AC21" s="7" t="e">
        <f t="shared" si="7"/>
        <v>#N/A</v>
      </c>
      <c r="AD21" s="7" t="e">
        <f t="shared" si="7"/>
        <v>#N/A</v>
      </c>
      <c r="AE21" s="7" t="e">
        <f t="shared" si="7"/>
        <v>#N/A</v>
      </c>
      <c r="AF21" s="7" t="e">
        <f t="shared" si="7"/>
        <v>#N/A</v>
      </c>
      <c r="AG21" s="7" t="e">
        <f t="shared" si="7"/>
        <v>#N/A</v>
      </c>
      <c r="AH21" s="7" t="e">
        <f t="shared" si="7"/>
        <v>#N/A</v>
      </c>
      <c r="AI21" s="7" t="e">
        <f t="shared" si="7"/>
        <v>#N/A</v>
      </c>
      <c r="AJ21" s="7" t="e">
        <f t="shared" si="7"/>
        <v>#N/A</v>
      </c>
    </row>
    <row r="22" spans="1:36" x14ac:dyDescent="0.25">
      <c r="A22" s="19"/>
      <c r="B22" s="10" t="s">
        <v>45</v>
      </c>
      <c r="C22" s="10" t="s">
        <v>68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4"/>
      <c r="T22" s="4" t="s">
        <v>11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6" x14ac:dyDescent="0.25">
      <c r="A23" s="23"/>
      <c r="B23" s="5" t="s">
        <v>45</v>
      </c>
      <c r="C23" s="5" t="s">
        <v>69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  <c r="T23" s="5" t="s">
        <v>12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6" ht="14.45" customHeight="1" x14ac:dyDescent="0.25">
      <c r="A24" s="19" t="s">
        <v>19</v>
      </c>
      <c r="B24" s="2" t="s">
        <v>46</v>
      </c>
      <c r="C24" s="2" t="s">
        <v>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 t="s">
        <v>7</v>
      </c>
      <c r="T24" s="2" t="s">
        <v>10</v>
      </c>
      <c r="V24" s="7" t="e">
        <f t="shared" ref="V24:AJ24" si="8">_xlfn.RANK.EQ(D24,$D24:$R24,1)</f>
        <v>#N/A</v>
      </c>
      <c r="W24" s="7" t="e">
        <f t="shared" si="8"/>
        <v>#N/A</v>
      </c>
      <c r="X24" s="7" t="e">
        <f t="shared" si="8"/>
        <v>#N/A</v>
      </c>
      <c r="Y24" s="7" t="e">
        <f t="shared" si="8"/>
        <v>#N/A</v>
      </c>
      <c r="Z24" s="7" t="e">
        <f t="shared" si="8"/>
        <v>#N/A</v>
      </c>
      <c r="AA24" s="7" t="e">
        <f t="shared" si="8"/>
        <v>#N/A</v>
      </c>
      <c r="AB24" s="7" t="e">
        <f t="shared" si="8"/>
        <v>#N/A</v>
      </c>
      <c r="AC24" s="7" t="e">
        <f t="shared" si="8"/>
        <v>#N/A</v>
      </c>
      <c r="AD24" s="7" t="e">
        <f t="shared" si="8"/>
        <v>#N/A</v>
      </c>
      <c r="AE24" s="7" t="e">
        <f t="shared" si="8"/>
        <v>#N/A</v>
      </c>
      <c r="AF24" s="7" t="e">
        <f t="shared" si="8"/>
        <v>#N/A</v>
      </c>
      <c r="AG24" s="7" t="e">
        <f t="shared" si="8"/>
        <v>#N/A</v>
      </c>
      <c r="AH24" s="7" t="e">
        <f t="shared" si="8"/>
        <v>#N/A</v>
      </c>
      <c r="AI24" s="7" t="e">
        <f t="shared" si="8"/>
        <v>#N/A</v>
      </c>
      <c r="AJ24" s="7" t="e">
        <f t="shared" si="8"/>
        <v>#N/A</v>
      </c>
    </row>
    <row r="25" spans="1:36" x14ac:dyDescent="0.25">
      <c r="A25" s="19"/>
      <c r="B25" s="10" t="s">
        <v>46</v>
      </c>
      <c r="C25" s="10" t="s">
        <v>71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4"/>
      <c r="T25" s="4" t="s">
        <v>11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6" x14ac:dyDescent="0.25">
      <c r="A26" s="19"/>
      <c r="B26" s="5" t="s">
        <v>46</v>
      </c>
      <c r="C26" s="5" t="s">
        <v>72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"/>
      <c r="T26" s="5" t="s">
        <v>12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6" x14ac:dyDescent="0.25">
      <c r="A27" s="19"/>
      <c r="B27" s="2" t="s">
        <v>47</v>
      </c>
      <c r="C27" s="2" t="s">
        <v>73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2" t="s">
        <v>8</v>
      </c>
      <c r="T27" s="2" t="s">
        <v>10</v>
      </c>
      <c r="V27" s="7" t="e">
        <f t="shared" ref="V27:AJ27" si="9">_xlfn.RANK.EQ(D27,$D27:$R27,1)</f>
        <v>#N/A</v>
      </c>
      <c r="W27" s="7" t="e">
        <f t="shared" si="9"/>
        <v>#N/A</v>
      </c>
      <c r="X27" s="7" t="e">
        <f t="shared" si="9"/>
        <v>#N/A</v>
      </c>
      <c r="Y27" s="7" t="e">
        <f t="shared" si="9"/>
        <v>#N/A</v>
      </c>
      <c r="Z27" s="7" t="e">
        <f t="shared" si="9"/>
        <v>#N/A</v>
      </c>
      <c r="AA27" s="7" t="e">
        <f t="shared" si="9"/>
        <v>#N/A</v>
      </c>
      <c r="AB27" s="7" t="e">
        <f t="shared" si="9"/>
        <v>#N/A</v>
      </c>
      <c r="AC27" s="7" t="e">
        <f t="shared" si="9"/>
        <v>#N/A</v>
      </c>
      <c r="AD27" s="7" t="e">
        <f t="shared" si="9"/>
        <v>#N/A</v>
      </c>
      <c r="AE27" s="7" t="e">
        <f t="shared" si="9"/>
        <v>#N/A</v>
      </c>
      <c r="AF27" s="7" t="e">
        <f t="shared" si="9"/>
        <v>#N/A</v>
      </c>
      <c r="AG27" s="7" t="e">
        <f t="shared" si="9"/>
        <v>#N/A</v>
      </c>
      <c r="AH27" s="7" t="e">
        <f t="shared" si="9"/>
        <v>#N/A</v>
      </c>
      <c r="AI27" s="7" t="e">
        <f t="shared" si="9"/>
        <v>#N/A</v>
      </c>
      <c r="AJ27" s="7" t="e">
        <f t="shared" si="9"/>
        <v>#N/A</v>
      </c>
    </row>
    <row r="28" spans="1:36" x14ac:dyDescent="0.25">
      <c r="A28" s="19"/>
      <c r="B28" s="10" t="s">
        <v>47</v>
      </c>
      <c r="C28" s="10" t="s">
        <v>74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4"/>
      <c r="T28" s="4" t="s">
        <v>11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6" x14ac:dyDescent="0.25">
      <c r="A29" s="19"/>
      <c r="B29" s="5" t="s">
        <v>47</v>
      </c>
      <c r="C29" s="5" t="s">
        <v>75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  <c r="T29" s="5" t="s">
        <v>12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6" ht="14.45" customHeight="1" x14ac:dyDescent="0.25">
      <c r="A30" s="19"/>
      <c r="B30" s="2" t="s">
        <v>48</v>
      </c>
      <c r="C30" s="2" t="s">
        <v>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 t="s">
        <v>9</v>
      </c>
      <c r="T30" s="2" t="s">
        <v>10</v>
      </c>
      <c r="V30" s="7" t="e">
        <f t="shared" ref="V30:AJ30" si="10">_xlfn.RANK.EQ(D30,$D30:$R30,1)</f>
        <v>#N/A</v>
      </c>
      <c r="W30" s="7" t="e">
        <f t="shared" si="10"/>
        <v>#N/A</v>
      </c>
      <c r="X30" s="7" t="e">
        <f t="shared" si="10"/>
        <v>#N/A</v>
      </c>
      <c r="Y30" s="7" t="e">
        <f t="shared" si="10"/>
        <v>#N/A</v>
      </c>
      <c r="Z30" s="7" t="e">
        <f t="shared" si="10"/>
        <v>#N/A</v>
      </c>
      <c r="AA30" s="7" t="e">
        <f t="shared" si="10"/>
        <v>#N/A</v>
      </c>
      <c r="AB30" s="7" t="e">
        <f t="shared" si="10"/>
        <v>#N/A</v>
      </c>
      <c r="AC30" s="7" t="e">
        <f t="shared" si="10"/>
        <v>#N/A</v>
      </c>
      <c r="AD30" s="7" t="e">
        <f t="shared" si="10"/>
        <v>#N/A</v>
      </c>
      <c r="AE30" s="7" t="e">
        <f t="shared" si="10"/>
        <v>#N/A</v>
      </c>
      <c r="AF30" s="7" t="e">
        <f t="shared" si="10"/>
        <v>#N/A</v>
      </c>
      <c r="AG30" s="7" t="e">
        <f t="shared" si="10"/>
        <v>#N/A</v>
      </c>
      <c r="AH30" s="7" t="e">
        <f t="shared" si="10"/>
        <v>#N/A</v>
      </c>
      <c r="AI30" s="7" t="e">
        <f t="shared" si="10"/>
        <v>#N/A</v>
      </c>
      <c r="AJ30" s="7" t="e">
        <f t="shared" si="10"/>
        <v>#N/A</v>
      </c>
    </row>
    <row r="31" spans="1:36" x14ac:dyDescent="0.25">
      <c r="A31" s="19"/>
      <c r="B31" s="10" t="s">
        <v>48</v>
      </c>
      <c r="C31" s="10" t="s">
        <v>77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4"/>
      <c r="T31" s="4" t="s">
        <v>11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6" x14ac:dyDescent="0.25">
      <c r="A32" s="23"/>
      <c r="B32" s="5" t="s">
        <v>48</v>
      </c>
      <c r="C32" s="5" t="s">
        <v>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5"/>
      <c r="T32" s="5" t="s">
        <v>12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32.450000000000003" customHeight="1" x14ac:dyDescent="0.25">
      <c r="A33" s="25" t="s">
        <v>20</v>
      </c>
      <c r="B33" s="26"/>
      <c r="C33" s="26"/>
      <c r="D33" s="7">
        <f>COUNTIF(V3:V32,1)</f>
        <v>0</v>
      </c>
      <c r="E33" s="7">
        <f t="shared" ref="E33:R33" si="11">COUNTIF(W3:W32,1)</f>
        <v>0</v>
      </c>
      <c r="F33" s="7">
        <f t="shared" si="11"/>
        <v>0</v>
      </c>
      <c r="G33" s="7">
        <f t="shared" si="11"/>
        <v>0</v>
      </c>
      <c r="H33" s="7">
        <f t="shared" si="11"/>
        <v>0</v>
      </c>
      <c r="I33" s="7">
        <f t="shared" si="11"/>
        <v>0</v>
      </c>
      <c r="J33" s="7">
        <f t="shared" si="11"/>
        <v>0</v>
      </c>
      <c r="K33" s="7">
        <f t="shared" si="11"/>
        <v>0</v>
      </c>
      <c r="L33" s="7">
        <f t="shared" si="11"/>
        <v>0</v>
      </c>
      <c r="M33" s="7">
        <f t="shared" si="11"/>
        <v>0</v>
      </c>
      <c r="N33" s="7">
        <f t="shared" si="11"/>
        <v>0</v>
      </c>
      <c r="O33" s="7">
        <f t="shared" si="11"/>
        <v>0</v>
      </c>
      <c r="P33" s="7">
        <f t="shared" si="11"/>
        <v>0</v>
      </c>
      <c r="Q33" s="7">
        <f t="shared" si="11"/>
        <v>0</v>
      </c>
      <c r="R33" s="7">
        <f t="shared" si="11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32.450000000000003" customHeight="1" x14ac:dyDescent="0.25">
      <c r="A34" s="19" t="s">
        <v>21</v>
      </c>
      <c r="B34" s="20"/>
      <c r="C34" s="20"/>
      <c r="D34" s="7">
        <f>_xlfn.RANK.EQ(D33,$D33:$R33,0)</f>
        <v>1</v>
      </c>
      <c r="E34" s="7">
        <f t="shared" ref="E34:R34" si="12">_xlfn.RANK.EQ(E33,$D33:$R33,0)</f>
        <v>1</v>
      </c>
      <c r="F34" s="7">
        <f t="shared" si="12"/>
        <v>1</v>
      </c>
      <c r="G34" s="7">
        <f t="shared" si="12"/>
        <v>1</v>
      </c>
      <c r="H34" s="7">
        <f t="shared" si="12"/>
        <v>1</v>
      </c>
      <c r="I34" s="7">
        <f t="shared" si="12"/>
        <v>1</v>
      </c>
      <c r="J34" s="7">
        <f t="shared" si="12"/>
        <v>1</v>
      </c>
      <c r="K34" s="7">
        <f t="shared" si="12"/>
        <v>1</v>
      </c>
      <c r="L34" s="7">
        <f t="shared" si="12"/>
        <v>1</v>
      </c>
      <c r="M34" s="7">
        <f t="shared" si="12"/>
        <v>1</v>
      </c>
      <c r="N34" s="7">
        <f t="shared" si="12"/>
        <v>1</v>
      </c>
      <c r="O34" s="7">
        <f t="shared" si="12"/>
        <v>1</v>
      </c>
      <c r="P34" s="7">
        <f t="shared" si="12"/>
        <v>1</v>
      </c>
      <c r="Q34" s="7">
        <f t="shared" si="12"/>
        <v>1</v>
      </c>
      <c r="R34" s="7">
        <f t="shared" si="12"/>
        <v>1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32.450000000000003" customHeight="1" x14ac:dyDescent="0.25">
      <c r="A35" s="22" t="s">
        <v>22</v>
      </c>
      <c r="B35" s="20"/>
      <c r="C35" s="20"/>
      <c r="D35" s="8" t="e">
        <f>AVERAGE(V3:V32)</f>
        <v>#N/A</v>
      </c>
      <c r="E35" s="8" t="e">
        <f t="shared" ref="E35:R35" si="13">AVERAGE(W3:W32)</f>
        <v>#N/A</v>
      </c>
      <c r="F35" s="8" t="e">
        <f t="shared" si="13"/>
        <v>#N/A</v>
      </c>
      <c r="G35" s="8" t="e">
        <f t="shared" si="13"/>
        <v>#N/A</v>
      </c>
      <c r="H35" s="8" t="e">
        <f t="shared" si="13"/>
        <v>#N/A</v>
      </c>
      <c r="I35" s="8" t="e">
        <f t="shared" si="13"/>
        <v>#N/A</v>
      </c>
      <c r="J35" s="8" t="e">
        <f t="shared" si="13"/>
        <v>#N/A</v>
      </c>
      <c r="K35" s="8" t="e">
        <f t="shared" si="13"/>
        <v>#N/A</v>
      </c>
      <c r="L35" s="8" t="e">
        <f t="shared" si="13"/>
        <v>#N/A</v>
      </c>
      <c r="M35" s="8" t="e">
        <f t="shared" si="13"/>
        <v>#N/A</v>
      </c>
      <c r="N35" s="8" t="e">
        <f t="shared" si="13"/>
        <v>#N/A</v>
      </c>
      <c r="O35" s="8" t="e">
        <f t="shared" si="13"/>
        <v>#N/A</v>
      </c>
      <c r="P35" s="8" t="e">
        <f t="shared" si="13"/>
        <v>#N/A</v>
      </c>
      <c r="Q35" s="8" t="e">
        <f t="shared" si="13"/>
        <v>#N/A</v>
      </c>
      <c r="R35" s="8" t="e">
        <f t="shared" si="13"/>
        <v>#N/A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32.450000000000003" customHeight="1" x14ac:dyDescent="0.25">
      <c r="A36" s="23" t="s">
        <v>23</v>
      </c>
      <c r="B36" s="24"/>
      <c r="C36" s="24"/>
      <c r="D36" s="5" t="e">
        <f>_xlfn.RANK.EQ(D35,$D35:$R35,1)</f>
        <v>#N/A</v>
      </c>
      <c r="E36" s="5" t="e">
        <f t="shared" ref="E36:R36" si="14">_xlfn.RANK.EQ(E35,$D35:$R35,1)</f>
        <v>#N/A</v>
      </c>
      <c r="F36" s="5" t="e">
        <f t="shared" si="14"/>
        <v>#N/A</v>
      </c>
      <c r="G36" s="5" t="e">
        <f t="shared" si="14"/>
        <v>#N/A</v>
      </c>
      <c r="H36" s="5" t="e">
        <f t="shared" si="14"/>
        <v>#N/A</v>
      </c>
      <c r="I36" s="5" t="e">
        <f t="shared" si="14"/>
        <v>#N/A</v>
      </c>
      <c r="J36" s="5" t="e">
        <f t="shared" si="14"/>
        <v>#N/A</v>
      </c>
      <c r="K36" s="5" t="e">
        <f t="shared" si="14"/>
        <v>#N/A</v>
      </c>
      <c r="L36" s="5" t="e">
        <f t="shared" si="14"/>
        <v>#N/A</v>
      </c>
      <c r="M36" s="5" t="e">
        <f t="shared" si="14"/>
        <v>#N/A</v>
      </c>
      <c r="N36" s="5" t="e">
        <f t="shared" si="14"/>
        <v>#N/A</v>
      </c>
      <c r="O36" s="5" t="e">
        <f t="shared" si="14"/>
        <v>#N/A</v>
      </c>
      <c r="P36" s="5" t="e">
        <f t="shared" si="14"/>
        <v>#N/A</v>
      </c>
      <c r="Q36" s="5" t="e">
        <f t="shared" si="14"/>
        <v>#N/A</v>
      </c>
      <c r="R36" s="5" t="e">
        <f t="shared" si="14"/>
        <v>#N/A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25"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25"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25"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25"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25"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25"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</sheetData>
  <mergeCells count="9">
    <mergeCell ref="A34:C34"/>
    <mergeCell ref="A1:R1"/>
    <mergeCell ref="A35:C35"/>
    <mergeCell ref="A36:C36"/>
    <mergeCell ref="A33:C33"/>
    <mergeCell ref="A3:A5"/>
    <mergeCell ref="A6:A14"/>
    <mergeCell ref="A15:A23"/>
    <mergeCell ref="A24:A32"/>
  </mergeCells>
  <phoneticPr fontId="3" type="noConversion"/>
  <conditionalFormatting sqref="D3:R3">
    <cfRule type="top10" dxfId="13" priority="10" bottom="1" rank="1"/>
  </conditionalFormatting>
  <conditionalFormatting sqref="D6:R6">
    <cfRule type="top10" dxfId="12" priority="9" bottom="1" rank="1"/>
  </conditionalFormatting>
  <conditionalFormatting sqref="D9:R9">
    <cfRule type="top10" dxfId="11" priority="8" bottom="1" rank="1"/>
  </conditionalFormatting>
  <conditionalFormatting sqref="D12:R12">
    <cfRule type="top10" dxfId="10" priority="7" bottom="1" rank="1"/>
  </conditionalFormatting>
  <conditionalFormatting sqref="D15:R15">
    <cfRule type="top10" dxfId="9" priority="6" bottom="1" rank="1"/>
  </conditionalFormatting>
  <conditionalFormatting sqref="D18:R18">
    <cfRule type="top10" dxfId="8" priority="5" bottom="1" rank="1"/>
  </conditionalFormatting>
  <conditionalFormatting sqref="D21:R21">
    <cfRule type="top10" dxfId="7" priority="4" bottom="1" rank="1"/>
  </conditionalFormatting>
  <conditionalFormatting sqref="D24:R24">
    <cfRule type="top10" dxfId="6" priority="3" bottom="1" rank="1"/>
  </conditionalFormatting>
  <conditionalFormatting sqref="D27:R27">
    <cfRule type="top10" dxfId="5" priority="2" bottom="1" rank="1"/>
  </conditionalFormatting>
  <conditionalFormatting sqref="D30:R30">
    <cfRule type="top10" dxfId="4" priority="1" bottom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sqref="A1:O1"/>
    </sheetView>
  </sheetViews>
  <sheetFormatPr defaultRowHeight="15" x14ac:dyDescent="0.25"/>
  <cols>
    <col min="1" max="1" width="8.14062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79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12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4" t="s">
        <v>81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14" t="s">
        <v>82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4" t="s">
        <v>83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14" t="s">
        <v>84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14" t="s">
        <v>85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4" t="s">
        <v>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4" t="s">
        <v>87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14" t="s">
        <v>88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13" t="s">
        <v>89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90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2" t="s">
        <v>91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0" t="s">
        <v>92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25">
      <c r="A5" s="10" t="s">
        <v>93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10" t="s">
        <v>94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10" t="s">
        <v>95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25">
      <c r="A8" s="10" t="s">
        <v>96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10" t="s">
        <v>97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10" t="s">
        <v>98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0" t="s">
        <v>99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5" t="s">
        <v>100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13" t="s">
        <v>101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12" t="s">
        <v>102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4" t="s">
        <v>103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14" t="s">
        <v>104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4" t="s">
        <v>105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14" t="s">
        <v>106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14" t="s">
        <v>107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4" t="s">
        <v>108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4" t="s">
        <v>109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14" t="s">
        <v>110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13" t="s">
        <v>111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112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2" t="s">
        <v>113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0" t="s">
        <v>114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25">
      <c r="A5" s="10" t="s">
        <v>115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10" t="s">
        <v>116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10" t="s">
        <v>117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25">
      <c r="A8" s="10" t="s">
        <v>118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10" t="s">
        <v>119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10" t="s">
        <v>120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0" t="s">
        <v>121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5" t="s">
        <v>122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selection sqref="A1:O1"/>
    </sheetView>
  </sheetViews>
  <sheetFormatPr defaultColWidth="8.85546875" defaultRowHeight="15" x14ac:dyDescent="0.25"/>
  <cols>
    <col min="1" max="1" width="8.7109375" style="7" bestFit="1" customWidth="1"/>
    <col min="2" max="9" width="15.140625" style="7" bestFit="1" customWidth="1"/>
    <col min="10" max="15" width="16.140625" style="7" bestFit="1" customWidth="1"/>
    <col min="16" max="16384" width="8.85546875" style="7"/>
  </cols>
  <sheetData>
    <row r="1" spans="1:15" ht="15.75" thickBot="1" x14ac:dyDescent="0.3">
      <c r="A1" s="27" t="s">
        <v>158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123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0" t="s">
        <v>125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0" t="s">
        <v>126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5">
      <c r="A6" s="10" t="s">
        <v>127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 t="s">
        <v>128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 t="s">
        <v>129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 t="s">
        <v>130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 t="s">
        <v>131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 t="s">
        <v>132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5" t="s">
        <v>133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A18" sqref="A18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134</v>
      </c>
    </row>
    <row r="2" spans="1:1" x14ac:dyDescent="0.25">
      <c r="A2" t="s">
        <v>135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2025-12-29T19:10:53Z</dcterms:modified>
</cp:coreProperties>
</file>