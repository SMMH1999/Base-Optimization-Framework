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iHub\Repositories\Base-Optimization-Framework\src\results\results_template\CEC2005\"/>
    </mc:Choice>
  </mc:AlternateContent>
  <xr:revisionPtr revIDLastSave="0" documentId="13_ncr:1_{93A0934C-48BB-45EF-B1B6-4C5AFA9DB09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" l="1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V2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AJ3" i="2"/>
  <c r="AI3" i="2"/>
  <c r="Q74" i="2" s="1"/>
  <c r="Q75" i="2" s="1"/>
  <c r="AH3" i="2"/>
  <c r="P74" i="2" s="1"/>
  <c r="P75" i="2" s="1"/>
  <c r="AG3" i="2"/>
  <c r="AF3" i="2"/>
  <c r="N74" i="2" s="1"/>
  <c r="AE3" i="2"/>
  <c r="M72" i="2" s="1"/>
  <c r="AD3" i="2"/>
  <c r="AC3" i="2"/>
  <c r="AB3" i="2"/>
  <c r="AA3" i="2"/>
  <c r="I74" i="2" s="1"/>
  <c r="Z3" i="2"/>
  <c r="H74" i="2" s="1"/>
  <c r="Y3" i="2"/>
  <c r="X3" i="2"/>
  <c r="W3" i="2"/>
  <c r="E72" i="2" s="1"/>
  <c r="V3" i="2"/>
  <c r="G72" i="2" l="1"/>
  <c r="F72" i="2"/>
  <c r="O72" i="2"/>
  <c r="J72" i="2"/>
  <c r="R72" i="2"/>
  <c r="K72" i="2"/>
  <c r="D72" i="2"/>
  <c r="L72" i="2"/>
  <c r="N72" i="2"/>
  <c r="H72" i="2"/>
  <c r="P72" i="2"/>
  <c r="J74" i="2"/>
  <c r="R74" i="2"/>
  <c r="R75" i="2" s="1"/>
  <c r="I72" i="2"/>
  <c r="Q72" i="2"/>
  <c r="K74" i="2"/>
  <c r="D74" i="2"/>
  <c r="L74" i="2"/>
  <c r="E74" i="2"/>
  <c r="E75" i="2" s="1"/>
  <c r="M74" i="2"/>
  <c r="F74" i="2"/>
  <c r="G74" i="2"/>
  <c r="O74" i="2"/>
  <c r="O75" i="2" s="1"/>
  <c r="I73" i="2" l="1"/>
  <c r="H73" i="2"/>
  <c r="P73" i="2"/>
  <c r="H75" i="2"/>
  <c r="L75" i="2"/>
  <c r="D75" i="2"/>
  <c r="N73" i="2"/>
  <c r="M73" i="2"/>
  <c r="N75" i="2"/>
  <c r="K75" i="2"/>
  <c r="L73" i="2"/>
  <c r="O73" i="2"/>
  <c r="Q73" i="2"/>
  <c r="D73" i="2"/>
  <c r="G73" i="2"/>
  <c r="G75" i="2"/>
  <c r="K73" i="2"/>
  <c r="F75" i="2"/>
  <c r="R73" i="2"/>
  <c r="E73" i="2"/>
  <c r="F73" i="2"/>
  <c r="M75" i="2"/>
  <c r="J75" i="2"/>
  <c r="J73" i="2"/>
  <c r="I75" i="2"/>
</calcChain>
</file>

<file path=xl/sharedStrings.xml><?xml version="1.0" encoding="utf-8"?>
<sst xmlns="http://schemas.openxmlformats.org/spreadsheetml/2006/main" count="456" uniqueCount="103">
  <si>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</si>
  <si>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</si>
  <si>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</si>
  <si>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</si>
  <si>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</si>
  <si>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</si>
  <si>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</si>
  <si>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</si>
  <si>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</si>
  <si>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</si>
  <si>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</si>
  <si>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</si>
  <si>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</si>
  <si>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</si>
  <si>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</si>
  <si>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</si>
  <si>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</si>
  <si>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</si>
  <si>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</si>
  <si>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</si>
  <si>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</si>
  <si>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</si>
  <si>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</si>
  <si>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Mean</t>
  </si>
  <si>
    <t>Std</t>
  </si>
  <si>
    <t>CPU</t>
  </si>
  <si>
    <t>Unimodal
Functions</t>
  </si>
  <si>
    <t>Functions</t>
  </si>
  <si>
    <t>Column1</t>
  </si>
  <si>
    <t>Column2</t>
  </si>
  <si>
    <t>Multimodal
Functions</t>
  </si>
  <si>
    <t>Fixed-Dim
Multimodal
Functions</t>
  </si>
  <si>
    <t>Comparison of optimization results for the CEC benchmark functions 2005 (Fix Dim)</t>
  </si>
  <si>
    <t>Average rating in the set</t>
  </si>
  <si>
    <t>Total number of 
best answers</t>
  </si>
  <si>
    <t>Rank by total number of 
best answers</t>
  </si>
  <si>
    <t>Rank based on 
the average in the set</t>
  </si>
  <si>
    <t>P-value of the Wilcoxon analysis for the CEC benchmark functions 2005 (Fix Dim)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</si>
  <si>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</si>
  <si>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</si>
  <si>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</si>
  <si>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</si>
  <si>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</si>
  <si>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</si>
  <si>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</si>
  <si>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</si>
  <si>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</si>
  <si>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</si>
  <si>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</si>
  <si>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</si>
  <si>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</si>
  <si>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</si>
  <si>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</si>
  <si>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H-value of the Wilcoxon analysis for the CEC benchmark functions 2005 (Fix Dim)</t>
  </si>
  <si>
    <t>P-value of the T-test analysis for the CEC benchmark functions 2005 (Fix Dim)</t>
  </si>
  <si>
    <t>H-value of the T-test analysis for the CEC benchmark functions 2005 (Fix Dim)</t>
  </si>
  <si>
    <t>State of the Wilcoxon analysis for the CEC benchmark functions 2005 (Fix Dim)</t>
  </si>
  <si>
    <t>Mean</t>
  </si>
  <si>
    <t>Std</t>
  </si>
  <si>
    <t>CPU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</si>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</sst>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3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1" fontId="0" fillId="0" borderId="1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64" fontId="0" fillId="0" borderId="5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left" vertical="top"/>
    </xf>
    <xf numFmtId="11" fontId="0" fillId="0" borderId="7" xfId="0" applyNumberFormat="1" applyBorder="1" applyAlignment="1">
      <alignment horizontal="left" vertical="top"/>
    </xf>
    <xf numFmtId="0" fontId="0" fillId="0" borderId="5" xfId="0" applyBorder="1"/>
    <xf numFmtId="0" fontId="0" fillId="0" borderId="4" xfId="0" applyBorder="1"/>
    <xf numFmtId="0" fontId="0" fillId="0" borderId="7" xfId="0" applyBorder="1"/>
    <xf numFmtId="11" fontId="0" fillId="0" borderId="5" xfId="0" applyNumberForma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7" xfId="0" applyNumberFormat="1" applyBorder="1" applyAlignment="1">
      <alignment horizontal="left" vertical="top"/>
    </xf>
    <xf numFmtId="1" fontId="0" fillId="0" borderId="5" xfId="0" applyNumberForma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11" fontId="2" fillId="0" borderId="2" xfId="0" applyNumberFormat="1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32"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S2:T71" totalsRowShown="0" headerRowDxfId="31" dataDxfId="30" tableBorderDxfId="29">
  <autoFilter ref="S2:T71" xr:uid="{00000000-0009-0000-0100-000001000000}"/>
  <tableColumns count="2">
    <tableColumn id="1" xr3:uid="{00000000-0010-0000-0000-000001000000}" name="Column1" dataDxfId="28"/>
    <tableColumn id="2" xr3:uid="{00000000-0010-0000-0000-000002000000}" name="Column2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5"/>
  <sheetViews>
    <sheetView tabSelected="1" workbookViewId="0">
      <selection activeCell="J11" sqref="J11"/>
    </sheetView>
  </sheetViews>
  <sheetFormatPr defaultColWidth="8.85546875" defaultRowHeight="15" x14ac:dyDescent="0.25"/>
  <cols>
    <col min="1" max="1" width="10.140625" style="8" bestFit="1" customWidth="1"/>
    <col min="2" max="2" width="4" style="8" bestFit="1" customWidth="1"/>
    <col min="3" max="3" width="6" style="8" bestFit="1" customWidth="1"/>
    <col min="4" max="12" width="11.28515625" style="8" bestFit="1" customWidth="1"/>
    <col min="13" max="18" width="12.28515625" style="8" bestFit="1" customWidth="1"/>
    <col min="19" max="20" width="11.140625" style="8" bestFit="1" customWidth="1"/>
    <col min="21" max="21" width="8.85546875" style="8"/>
    <col min="22" max="30" width="11.28515625" style="8" bestFit="1" customWidth="1"/>
    <col min="31" max="36" width="12.28515625" style="8" bestFit="1" customWidth="1"/>
    <col min="37" max="16384" width="8.85546875" style="8"/>
  </cols>
  <sheetData>
    <row r="1" spans="1:36" ht="15.75" thickBot="1" x14ac:dyDescent="0.3">
      <c r="A1" s="20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36" x14ac:dyDescent="0.25">
      <c r="A2" s="1" t="s">
        <v>27</v>
      </c>
      <c r="B2" s="1"/>
      <c r="C2" s="1"/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4" t="s">
        <v>28</v>
      </c>
      <c r="T2" s="4" t="s">
        <v>29</v>
      </c>
      <c r="V2" s="1" t="str">
        <f>D2</f>
        <v>Algorithm 1</v>
      </c>
      <c r="W2" s="1" t="str">
        <f t="shared" ref="W2:AJ2" si="0">E2</f>
        <v>Algorithm 2</v>
      </c>
      <c r="X2" s="1" t="str">
        <f t="shared" si="0"/>
        <v>Algorithm 3</v>
      </c>
      <c r="Y2" s="1" t="str">
        <f t="shared" si="0"/>
        <v>Algorithm 4</v>
      </c>
      <c r="Z2" s="1" t="str">
        <f t="shared" si="0"/>
        <v>Algorithm 5</v>
      </c>
      <c r="AA2" s="1" t="str">
        <f t="shared" si="0"/>
        <v>Algorithm 6</v>
      </c>
      <c r="AB2" s="1" t="str">
        <f t="shared" si="0"/>
        <v>Algorithm 7</v>
      </c>
      <c r="AC2" s="1" t="str">
        <f t="shared" si="0"/>
        <v>Algorithm 8</v>
      </c>
      <c r="AD2" s="1" t="str">
        <f t="shared" si="0"/>
        <v>Algorithm 9</v>
      </c>
      <c r="AE2" s="1" t="str">
        <f t="shared" si="0"/>
        <v>Algorithm 10</v>
      </c>
      <c r="AF2" s="1" t="str">
        <f t="shared" si="0"/>
        <v>Algorithm 11</v>
      </c>
      <c r="AG2" s="1" t="str">
        <f t="shared" si="0"/>
        <v>Algorithm 12</v>
      </c>
      <c r="AH2" s="1" t="str">
        <f t="shared" si="0"/>
        <v>Algorithm 13</v>
      </c>
      <c r="AI2" s="1" t="str">
        <f t="shared" si="0"/>
        <v>Algorithm 14</v>
      </c>
      <c r="AJ2" s="1" t="str">
        <f t="shared" si="0"/>
        <v>Algorithm 15</v>
      </c>
    </row>
    <row r="3" spans="1:36" ht="14.45" customHeight="1" x14ac:dyDescent="0.25">
      <c r="A3" s="26" t="s">
        <v>26</v>
      </c>
      <c r="B3" s="2" t="s">
        <v>61</v>
      </c>
      <c r="C3" s="2" t="s">
        <v>57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 t="s">
        <v>0</v>
      </c>
      <c r="T3" s="2" t="s">
        <v>23</v>
      </c>
      <c r="V3" s="8" t="e">
        <f t="shared" ref="V3:AJ3" si="1">_xlfn.RANK.EQ(D3,$D3:$R3,1)</f>
        <v>#N/A</v>
      </c>
      <c r="W3" s="8" t="e">
        <f t="shared" si="1"/>
        <v>#N/A</v>
      </c>
      <c r="X3" s="8" t="e">
        <f t="shared" si="1"/>
        <v>#N/A</v>
      </c>
      <c r="Y3" s="8" t="e">
        <f t="shared" si="1"/>
        <v>#N/A</v>
      </c>
      <c r="Z3" s="8" t="e">
        <f t="shared" si="1"/>
        <v>#N/A</v>
      </c>
      <c r="AA3" s="8" t="e">
        <f t="shared" si="1"/>
        <v>#N/A</v>
      </c>
      <c r="AB3" s="8" t="e">
        <f t="shared" si="1"/>
        <v>#N/A</v>
      </c>
      <c r="AC3" s="8" t="e">
        <f t="shared" si="1"/>
        <v>#N/A</v>
      </c>
      <c r="AD3" s="8" t="e">
        <f t="shared" si="1"/>
        <v>#N/A</v>
      </c>
      <c r="AE3" s="8" t="e">
        <f t="shared" si="1"/>
        <v>#N/A</v>
      </c>
      <c r="AF3" s="8" t="e">
        <f t="shared" si="1"/>
        <v>#N/A</v>
      </c>
      <c r="AG3" s="8" t="e">
        <f t="shared" si="1"/>
        <v>#N/A</v>
      </c>
      <c r="AH3" s="8" t="e">
        <f t="shared" si="1"/>
        <v>#N/A</v>
      </c>
      <c r="AI3" s="8" t="e">
        <f t="shared" si="1"/>
        <v>#N/A</v>
      </c>
      <c r="AJ3" s="8" t="e">
        <f t="shared" si="1"/>
        <v>#N/A</v>
      </c>
    </row>
    <row r="4" spans="1:36" x14ac:dyDescent="0.25">
      <c r="A4" s="27"/>
      <c r="B4" s="15" t="s">
        <v>61</v>
      </c>
      <c r="C4" s="4" t="s">
        <v>58</v>
      </c>
      <c r="D4" s="5"/>
      <c r="E4" s="5"/>
      <c r="F4" s="5"/>
      <c r="G4" s="5"/>
      <c r="H4" s="5"/>
      <c r="I4" s="5"/>
      <c r="J4" s="5"/>
      <c r="K4" s="5"/>
      <c r="L4" s="10"/>
      <c r="M4" s="10"/>
      <c r="N4" s="10"/>
      <c r="O4" s="10"/>
      <c r="P4" s="10"/>
      <c r="Q4" s="10"/>
      <c r="R4" s="10"/>
      <c r="S4" s="4"/>
      <c r="T4" s="4" t="s">
        <v>24</v>
      </c>
    </row>
    <row r="5" spans="1:36" x14ac:dyDescent="0.25">
      <c r="A5" s="27"/>
      <c r="B5" s="6" t="s">
        <v>61</v>
      </c>
      <c r="C5" s="6" t="s">
        <v>59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6"/>
      <c r="T5" s="6" t="s">
        <v>25</v>
      </c>
    </row>
    <row r="6" spans="1:36" x14ac:dyDescent="0.25">
      <c r="A6" s="27"/>
      <c r="B6" s="2" t="s">
        <v>62</v>
      </c>
      <c r="C6" s="2" t="s">
        <v>57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 t="s">
        <v>1</v>
      </c>
      <c r="T6" s="2" t="s">
        <v>23</v>
      </c>
      <c r="V6" s="8" t="e">
        <f t="shared" ref="V6:AJ6" si="2">_xlfn.RANK.EQ(D6,$D6:$R6,1)</f>
        <v>#N/A</v>
      </c>
      <c r="W6" s="8" t="e">
        <f t="shared" si="2"/>
        <v>#N/A</v>
      </c>
      <c r="X6" s="8" t="e">
        <f t="shared" si="2"/>
        <v>#N/A</v>
      </c>
      <c r="Y6" s="8" t="e">
        <f t="shared" si="2"/>
        <v>#N/A</v>
      </c>
      <c r="Z6" s="8" t="e">
        <f t="shared" si="2"/>
        <v>#N/A</v>
      </c>
      <c r="AA6" s="8" t="e">
        <f t="shared" si="2"/>
        <v>#N/A</v>
      </c>
      <c r="AB6" s="8" t="e">
        <f t="shared" si="2"/>
        <v>#N/A</v>
      </c>
      <c r="AC6" s="8" t="e">
        <f t="shared" si="2"/>
        <v>#N/A</v>
      </c>
      <c r="AD6" s="8" t="e">
        <f t="shared" si="2"/>
        <v>#N/A</v>
      </c>
      <c r="AE6" s="8" t="e">
        <f t="shared" si="2"/>
        <v>#N/A</v>
      </c>
      <c r="AF6" s="8" t="e">
        <f t="shared" si="2"/>
        <v>#N/A</v>
      </c>
      <c r="AG6" s="8" t="e">
        <f t="shared" si="2"/>
        <v>#N/A</v>
      </c>
      <c r="AH6" s="8" t="e">
        <f t="shared" si="2"/>
        <v>#N/A</v>
      </c>
      <c r="AI6" s="8" t="e">
        <f t="shared" si="2"/>
        <v>#N/A</v>
      </c>
      <c r="AJ6" s="8" t="e">
        <f t="shared" si="2"/>
        <v>#N/A</v>
      </c>
    </row>
    <row r="7" spans="1:36" x14ac:dyDescent="0.25">
      <c r="A7" s="27"/>
      <c r="B7" s="15" t="s">
        <v>62</v>
      </c>
      <c r="C7" s="4" t="s">
        <v>58</v>
      </c>
      <c r="D7" s="5"/>
      <c r="E7" s="5"/>
      <c r="F7" s="5"/>
      <c r="G7" s="5"/>
      <c r="H7" s="5"/>
      <c r="I7" s="5"/>
      <c r="J7" s="5"/>
      <c r="K7" s="5"/>
      <c r="L7" s="10"/>
      <c r="M7" s="10"/>
      <c r="N7" s="10"/>
      <c r="O7" s="10"/>
      <c r="P7" s="10"/>
      <c r="Q7" s="10"/>
      <c r="R7" s="10"/>
      <c r="S7" s="4"/>
      <c r="T7" s="4" t="s">
        <v>24</v>
      </c>
    </row>
    <row r="8" spans="1:36" x14ac:dyDescent="0.25">
      <c r="A8" s="27"/>
      <c r="B8" s="6" t="s">
        <v>62</v>
      </c>
      <c r="C8" s="6" t="s">
        <v>59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6"/>
      <c r="T8" s="6" t="s">
        <v>25</v>
      </c>
    </row>
    <row r="9" spans="1:36" x14ac:dyDescent="0.25">
      <c r="A9" s="27"/>
      <c r="B9" s="2" t="s">
        <v>63</v>
      </c>
      <c r="C9" s="2" t="s">
        <v>57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 t="s">
        <v>2</v>
      </c>
      <c r="T9" s="2" t="s">
        <v>23</v>
      </c>
      <c r="V9" s="8" t="e">
        <f t="shared" ref="V9:AJ9" si="3">_xlfn.RANK.EQ(D9,$D9:$R9,1)</f>
        <v>#N/A</v>
      </c>
      <c r="W9" s="8" t="e">
        <f t="shared" si="3"/>
        <v>#N/A</v>
      </c>
      <c r="X9" s="8" t="e">
        <f t="shared" si="3"/>
        <v>#N/A</v>
      </c>
      <c r="Y9" s="8" t="e">
        <f t="shared" si="3"/>
        <v>#N/A</v>
      </c>
      <c r="Z9" s="8" t="e">
        <f t="shared" si="3"/>
        <v>#N/A</v>
      </c>
      <c r="AA9" s="8" t="e">
        <f t="shared" si="3"/>
        <v>#N/A</v>
      </c>
      <c r="AB9" s="8" t="e">
        <f t="shared" si="3"/>
        <v>#N/A</v>
      </c>
      <c r="AC9" s="8" t="e">
        <f t="shared" si="3"/>
        <v>#N/A</v>
      </c>
      <c r="AD9" s="8" t="e">
        <f t="shared" si="3"/>
        <v>#N/A</v>
      </c>
      <c r="AE9" s="8" t="e">
        <f t="shared" si="3"/>
        <v>#N/A</v>
      </c>
      <c r="AF9" s="8" t="e">
        <f t="shared" si="3"/>
        <v>#N/A</v>
      </c>
      <c r="AG9" s="8" t="e">
        <f t="shared" si="3"/>
        <v>#N/A</v>
      </c>
      <c r="AH9" s="8" t="e">
        <f t="shared" si="3"/>
        <v>#N/A</v>
      </c>
      <c r="AI9" s="8" t="e">
        <f t="shared" si="3"/>
        <v>#N/A</v>
      </c>
      <c r="AJ9" s="8" t="e">
        <f t="shared" si="3"/>
        <v>#N/A</v>
      </c>
    </row>
    <row r="10" spans="1:36" x14ac:dyDescent="0.25">
      <c r="A10" s="27"/>
      <c r="B10" s="15" t="s">
        <v>63</v>
      </c>
      <c r="C10" s="4" t="s">
        <v>58</v>
      </c>
      <c r="D10" s="5"/>
      <c r="E10" s="5"/>
      <c r="F10" s="5"/>
      <c r="G10" s="5"/>
      <c r="H10" s="5"/>
      <c r="I10" s="5"/>
      <c r="J10" s="5"/>
      <c r="K10" s="5"/>
      <c r="L10" s="10"/>
      <c r="M10" s="10"/>
      <c r="N10" s="10"/>
      <c r="O10" s="10"/>
      <c r="P10" s="10"/>
      <c r="Q10" s="10"/>
      <c r="R10" s="10"/>
      <c r="S10" s="4"/>
      <c r="T10" s="4" t="s">
        <v>24</v>
      </c>
    </row>
    <row r="11" spans="1:36" x14ac:dyDescent="0.25">
      <c r="A11" s="27"/>
      <c r="B11" s="6" t="s">
        <v>63</v>
      </c>
      <c r="C11" s="6" t="s">
        <v>59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6"/>
      <c r="T11" s="6" t="s">
        <v>25</v>
      </c>
    </row>
    <row r="12" spans="1:36" ht="14.45" customHeight="1" x14ac:dyDescent="0.25">
      <c r="A12" s="27"/>
      <c r="B12" s="2" t="s">
        <v>64</v>
      </c>
      <c r="C12" s="2" t="s">
        <v>57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" t="s">
        <v>3</v>
      </c>
      <c r="T12" s="2" t="s">
        <v>23</v>
      </c>
      <c r="V12" s="8" t="e">
        <f t="shared" ref="V12:AJ12" si="4">_xlfn.RANK.EQ(D12,$D12:$R12,1)</f>
        <v>#N/A</v>
      </c>
      <c r="W12" s="8" t="e">
        <f t="shared" si="4"/>
        <v>#N/A</v>
      </c>
      <c r="X12" s="8" t="e">
        <f t="shared" si="4"/>
        <v>#N/A</v>
      </c>
      <c r="Y12" s="8" t="e">
        <f t="shared" si="4"/>
        <v>#N/A</v>
      </c>
      <c r="Z12" s="8" t="e">
        <f t="shared" si="4"/>
        <v>#N/A</v>
      </c>
      <c r="AA12" s="8" t="e">
        <f t="shared" si="4"/>
        <v>#N/A</v>
      </c>
      <c r="AB12" s="8" t="e">
        <f t="shared" si="4"/>
        <v>#N/A</v>
      </c>
      <c r="AC12" s="8" t="e">
        <f t="shared" si="4"/>
        <v>#N/A</v>
      </c>
      <c r="AD12" s="8" t="e">
        <f t="shared" si="4"/>
        <v>#N/A</v>
      </c>
      <c r="AE12" s="8" t="e">
        <f t="shared" si="4"/>
        <v>#N/A</v>
      </c>
      <c r="AF12" s="8" t="e">
        <f t="shared" si="4"/>
        <v>#N/A</v>
      </c>
      <c r="AG12" s="8" t="e">
        <f t="shared" si="4"/>
        <v>#N/A</v>
      </c>
      <c r="AH12" s="8" t="e">
        <f t="shared" si="4"/>
        <v>#N/A</v>
      </c>
      <c r="AI12" s="8" t="e">
        <f t="shared" si="4"/>
        <v>#N/A</v>
      </c>
      <c r="AJ12" s="8" t="e">
        <f t="shared" si="4"/>
        <v>#N/A</v>
      </c>
    </row>
    <row r="13" spans="1:36" x14ac:dyDescent="0.25">
      <c r="A13" s="27"/>
      <c r="B13" s="15" t="s">
        <v>64</v>
      </c>
      <c r="C13" s="4" t="s">
        <v>58</v>
      </c>
      <c r="D13" s="5"/>
      <c r="E13" s="5"/>
      <c r="F13" s="5"/>
      <c r="G13" s="5"/>
      <c r="H13" s="5"/>
      <c r="I13" s="5"/>
      <c r="J13" s="5"/>
      <c r="K13" s="5"/>
      <c r="L13" s="10"/>
      <c r="M13" s="10"/>
      <c r="N13" s="10"/>
      <c r="O13" s="10"/>
      <c r="P13" s="10"/>
      <c r="Q13" s="10"/>
      <c r="R13" s="10"/>
      <c r="S13" s="4"/>
      <c r="T13" s="4" t="s">
        <v>24</v>
      </c>
    </row>
    <row r="14" spans="1:36" x14ac:dyDescent="0.25">
      <c r="A14" s="27"/>
      <c r="B14" s="6" t="s">
        <v>64</v>
      </c>
      <c r="C14" s="6" t="s">
        <v>59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6"/>
      <c r="T14" s="6" t="s">
        <v>25</v>
      </c>
    </row>
    <row r="15" spans="1:36" x14ac:dyDescent="0.25">
      <c r="A15" s="27"/>
      <c r="B15" s="2" t="s">
        <v>65</v>
      </c>
      <c r="C15" s="2" t="s">
        <v>57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2" t="s">
        <v>4</v>
      </c>
      <c r="T15" s="2" t="s">
        <v>23</v>
      </c>
      <c r="V15" s="8" t="e">
        <f t="shared" ref="V15:AJ15" si="5">_xlfn.RANK.EQ(D15,$D15:$R15,1)</f>
        <v>#N/A</v>
      </c>
      <c r="W15" s="8" t="e">
        <f t="shared" si="5"/>
        <v>#N/A</v>
      </c>
      <c r="X15" s="8" t="e">
        <f t="shared" si="5"/>
        <v>#N/A</v>
      </c>
      <c r="Y15" s="8" t="e">
        <f t="shared" si="5"/>
        <v>#N/A</v>
      </c>
      <c r="Z15" s="8" t="e">
        <f t="shared" si="5"/>
        <v>#N/A</v>
      </c>
      <c r="AA15" s="8" t="e">
        <f t="shared" si="5"/>
        <v>#N/A</v>
      </c>
      <c r="AB15" s="8" t="e">
        <f t="shared" si="5"/>
        <v>#N/A</v>
      </c>
      <c r="AC15" s="8" t="e">
        <f t="shared" si="5"/>
        <v>#N/A</v>
      </c>
      <c r="AD15" s="8" t="e">
        <f t="shared" si="5"/>
        <v>#N/A</v>
      </c>
      <c r="AE15" s="8" t="e">
        <f t="shared" si="5"/>
        <v>#N/A</v>
      </c>
      <c r="AF15" s="8" t="e">
        <f t="shared" si="5"/>
        <v>#N/A</v>
      </c>
      <c r="AG15" s="8" t="e">
        <f t="shared" si="5"/>
        <v>#N/A</v>
      </c>
      <c r="AH15" s="8" t="e">
        <f t="shared" si="5"/>
        <v>#N/A</v>
      </c>
      <c r="AI15" s="8" t="e">
        <f t="shared" si="5"/>
        <v>#N/A</v>
      </c>
      <c r="AJ15" s="8" t="e">
        <f t="shared" si="5"/>
        <v>#N/A</v>
      </c>
    </row>
    <row r="16" spans="1:36" x14ac:dyDescent="0.25">
      <c r="A16" s="27"/>
      <c r="B16" s="15" t="s">
        <v>65</v>
      </c>
      <c r="C16" s="4" t="s">
        <v>58</v>
      </c>
      <c r="D16" s="5"/>
      <c r="E16" s="5"/>
      <c r="F16" s="5"/>
      <c r="G16" s="5"/>
      <c r="H16" s="5"/>
      <c r="I16" s="5"/>
      <c r="J16" s="5"/>
      <c r="K16" s="5"/>
      <c r="L16" s="10"/>
      <c r="M16" s="10"/>
      <c r="N16" s="10"/>
      <c r="O16" s="10"/>
      <c r="P16" s="10"/>
      <c r="Q16" s="10"/>
      <c r="R16" s="10"/>
      <c r="S16" s="4"/>
      <c r="T16" s="4" t="s">
        <v>24</v>
      </c>
    </row>
    <row r="17" spans="1:36" x14ac:dyDescent="0.25">
      <c r="A17" s="27"/>
      <c r="B17" s="6" t="s">
        <v>65</v>
      </c>
      <c r="C17" s="6" t="s">
        <v>59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6"/>
      <c r="T17" s="6" t="s">
        <v>25</v>
      </c>
    </row>
    <row r="18" spans="1:36" x14ac:dyDescent="0.25">
      <c r="A18" s="27"/>
      <c r="B18" s="2" t="s">
        <v>66</v>
      </c>
      <c r="C18" s="2" t="s">
        <v>57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" t="s">
        <v>5</v>
      </c>
      <c r="T18" s="2" t="s">
        <v>23</v>
      </c>
      <c r="V18" s="8" t="e">
        <f t="shared" ref="V18:AJ18" si="6">_xlfn.RANK.EQ(D18,$D18:$R18,1)</f>
        <v>#N/A</v>
      </c>
      <c r="W18" s="8" t="e">
        <f t="shared" si="6"/>
        <v>#N/A</v>
      </c>
      <c r="X18" s="8" t="e">
        <f t="shared" si="6"/>
        <v>#N/A</v>
      </c>
      <c r="Y18" s="8" t="e">
        <f t="shared" si="6"/>
        <v>#N/A</v>
      </c>
      <c r="Z18" s="8" t="e">
        <f t="shared" si="6"/>
        <v>#N/A</v>
      </c>
      <c r="AA18" s="8" t="e">
        <f t="shared" si="6"/>
        <v>#N/A</v>
      </c>
      <c r="AB18" s="8" t="e">
        <f t="shared" si="6"/>
        <v>#N/A</v>
      </c>
      <c r="AC18" s="8" t="e">
        <f t="shared" si="6"/>
        <v>#N/A</v>
      </c>
      <c r="AD18" s="8" t="e">
        <f t="shared" si="6"/>
        <v>#N/A</v>
      </c>
      <c r="AE18" s="8" t="e">
        <f t="shared" si="6"/>
        <v>#N/A</v>
      </c>
      <c r="AF18" s="8" t="e">
        <f t="shared" si="6"/>
        <v>#N/A</v>
      </c>
      <c r="AG18" s="8" t="e">
        <f t="shared" si="6"/>
        <v>#N/A</v>
      </c>
      <c r="AH18" s="8" t="e">
        <f t="shared" si="6"/>
        <v>#N/A</v>
      </c>
      <c r="AI18" s="8" t="e">
        <f t="shared" si="6"/>
        <v>#N/A</v>
      </c>
      <c r="AJ18" s="8" t="e">
        <f t="shared" si="6"/>
        <v>#N/A</v>
      </c>
    </row>
    <row r="19" spans="1:36" x14ac:dyDescent="0.25">
      <c r="A19" s="27"/>
      <c r="B19" s="15" t="s">
        <v>66</v>
      </c>
      <c r="C19" s="4" t="s">
        <v>58</v>
      </c>
      <c r="D19" s="5"/>
      <c r="E19" s="5"/>
      <c r="F19" s="5"/>
      <c r="G19" s="5"/>
      <c r="H19" s="5"/>
      <c r="I19" s="5"/>
      <c r="J19" s="5"/>
      <c r="K19" s="5"/>
      <c r="L19" s="10"/>
      <c r="M19" s="10"/>
      <c r="N19" s="10"/>
      <c r="O19" s="10"/>
      <c r="P19" s="10"/>
      <c r="Q19" s="10"/>
      <c r="R19" s="10"/>
      <c r="S19" s="4"/>
      <c r="T19" s="4" t="s">
        <v>24</v>
      </c>
    </row>
    <row r="20" spans="1:36" x14ac:dyDescent="0.25">
      <c r="A20" s="27"/>
      <c r="B20" s="6" t="s">
        <v>66</v>
      </c>
      <c r="C20" s="6" t="s">
        <v>59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6"/>
      <c r="T20" s="6" t="s">
        <v>25</v>
      </c>
    </row>
    <row r="21" spans="1:36" x14ac:dyDescent="0.25">
      <c r="A21" s="27"/>
      <c r="B21" s="2" t="s">
        <v>67</v>
      </c>
      <c r="C21" s="2" t="s">
        <v>57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 t="s">
        <v>6</v>
      </c>
      <c r="T21" s="2" t="s">
        <v>23</v>
      </c>
      <c r="V21" s="8" t="e">
        <f t="shared" ref="V21:AJ21" si="7">_xlfn.RANK.EQ(D21,$D21:$R21,1)</f>
        <v>#N/A</v>
      </c>
      <c r="W21" s="8" t="e">
        <f t="shared" si="7"/>
        <v>#N/A</v>
      </c>
      <c r="X21" s="8" t="e">
        <f t="shared" si="7"/>
        <v>#N/A</v>
      </c>
      <c r="Y21" s="8" t="e">
        <f t="shared" si="7"/>
        <v>#N/A</v>
      </c>
      <c r="Z21" s="8" t="e">
        <f t="shared" si="7"/>
        <v>#N/A</v>
      </c>
      <c r="AA21" s="8" t="e">
        <f t="shared" si="7"/>
        <v>#N/A</v>
      </c>
      <c r="AB21" s="8" t="e">
        <f t="shared" si="7"/>
        <v>#N/A</v>
      </c>
      <c r="AC21" s="8" t="e">
        <f t="shared" si="7"/>
        <v>#N/A</v>
      </c>
      <c r="AD21" s="8" t="e">
        <f t="shared" si="7"/>
        <v>#N/A</v>
      </c>
      <c r="AE21" s="8" t="e">
        <f t="shared" si="7"/>
        <v>#N/A</v>
      </c>
      <c r="AF21" s="8" t="e">
        <f t="shared" si="7"/>
        <v>#N/A</v>
      </c>
      <c r="AG21" s="8" t="e">
        <f t="shared" si="7"/>
        <v>#N/A</v>
      </c>
      <c r="AH21" s="8" t="e">
        <f t="shared" si="7"/>
        <v>#N/A</v>
      </c>
      <c r="AI21" s="8" t="e">
        <f t="shared" si="7"/>
        <v>#N/A</v>
      </c>
      <c r="AJ21" s="8" t="e">
        <f t="shared" si="7"/>
        <v>#N/A</v>
      </c>
    </row>
    <row r="22" spans="1:36" x14ac:dyDescent="0.25">
      <c r="A22" s="27"/>
      <c r="B22" s="15" t="s">
        <v>67</v>
      </c>
      <c r="C22" s="4" t="s">
        <v>58</v>
      </c>
      <c r="D22" s="5"/>
      <c r="E22" s="5"/>
      <c r="F22" s="5"/>
      <c r="G22" s="5"/>
      <c r="H22" s="5"/>
      <c r="I22" s="5"/>
      <c r="J22" s="5"/>
      <c r="K22" s="5"/>
      <c r="L22" s="10"/>
      <c r="M22" s="10"/>
      <c r="N22" s="10"/>
      <c r="O22" s="10"/>
      <c r="P22" s="10"/>
      <c r="Q22" s="10"/>
      <c r="R22" s="10"/>
      <c r="S22" s="4"/>
      <c r="T22" s="4" t="s">
        <v>24</v>
      </c>
    </row>
    <row r="23" spans="1:36" x14ac:dyDescent="0.25">
      <c r="A23" s="23"/>
      <c r="B23" s="6" t="s">
        <v>67</v>
      </c>
      <c r="C23" s="6" t="s">
        <v>59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6"/>
      <c r="T23" s="6" t="s">
        <v>25</v>
      </c>
    </row>
    <row r="24" spans="1:36" x14ac:dyDescent="0.25">
      <c r="A24" s="26" t="s">
        <v>30</v>
      </c>
      <c r="B24" s="2" t="s">
        <v>68</v>
      </c>
      <c r="C24" s="2" t="s">
        <v>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 t="s">
        <v>7</v>
      </c>
      <c r="T24" s="2" t="s">
        <v>23</v>
      </c>
      <c r="V24" s="8" t="e">
        <f t="shared" ref="V24:AJ24" si="8">_xlfn.RANK.EQ(D24,$D24:$R24,1)</f>
        <v>#N/A</v>
      </c>
      <c r="W24" s="8" t="e">
        <f t="shared" si="8"/>
        <v>#N/A</v>
      </c>
      <c r="X24" s="8" t="e">
        <f t="shared" si="8"/>
        <v>#N/A</v>
      </c>
      <c r="Y24" s="8" t="e">
        <f t="shared" si="8"/>
        <v>#N/A</v>
      </c>
      <c r="Z24" s="8" t="e">
        <f t="shared" si="8"/>
        <v>#N/A</v>
      </c>
      <c r="AA24" s="8" t="e">
        <f t="shared" si="8"/>
        <v>#N/A</v>
      </c>
      <c r="AB24" s="8" t="e">
        <f t="shared" si="8"/>
        <v>#N/A</v>
      </c>
      <c r="AC24" s="8" t="e">
        <f t="shared" si="8"/>
        <v>#N/A</v>
      </c>
      <c r="AD24" s="8" t="e">
        <f t="shared" si="8"/>
        <v>#N/A</v>
      </c>
      <c r="AE24" s="8" t="e">
        <f t="shared" si="8"/>
        <v>#N/A</v>
      </c>
      <c r="AF24" s="8" t="e">
        <f t="shared" si="8"/>
        <v>#N/A</v>
      </c>
      <c r="AG24" s="8" t="e">
        <f t="shared" si="8"/>
        <v>#N/A</v>
      </c>
      <c r="AH24" s="8" t="e">
        <f t="shared" si="8"/>
        <v>#N/A</v>
      </c>
      <c r="AI24" s="8" t="e">
        <f t="shared" si="8"/>
        <v>#N/A</v>
      </c>
      <c r="AJ24" s="8" t="e">
        <f t="shared" si="8"/>
        <v>#N/A</v>
      </c>
    </row>
    <row r="25" spans="1:36" x14ac:dyDescent="0.25">
      <c r="A25" s="27"/>
      <c r="B25" s="15" t="s">
        <v>68</v>
      </c>
      <c r="C25" s="4" t="s">
        <v>58</v>
      </c>
      <c r="D25" s="5"/>
      <c r="E25" s="5"/>
      <c r="F25" s="5"/>
      <c r="G25" s="5"/>
      <c r="H25" s="5"/>
      <c r="I25" s="5"/>
      <c r="J25" s="5"/>
      <c r="K25" s="5"/>
      <c r="L25" s="10"/>
      <c r="M25" s="10"/>
      <c r="N25" s="10"/>
      <c r="O25" s="10"/>
      <c r="P25" s="10"/>
      <c r="Q25" s="10"/>
      <c r="R25" s="10"/>
      <c r="S25" s="4"/>
      <c r="T25" s="4" t="s">
        <v>24</v>
      </c>
    </row>
    <row r="26" spans="1:36" x14ac:dyDescent="0.25">
      <c r="A26" s="27"/>
      <c r="B26" s="6" t="s">
        <v>68</v>
      </c>
      <c r="C26" s="6" t="s">
        <v>59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6"/>
      <c r="T26" s="6" t="s">
        <v>25</v>
      </c>
    </row>
    <row r="27" spans="1:36" x14ac:dyDescent="0.25">
      <c r="A27" s="27"/>
      <c r="B27" s="2" t="s">
        <v>69</v>
      </c>
      <c r="C27" s="2" t="s">
        <v>57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2" t="s">
        <v>8</v>
      </c>
      <c r="T27" s="2" t="s">
        <v>23</v>
      </c>
      <c r="V27" s="8" t="e">
        <f t="shared" ref="V27:AJ27" si="9">_xlfn.RANK.EQ(D27,$D27:$R27,1)</f>
        <v>#N/A</v>
      </c>
      <c r="W27" s="8" t="e">
        <f t="shared" si="9"/>
        <v>#N/A</v>
      </c>
      <c r="X27" s="8" t="e">
        <f t="shared" si="9"/>
        <v>#N/A</v>
      </c>
      <c r="Y27" s="8" t="e">
        <f t="shared" si="9"/>
        <v>#N/A</v>
      </c>
      <c r="Z27" s="8" t="e">
        <f t="shared" si="9"/>
        <v>#N/A</v>
      </c>
      <c r="AA27" s="8" t="e">
        <f t="shared" si="9"/>
        <v>#N/A</v>
      </c>
      <c r="AB27" s="8" t="e">
        <f t="shared" si="9"/>
        <v>#N/A</v>
      </c>
      <c r="AC27" s="8" t="e">
        <f t="shared" si="9"/>
        <v>#N/A</v>
      </c>
      <c r="AD27" s="8" t="e">
        <f t="shared" si="9"/>
        <v>#N/A</v>
      </c>
      <c r="AE27" s="8" t="e">
        <f t="shared" si="9"/>
        <v>#N/A</v>
      </c>
      <c r="AF27" s="8" t="e">
        <f t="shared" si="9"/>
        <v>#N/A</v>
      </c>
      <c r="AG27" s="8" t="e">
        <f t="shared" si="9"/>
        <v>#N/A</v>
      </c>
      <c r="AH27" s="8" t="e">
        <f t="shared" si="9"/>
        <v>#N/A</v>
      </c>
      <c r="AI27" s="8" t="e">
        <f t="shared" si="9"/>
        <v>#N/A</v>
      </c>
      <c r="AJ27" s="8" t="e">
        <f t="shared" si="9"/>
        <v>#N/A</v>
      </c>
    </row>
    <row r="28" spans="1:36" x14ac:dyDescent="0.25">
      <c r="A28" s="27"/>
      <c r="B28" s="15" t="s">
        <v>69</v>
      </c>
      <c r="C28" s="4" t="s">
        <v>58</v>
      </c>
      <c r="D28" s="5"/>
      <c r="E28" s="5"/>
      <c r="F28" s="5"/>
      <c r="G28" s="5"/>
      <c r="H28" s="5"/>
      <c r="I28" s="5"/>
      <c r="J28" s="5"/>
      <c r="K28" s="5"/>
      <c r="L28" s="10"/>
      <c r="M28" s="10"/>
      <c r="N28" s="10"/>
      <c r="O28" s="10"/>
      <c r="P28" s="10"/>
      <c r="Q28" s="10"/>
      <c r="R28" s="10"/>
      <c r="S28" s="4"/>
      <c r="T28" s="4" t="s">
        <v>24</v>
      </c>
    </row>
    <row r="29" spans="1:36" x14ac:dyDescent="0.25">
      <c r="A29" s="27"/>
      <c r="B29" s="6" t="s">
        <v>69</v>
      </c>
      <c r="C29" s="6" t="s">
        <v>59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6"/>
      <c r="T29" s="6" t="s">
        <v>25</v>
      </c>
    </row>
    <row r="30" spans="1:36" x14ac:dyDescent="0.25">
      <c r="A30" s="27"/>
      <c r="B30" s="2" t="s">
        <v>70</v>
      </c>
      <c r="C30" s="2" t="s">
        <v>57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2" t="s">
        <v>9</v>
      </c>
      <c r="T30" s="2" t="s">
        <v>23</v>
      </c>
      <c r="V30" s="8" t="e">
        <f t="shared" ref="V30:AJ30" si="10">_xlfn.RANK.EQ(D30,$D30:$R30,1)</f>
        <v>#N/A</v>
      </c>
      <c r="W30" s="8" t="e">
        <f t="shared" si="10"/>
        <v>#N/A</v>
      </c>
      <c r="X30" s="8" t="e">
        <f t="shared" si="10"/>
        <v>#N/A</v>
      </c>
      <c r="Y30" s="8" t="e">
        <f t="shared" si="10"/>
        <v>#N/A</v>
      </c>
      <c r="Z30" s="8" t="e">
        <f t="shared" si="10"/>
        <v>#N/A</v>
      </c>
      <c r="AA30" s="8" t="e">
        <f t="shared" si="10"/>
        <v>#N/A</v>
      </c>
      <c r="AB30" s="8" t="e">
        <f t="shared" si="10"/>
        <v>#N/A</v>
      </c>
      <c r="AC30" s="8" t="e">
        <f t="shared" si="10"/>
        <v>#N/A</v>
      </c>
      <c r="AD30" s="8" t="e">
        <f t="shared" si="10"/>
        <v>#N/A</v>
      </c>
      <c r="AE30" s="8" t="e">
        <f t="shared" si="10"/>
        <v>#N/A</v>
      </c>
      <c r="AF30" s="8" t="e">
        <f t="shared" si="10"/>
        <v>#N/A</v>
      </c>
      <c r="AG30" s="8" t="e">
        <f t="shared" si="10"/>
        <v>#N/A</v>
      </c>
      <c r="AH30" s="8" t="e">
        <f t="shared" si="10"/>
        <v>#N/A</v>
      </c>
      <c r="AI30" s="8" t="e">
        <f t="shared" si="10"/>
        <v>#N/A</v>
      </c>
      <c r="AJ30" s="8" t="e">
        <f t="shared" si="10"/>
        <v>#N/A</v>
      </c>
    </row>
    <row r="31" spans="1:36" x14ac:dyDescent="0.25">
      <c r="A31" s="27"/>
      <c r="B31" s="15" t="s">
        <v>70</v>
      </c>
      <c r="C31" s="4" t="s">
        <v>58</v>
      </c>
      <c r="D31" s="5"/>
      <c r="E31" s="5"/>
      <c r="F31" s="5"/>
      <c r="G31" s="5"/>
      <c r="H31" s="5"/>
      <c r="I31" s="5"/>
      <c r="J31" s="5"/>
      <c r="K31" s="5"/>
      <c r="L31" s="10"/>
      <c r="M31" s="10"/>
      <c r="N31" s="10"/>
      <c r="O31" s="10"/>
      <c r="P31" s="10"/>
      <c r="Q31" s="10"/>
      <c r="R31" s="10"/>
      <c r="S31" s="4"/>
      <c r="T31" s="4" t="s">
        <v>24</v>
      </c>
    </row>
    <row r="32" spans="1:36" x14ac:dyDescent="0.25">
      <c r="A32" s="27"/>
      <c r="B32" s="6" t="s">
        <v>70</v>
      </c>
      <c r="C32" s="6" t="s">
        <v>59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6"/>
      <c r="T32" s="6" t="s">
        <v>25</v>
      </c>
    </row>
    <row r="33" spans="1:36" x14ac:dyDescent="0.25">
      <c r="A33" s="27"/>
      <c r="B33" s="2" t="s">
        <v>71</v>
      </c>
      <c r="C33" s="2" t="s">
        <v>57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2" t="s">
        <v>10</v>
      </c>
      <c r="T33" s="2" t="s">
        <v>23</v>
      </c>
      <c r="V33" s="8" t="e">
        <f t="shared" ref="V33:AJ33" si="11">_xlfn.RANK.EQ(D33,$D33:$R33,1)</f>
        <v>#N/A</v>
      </c>
      <c r="W33" s="8" t="e">
        <f t="shared" si="11"/>
        <v>#N/A</v>
      </c>
      <c r="X33" s="8" t="e">
        <f t="shared" si="11"/>
        <v>#N/A</v>
      </c>
      <c r="Y33" s="8" t="e">
        <f t="shared" si="11"/>
        <v>#N/A</v>
      </c>
      <c r="Z33" s="8" t="e">
        <f t="shared" si="11"/>
        <v>#N/A</v>
      </c>
      <c r="AA33" s="8" t="e">
        <f t="shared" si="11"/>
        <v>#N/A</v>
      </c>
      <c r="AB33" s="8" t="e">
        <f t="shared" si="11"/>
        <v>#N/A</v>
      </c>
      <c r="AC33" s="8" t="e">
        <f t="shared" si="11"/>
        <v>#N/A</v>
      </c>
      <c r="AD33" s="8" t="e">
        <f t="shared" si="11"/>
        <v>#N/A</v>
      </c>
      <c r="AE33" s="8" t="e">
        <f t="shared" si="11"/>
        <v>#N/A</v>
      </c>
      <c r="AF33" s="8" t="e">
        <f t="shared" si="11"/>
        <v>#N/A</v>
      </c>
      <c r="AG33" s="8" t="e">
        <f t="shared" si="11"/>
        <v>#N/A</v>
      </c>
      <c r="AH33" s="8" t="e">
        <f t="shared" si="11"/>
        <v>#N/A</v>
      </c>
      <c r="AI33" s="8" t="e">
        <f t="shared" si="11"/>
        <v>#N/A</v>
      </c>
      <c r="AJ33" s="8" t="e">
        <f t="shared" si="11"/>
        <v>#N/A</v>
      </c>
    </row>
    <row r="34" spans="1:36" x14ac:dyDescent="0.25">
      <c r="A34" s="27"/>
      <c r="B34" s="15" t="s">
        <v>71</v>
      </c>
      <c r="C34" s="4" t="s">
        <v>58</v>
      </c>
      <c r="D34" s="5"/>
      <c r="E34" s="5"/>
      <c r="F34" s="5"/>
      <c r="G34" s="5"/>
      <c r="H34" s="5"/>
      <c r="I34" s="5"/>
      <c r="J34" s="5"/>
      <c r="K34" s="5"/>
      <c r="L34" s="10"/>
      <c r="M34" s="10"/>
      <c r="N34" s="10"/>
      <c r="O34" s="10"/>
      <c r="P34" s="10"/>
      <c r="Q34" s="10"/>
      <c r="R34" s="10"/>
      <c r="S34" s="4"/>
      <c r="T34" s="4" t="s">
        <v>24</v>
      </c>
    </row>
    <row r="35" spans="1:36" x14ac:dyDescent="0.25">
      <c r="A35" s="27"/>
      <c r="B35" s="6" t="s">
        <v>71</v>
      </c>
      <c r="C35" s="6" t="s">
        <v>59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6"/>
      <c r="T35" s="6" t="s">
        <v>25</v>
      </c>
    </row>
    <row r="36" spans="1:36" x14ac:dyDescent="0.25">
      <c r="A36" s="27"/>
      <c r="B36" s="2" t="s">
        <v>72</v>
      </c>
      <c r="C36" s="2" t="s">
        <v>57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2" t="s">
        <v>11</v>
      </c>
      <c r="T36" s="2" t="s">
        <v>23</v>
      </c>
      <c r="V36" s="8" t="e">
        <f t="shared" ref="V36:AJ36" si="12">_xlfn.RANK.EQ(D36,$D36:$R36,1)</f>
        <v>#N/A</v>
      </c>
      <c r="W36" s="8" t="e">
        <f t="shared" si="12"/>
        <v>#N/A</v>
      </c>
      <c r="X36" s="8" t="e">
        <f t="shared" si="12"/>
        <v>#N/A</v>
      </c>
      <c r="Y36" s="8" t="e">
        <f t="shared" si="12"/>
        <v>#N/A</v>
      </c>
      <c r="Z36" s="8" t="e">
        <f t="shared" si="12"/>
        <v>#N/A</v>
      </c>
      <c r="AA36" s="8" t="e">
        <f t="shared" si="12"/>
        <v>#N/A</v>
      </c>
      <c r="AB36" s="8" t="e">
        <f t="shared" si="12"/>
        <v>#N/A</v>
      </c>
      <c r="AC36" s="8" t="e">
        <f t="shared" si="12"/>
        <v>#N/A</v>
      </c>
      <c r="AD36" s="8" t="e">
        <f t="shared" si="12"/>
        <v>#N/A</v>
      </c>
      <c r="AE36" s="8" t="e">
        <f t="shared" si="12"/>
        <v>#N/A</v>
      </c>
      <c r="AF36" s="8" t="e">
        <f t="shared" si="12"/>
        <v>#N/A</v>
      </c>
      <c r="AG36" s="8" t="e">
        <f t="shared" si="12"/>
        <v>#N/A</v>
      </c>
      <c r="AH36" s="8" t="e">
        <f t="shared" si="12"/>
        <v>#N/A</v>
      </c>
      <c r="AI36" s="8" t="e">
        <f t="shared" si="12"/>
        <v>#N/A</v>
      </c>
      <c r="AJ36" s="8" t="e">
        <f t="shared" si="12"/>
        <v>#N/A</v>
      </c>
    </row>
    <row r="37" spans="1:36" x14ac:dyDescent="0.25">
      <c r="A37" s="27"/>
      <c r="B37" s="15" t="s">
        <v>72</v>
      </c>
      <c r="C37" s="4" t="s">
        <v>58</v>
      </c>
      <c r="D37" s="5"/>
      <c r="E37" s="5"/>
      <c r="F37" s="5"/>
      <c r="G37" s="5"/>
      <c r="H37" s="5"/>
      <c r="I37" s="5"/>
      <c r="J37" s="5"/>
      <c r="K37" s="5"/>
      <c r="L37" s="10"/>
      <c r="M37" s="10"/>
      <c r="N37" s="10"/>
      <c r="O37" s="10"/>
      <c r="P37" s="10"/>
      <c r="Q37" s="10"/>
      <c r="R37" s="10"/>
      <c r="S37" s="4"/>
      <c r="T37" s="4" t="s">
        <v>24</v>
      </c>
    </row>
    <row r="38" spans="1:36" x14ac:dyDescent="0.25">
      <c r="A38" s="27"/>
      <c r="B38" s="6" t="s">
        <v>72</v>
      </c>
      <c r="C38" s="6" t="s">
        <v>59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6"/>
      <c r="T38" s="6" t="s">
        <v>25</v>
      </c>
    </row>
    <row r="39" spans="1:36" x14ac:dyDescent="0.25">
      <c r="A39" s="27"/>
      <c r="B39" s="2" t="s">
        <v>73</v>
      </c>
      <c r="C39" s="2" t="s">
        <v>57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2" t="s">
        <v>12</v>
      </c>
      <c r="T39" s="2" t="s">
        <v>23</v>
      </c>
      <c r="V39" s="8" t="e">
        <f t="shared" ref="V39:AJ39" si="13">_xlfn.RANK.EQ(D39,$D39:$R39,1)</f>
        <v>#N/A</v>
      </c>
      <c r="W39" s="8" t="e">
        <f t="shared" si="13"/>
        <v>#N/A</v>
      </c>
      <c r="X39" s="8" t="e">
        <f t="shared" si="13"/>
        <v>#N/A</v>
      </c>
      <c r="Y39" s="8" t="e">
        <f t="shared" si="13"/>
        <v>#N/A</v>
      </c>
      <c r="Z39" s="8" t="e">
        <f t="shared" si="13"/>
        <v>#N/A</v>
      </c>
      <c r="AA39" s="8" t="e">
        <f t="shared" si="13"/>
        <v>#N/A</v>
      </c>
      <c r="AB39" s="8" t="e">
        <f t="shared" si="13"/>
        <v>#N/A</v>
      </c>
      <c r="AC39" s="8" t="e">
        <f t="shared" si="13"/>
        <v>#N/A</v>
      </c>
      <c r="AD39" s="8" t="e">
        <f t="shared" si="13"/>
        <v>#N/A</v>
      </c>
      <c r="AE39" s="8" t="e">
        <f t="shared" si="13"/>
        <v>#N/A</v>
      </c>
      <c r="AF39" s="8" t="e">
        <f t="shared" si="13"/>
        <v>#N/A</v>
      </c>
      <c r="AG39" s="8" t="e">
        <f t="shared" si="13"/>
        <v>#N/A</v>
      </c>
      <c r="AH39" s="8" t="e">
        <f t="shared" si="13"/>
        <v>#N/A</v>
      </c>
      <c r="AI39" s="8" t="e">
        <f t="shared" si="13"/>
        <v>#N/A</v>
      </c>
      <c r="AJ39" s="8" t="e">
        <f t="shared" si="13"/>
        <v>#N/A</v>
      </c>
    </row>
    <row r="40" spans="1:36" x14ac:dyDescent="0.25">
      <c r="A40" s="27"/>
      <c r="B40" s="15" t="s">
        <v>73</v>
      </c>
      <c r="C40" s="4" t="s">
        <v>58</v>
      </c>
      <c r="D40" s="5"/>
      <c r="E40" s="5"/>
      <c r="F40" s="5"/>
      <c r="G40" s="5"/>
      <c r="H40" s="5"/>
      <c r="I40" s="5"/>
      <c r="J40" s="5"/>
      <c r="K40" s="5"/>
      <c r="L40" s="10"/>
      <c r="M40" s="10"/>
      <c r="N40" s="10"/>
      <c r="O40" s="10"/>
      <c r="P40" s="10"/>
      <c r="Q40" s="10"/>
      <c r="R40" s="10"/>
      <c r="S40" s="4"/>
      <c r="T40" s="4" t="s">
        <v>24</v>
      </c>
    </row>
    <row r="41" spans="1:36" x14ac:dyDescent="0.25">
      <c r="A41" s="27"/>
      <c r="B41" s="6" t="s">
        <v>73</v>
      </c>
      <c r="C41" s="6" t="s">
        <v>59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6"/>
      <c r="T41" s="6" t="s">
        <v>25</v>
      </c>
    </row>
    <row r="42" spans="1:36" x14ac:dyDescent="0.25">
      <c r="A42" s="27"/>
      <c r="B42" s="2" t="s">
        <v>74</v>
      </c>
      <c r="C42" s="2" t="s">
        <v>57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2" t="s">
        <v>13</v>
      </c>
      <c r="T42" s="2" t="s">
        <v>23</v>
      </c>
      <c r="V42" s="8" t="e">
        <f t="shared" ref="V42:AJ42" si="14">_xlfn.RANK.EQ(D42,$D42:$R42,1)</f>
        <v>#N/A</v>
      </c>
      <c r="W42" s="8" t="e">
        <f t="shared" si="14"/>
        <v>#N/A</v>
      </c>
      <c r="X42" s="8" t="e">
        <f t="shared" si="14"/>
        <v>#N/A</v>
      </c>
      <c r="Y42" s="8" t="e">
        <f t="shared" si="14"/>
        <v>#N/A</v>
      </c>
      <c r="Z42" s="8" t="e">
        <f t="shared" si="14"/>
        <v>#N/A</v>
      </c>
      <c r="AA42" s="8" t="e">
        <f t="shared" si="14"/>
        <v>#N/A</v>
      </c>
      <c r="AB42" s="8" t="e">
        <f t="shared" si="14"/>
        <v>#N/A</v>
      </c>
      <c r="AC42" s="8" t="e">
        <f t="shared" si="14"/>
        <v>#N/A</v>
      </c>
      <c r="AD42" s="8" t="e">
        <f t="shared" si="14"/>
        <v>#N/A</v>
      </c>
      <c r="AE42" s="8" t="e">
        <f t="shared" si="14"/>
        <v>#N/A</v>
      </c>
      <c r="AF42" s="8" t="e">
        <f t="shared" si="14"/>
        <v>#N/A</v>
      </c>
      <c r="AG42" s="8" t="e">
        <f t="shared" si="14"/>
        <v>#N/A</v>
      </c>
      <c r="AH42" s="8" t="e">
        <f t="shared" si="14"/>
        <v>#N/A</v>
      </c>
      <c r="AI42" s="8" t="e">
        <f t="shared" si="14"/>
        <v>#N/A</v>
      </c>
      <c r="AJ42" s="8" t="e">
        <f t="shared" si="14"/>
        <v>#N/A</v>
      </c>
    </row>
    <row r="43" spans="1:36" x14ac:dyDescent="0.25">
      <c r="A43" s="27"/>
      <c r="B43" s="15" t="s">
        <v>74</v>
      </c>
      <c r="C43" s="4" t="s">
        <v>58</v>
      </c>
      <c r="D43" s="5"/>
      <c r="E43" s="5"/>
      <c r="F43" s="5"/>
      <c r="G43" s="5"/>
      <c r="H43" s="5"/>
      <c r="I43" s="5"/>
      <c r="J43" s="5"/>
      <c r="K43" s="5"/>
      <c r="L43" s="10"/>
      <c r="M43" s="10"/>
      <c r="N43" s="10"/>
      <c r="O43" s="10"/>
      <c r="P43" s="10"/>
      <c r="Q43" s="10"/>
      <c r="R43" s="10"/>
      <c r="S43" s="4"/>
      <c r="T43" s="4" t="s">
        <v>24</v>
      </c>
    </row>
    <row r="44" spans="1:36" x14ac:dyDescent="0.25">
      <c r="A44" s="27"/>
      <c r="B44" s="6" t="s">
        <v>74</v>
      </c>
      <c r="C44" s="6" t="s">
        <v>59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6"/>
      <c r="T44" s="6" t="s">
        <v>25</v>
      </c>
    </row>
    <row r="45" spans="1:36" x14ac:dyDescent="0.25">
      <c r="A45" s="27"/>
      <c r="B45" s="2" t="s">
        <v>75</v>
      </c>
      <c r="C45" s="2" t="s">
        <v>57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2" t="s">
        <v>14</v>
      </c>
      <c r="T45" s="2" t="s">
        <v>23</v>
      </c>
      <c r="V45" s="8" t="e">
        <f t="shared" ref="V45:AJ45" si="15">_xlfn.RANK.EQ(D45,$D45:$R45,1)</f>
        <v>#N/A</v>
      </c>
      <c r="W45" s="8" t="e">
        <f t="shared" si="15"/>
        <v>#N/A</v>
      </c>
      <c r="X45" s="8" t="e">
        <f t="shared" si="15"/>
        <v>#N/A</v>
      </c>
      <c r="Y45" s="8" t="e">
        <f t="shared" si="15"/>
        <v>#N/A</v>
      </c>
      <c r="Z45" s="8" t="e">
        <f t="shared" si="15"/>
        <v>#N/A</v>
      </c>
      <c r="AA45" s="8" t="e">
        <f t="shared" si="15"/>
        <v>#N/A</v>
      </c>
      <c r="AB45" s="8" t="e">
        <f t="shared" si="15"/>
        <v>#N/A</v>
      </c>
      <c r="AC45" s="8" t="e">
        <f t="shared" si="15"/>
        <v>#N/A</v>
      </c>
      <c r="AD45" s="8" t="e">
        <f t="shared" si="15"/>
        <v>#N/A</v>
      </c>
      <c r="AE45" s="8" t="e">
        <f t="shared" si="15"/>
        <v>#N/A</v>
      </c>
      <c r="AF45" s="8" t="e">
        <f t="shared" si="15"/>
        <v>#N/A</v>
      </c>
      <c r="AG45" s="8" t="e">
        <f t="shared" si="15"/>
        <v>#N/A</v>
      </c>
      <c r="AH45" s="8" t="e">
        <f t="shared" si="15"/>
        <v>#N/A</v>
      </c>
      <c r="AI45" s="8" t="e">
        <f t="shared" si="15"/>
        <v>#N/A</v>
      </c>
      <c r="AJ45" s="8" t="e">
        <f t="shared" si="15"/>
        <v>#N/A</v>
      </c>
    </row>
    <row r="46" spans="1:36" x14ac:dyDescent="0.25">
      <c r="A46" s="27"/>
      <c r="B46" s="15" t="s">
        <v>75</v>
      </c>
      <c r="C46" s="4" t="s">
        <v>58</v>
      </c>
      <c r="D46" s="5"/>
      <c r="E46" s="5"/>
      <c r="F46" s="5"/>
      <c r="G46" s="5"/>
      <c r="H46" s="5"/>
      <c r="I46" s="5"/>
      <c r="J46" s="5"/>
      <c r="K46" s="5"/>
      <c r="L46" s="10"/>
      <c r="M46" s="10"/>
      <c r="N46" s="10"/>
      <c r="O46" s="10"/>
      <c r="P46" s="10"/>
      <c r="Q46" s="10"/>
      <c r="R46" s="10"/>
      <c r="S46" s="4"/>
      <c r="T46" s="4" t="s">
        <v>24</v>
      </c>
    </row>
    <row r="47" spans="1:36" x14ac:dyDescent="0.25">
      <c r="A47" s="27"/>
      <c r="B47" s="6" t="s">
        <v>75</v>
      </c>
      <c r="C47" s="6" t="s">
        <v>59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6"/>
      <c r="T47" s="6" t="s">
        <v>25</v>
      </c>
    </row>
    <row r="48" spans="1:36" x14ac:dyDescent="0.25">
      <c r="A48" s="27"/>
      <c r="B48" s="2" t="s">
        <v>76</v>
      </c>
      <c r="C48" s="2" t="s">
        <v>57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2" t="s">
        <v>15</v>
      </c>
      <c r="T48" s="2" t="s">
        <v>23</v>
      </c>
      <c r="V48" s="8" t="e">
        <f t="shared" ref="V48:AJ48" si="16">_xlfn.RANK.EQ(D48,$D48:$R48,1)</f>
        <v>#N/A</v>
      </c>
      <c r="W48" s="8" t="e">
        <f t="shared" si="16"/>
        <v>#N/A</v>
      </c>
      <c r="X48" s="8" t="e">
        <f t="shared" si="16"/>
        <v>#N/A</v>
      </c>
      <c r="Y48" s="8" t="e">
        <f t="shared" si="16"/>
        <v>#N/A</v>
      </c>
      <c r="Z48" s="8" t="e">
        <f t="shared" si="16"/>
        <v>#N/A</v>
      </c>
      <c r="AA48" s="8" t="e">
        <f t="shared" si="16"/>
        <v>#N/A</v>
      </c>
      <c r="AB48" s="8" t="e">
        <f t="shared" si="16"/>
        <v>#N/A</v>
      </c>
      <c r="AC48" s="8" t="e">
        <f t="shared" si="16"/>
        <v>#N/A</v>
      </c>
      <c r="AD48" s="8" t="e">
        <f t="shared" si="16"/>
        <v>#N/A</v>
      </c>
      <c r="AE48" s="8" t="e">
        <f t="shared" si="16"/>
        <v>#N/A</v>
      </c>
      <c r="AF48" s="8" t="e">
        <f t="shared" si="16"/>
        <v>#N/A</v>
      </c>
      <c r="AG48" s="8" t="e">
        <f t="shared" si="16"/>
        <v>#N/A</v>
      </c>
      <c r="AH48" s="8" t="e">
        <f t="shared" si="16"/>
        <v>#N/A</v>
      </c>
      <c r="AI48" s="8" t="e">
        <f t="shared" si="16"/>
        <v>#N/A</v>
      </c>
      <c r="AJ48" s="8" t="e">
        <f t="shared" si="16"/>
        <v>#N/A</v>
      </c>
    </row>
    <row r="49" spans="1:36" x14ac:dyDescent="0.25">
      <c r="A49" s="27"/>
      <c r="B49" s="15" t="s">
        <v>76</v>
      </c>
      <c r="C49" s="4" t="s">
        <v>58</v>
      </c>
      <c r="D49" s="5"/>
      <c r="E49" s="5"/>
      <c r="F49" s="5"/>
      <c r="G49" s="5"/>
      <c r="H49" s="5"/>
      <c r="I49" s="5"/>
      <c r="J49" s="5"/>
      <c r="K49" s="5"/>
      <c r="L49" s="10"/>
      <c r="M49" s="10"/>
      <c r="N49" s="10"/>
      <c r="O49" s="10"/>
      <c r="P49" s="10"/>
      <c r="Q49" s="10"/>
      <c r="R49" s="10"/>
      <c r="S49" s="4"/>
      <c r="T49" s="4" t="s">
        <v>24</v>
      </c>
    </row>
    <row r="50" spans="1:36" x14ac:dyDescent="0.25">
      <c r="A50" s="23"/>
      <c r="B50" s="6" t="s">
        <v>76</v>
      </c>
      <c r="C50" s="6" t="s">
        <v>59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6"/>
      <c r="T50" s="6" t="s">
        <v>25</v>
      </c>
    </row>
    <row r="51" spans="1:36" ht="14.45" customHeight="1" x14ac:dyDescent="0.25">
      <c r="A51" s="26" t="s">
        <v>31</v>
      </c>
      <c r="B51" s="2" t="s">
        <v>77</v>
      </c>
      <c r="C51" s="2" t="s">
        <v>57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2" t="s">
        <v>16</v>
      </c>
      <c r="T51" s="2" t="s">
        <v>23</v>
      </c>
      <c r="V51" s="8" t="e">
        <f t="shared" ref="V51:AJ51" si="17">_xlfn.RANK.EQ(D51,$D51:$R51,1)</f>
        <v>#N/A</v>
      </c>
      <c r="W51" s="8" t="e">
        <f t="shared" si="17"/>
        <v>#N/A</v>
      </c>
      <c r="X51" s="8" t="e">
        <f t="shared" si="17"/>
        <v>#N/A</v>
      </c>
      <c r="Y51" s="8" t="e">
        <f t="shared" si="17"/>
        <v>#N/A</v>
      </c>
      <c r="Z51" s="8" t="e">
        <f t="shared" si="17"/>
        <v>#N/A</v>
      </c>
      <c r="AA51" s="8" t="e">
        <f t="shared" si="17"/>
        <v>#N/A</v>
      </c>
      <c r="AB51" s="8" t="e">
        <f t="shared" si="17"/>
        <v>#N/A</v>
      </c>
      <c r="AC51" s="8" t="e">
        <f t="shared" si="17"/>
        <v>#N/A</v>
      </c>
      <c r="AD51" s="8" t="e">
        <f t="shared" si="17"/>
        <v>#N/A</v>
      </c>
      <c r="AE51" s="8" t="e">
        <f t="shared" si="17"/>
        <v>#N/A</v>
      </c>
      <c r="AF51" s="8" t="e">
        <f t="shared" si="17"/>
        <v>#N/A</v>
      </c>
      <c r="AG51" s="8" t="e">
        <f t="shared" si="17"/>
        <v>#N/A</v>
      </c>
      <c r="AH51" s="8" t="e">
        <f t="shared" si="17"/>
        <v>#N/A</v>
      </c>
      <c r="AI51" s="8" t="e">
        <f t="shared" si="17"/>
        <v>#N/A</v>
      </c>
      <c r="AJ51" s="8" t="e">
        <f t="shared" si="17"/>
        <v>#N/A</v>
      </c>
    </row>
    <row r="52" spans="1:36" x14ac:dyDescent="0.25">
      <c r="A52" s="27"/>
      <c r="B52" s="15" t="s">
        <v>77</v>
      </c>
      <c r="C52" s="4" t="s">
        <v>58</v>
      </c>
      <c r="D52" s="5"/>
      <c r="E52" s="5"/>
      <c r="F52" s="5"/>
      <c r="G52" s="5"/>
      <c r="H52" s="5"/>
      <c r="I52" s="5"/>
      <c r="J52" s="5"/>
      <c r="K52" s="5"/>
      <c r="L52" s="10"/>
      <c r="M52" s="10"/>
      <c r="N52" s="10"/>
      <c r="O52" s="10"/>
      <c r="P52" s="10"/>
      <c r="Q52" s="10"/>
      <c r="R52" s="10"/>
      <c r="S52" s="4"/>
      <c r="T52" s="4" t="s">
        <v>24</v>
      </c>
    </row>
    <row r="53" spans="1:36" x14ac:dyDescent="0.25">
      <c r="A53" s="27"/>
      <c r="B53" s="6" t="s">
        <v>77</v>
      </c>
      <c r="C53" s="6" t="s">
        <v>59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6"/>
      <c r="T53" s="6" t="s">
        <v>25</v>
      </c>
    </row>
    <row r="54" spans="1:36" x14ac:dyDescent="0.25">
      <c r="A54" s="27"/>
      <c r="B54" s="2" t="s">
        <v>78</v>
      </c>
      <c r="C54" s="2" t="s">
        <v>57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2" t="s">
        <v>17</v>
      </c>
      <c r="T54" s="2" t="s">
        <v>23</v>
      </c>
      <c r="V54" s="8" t="e">
        <f t="shared" ref="V54:AJ54" si="18">_xlfn.RANK.EQ(D54,$D54:$R54,1)</f>
        <v>#N/A</v>
      </c>
      <c r="W54" s="8" t="e">
        <f t="shared" si="18"/>
        <v>#N/A</v>
      </c>
      <c r="X54" s="8" t="e">
        <f t="shared" si="18"/>
        <v>#N/A</v>
      </c>
      <c r="Y54" s="8" t="e">
        <f t="shared" si="18"/>
        <v>#N/A</v>
      </c>
      <c r="Z54" s="8" t="e">
        <f t="shared" si="18"/>
        <v>#N/A</v>
      </c>
      <c r="AA54" s="8" t="e">
        <f t="shared" si="18"/>
        <v>#N/A</v>
      </c>
      <c r="AB54" s="8" t="e">
        <f t="shared" si="18"/>
        <v>#N/A</v>
      </c>
      <c r="AC54" s="8" t="e">
        <f t="shared" si="18"/>
        <v>#N/A</v>
      </c>
      <c r="AD54" s="8" t="e">
        <f t="shared" si="18"/>
        <v>#N/A</v>
      </c>
      <c r="AE54" s="8" t="e">
        <f t="shared" si="18"/>
        <v>#N/A</v>
      </c>
      <c r="AF54" s="8" t="e">
        <f t="shared" si="18"/>
        <v>#N/A</v>
      </c>
      <c r="AG54" s="8" t="e">
        <f t="shared" si="18"/>
        <v>#N/A</v>
      </c>
      <c r="AH54" s="8" t="e">
        <f t="shared" si="18"/>
        <v>#N/A</v>
      </c>
      <c r="AI54" s="8" t="e">
        <f t="shared" si="18"/>
        <v>#N/A</v>
      </c>
      <c r="AJ54" s="8" t="e">
        <f t="shared" si="18"/>
        <v>#N/A</v>
      </c>
    </row>
    <row r="55" spans="1:36" x14ac:dyDescent="0.25">
      <c r="A55" s="27"/>
      <c r="B55" s="15" t="s">
        <v>78</v>
      </c>
      <c r="C55" s="4" t="s">
        <v>58</v>
      </c>
      <c r="D55" s="5"/>
      <c r="E55" s="5"/>
      <c r="F55" s="5"/>
      <c r="G55" s="5"/>
      <c r="H55" s="5"/>
      <c r="I55" s="5"/>
      <c r="J55" s="5"/>
      <c r="K55" s="5"/>
      <c r="L55" s="10"/>
      <c r="M55" s="10"/>
      <c r="N55" s="10"/>
      <c r="O55" s="10"/>
      <c r="P55" s="10"/>
      <c r="Q55" s="10"/>
      <c r="R55" s="10"/>
      <c r="S55" s="4"/>
      <c r="T55" s="4" t="s">
        <v>24</v>
      </c>
    </row>
    <row r="56" spans="1:36" x14ac:dyDescent="0.25">
      <c r="A56" s="27"/>
      <c r="B56" s="6" t="s">
        <v>78</v>
      </c>
      <c r="C56" s="6" t="s">
        <v>59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6"/>
      <c r="T56" s="6" t="s">
        <v>25</v>
      </c>
    </row>
    <row r="57" spans="1:36" x14ac:dyDescent="0.25">
      <c r="A57" s="27"/>
      <c r="B57" s="2" t="s">
        <v>79</v>
      </c>
      <c r="C57" s="2" t="s">
        <v>57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2" t="s">
        <v>18</v>
      </c>
      <c r="T57" s="2" t="s">
        <v>23</v>
      </c>
      <c r="V57" s="8" t="e">
        <f t="shared" ref="V57:AJ57" si="19">_xlfn.RANK.EQ(D57,$D57:$R57,1)</f>
        <v>#N/A</v>
      </c>
      <c r="W57" s="8" t="e">
        <f t="shared" si="19"/>
        <v>#N/A</v>
      </c>
      <c r="X57" s="8" t="e">
        <f t="shared" si="19"/>
        <v>#N/A</v>
      </c>
      <c r="Y57" s="8" t="e">
        <f t="shared" si="19"/>
        <v>#N/A</v>
      </c>
      <c r="Z57" s="8" t="e">
        <f t="shared" si="19"/>
        <v>#N/A</v>
      </c>
      <c r="AA57" s="8" t="e">
        <f t="shared" si="19"/>
        <v>#N/A</v>
      </c>
      <c r="AB57" s="8" t="e">
        <f t="shared" si="19"/>
        <v>#N/A</v>
      </c>
      <c r="AC57" s="8" t="e">
        <f t="shared" si="19"/>
        <v>#N/A</v>
      </c>
      <c r="AD57" s="8" t="e">
        <f t="shared" si="19"/>
        <v>#N/A</v>
      </c>
      <c r="AE57" s="8" t="e">
        <f t="shared" si="19"/>
        <v>#N/A</v>
      </c>
      <c r="AF57" s="8" t="e">
        <f t="shared" si="19"/>
        <v>#N/A</v>
      </c>
      <c r="AG57" s="8" t="e">
        <f t="shared" si="19"/>
        <v>#N/A</v>
      </c>
      <c r="AH57" s="8" t="e">
        <f t="shared" si="19"/>
        <v>#N/A</v>
      </c>
      <c r="AI57" s="8" t="e">
        <f t="shared" si="19"/>
        <v>#N/A</v>
      </c>
      <c r="AJ57" s="8" t="e">
        <f t="shared" si="19"/>
        <v>#N/A</v>
      </c>
    </row>
    <row r="58" spans="1:36" x14ac:dyDescent="0.25">
      <c r="A58" s="27"/>
      <c r="B58" s="15" t="s">
        <v>79</v>
      </c>
      <c r="C58" s="4" t="s">
        <v>58</v>
      </c>
      <c r="D58" s="5"/>
      <c r="E58" s="5"/>
      <c r="F58" s="5"/>
      <c r="G58" s="5"/>
      <c r="H58" s="5"/>
      <c r="I58" s="5"/>
      <c r="J58" s="5"/>
      <c r="K58" s="5"/>
      <c r="L58" s="10"/>
      <c r="M58" s="10"/>
      <c r="N58" s="10"/>
      <c r="O58" s="10"/>
      <c r="P58" s="10"/>
      <c r="Q58" s="10"/>
      <c r="R58" s="10"/>
      <c r="S58" s="4"/>
      <c r="T58" s="4" t="s">
        <v>24</v>
      </c>
    </row>
    <row r="59" spans="1:36" x14ac:dyDescent="0.25">
      <c r="A59" s="27"/>
      <c r="B59" s="6" t="s">
        <v>79</v>
      </c>
      <c r="C59" s="6" t="s">
        <v>59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6"/>
      <c r="T59" s="6" t="s">
        <v>25</v>
      </c>
    </row>
    <row r="60" spans="1:36" x14ac:dyDescent="0.25">
      <c r="A60" s="27"/>
      <c r="B60" s="2" t="s">
        <v>80</v>
      </c>
      <c r="C60" s="2" t="s">
        <v>57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2" t="s">
        <v>19</v>
      </c>
      <c r="T60" s="2" t="s">
        <v>23</v>
      </c>
      <c r="V60" s="8" t="e">
        <f t="shared" ref="V60:AJ60" si="20">_xlfn.RANK.EQ(D60,$D60:$R60,1)</f>
        <v>#N/A</v>
      </c>
      <c r="W60" s="8" t="e">
        <f t="shared" si="20"/>
        <v>#N/A</v>
      </c>
      <c r="X60" s="8" t="e">
        <f t="shared" si="20"/>
        <v>#N/A</v>
      </c>
      <c r="Y60" s="8" t="e">
        <f t="shared" si="20"/>
        <v>#N/A</v>
      </c>
      <c r="Z60" s="8" t="e">
        <f t="shared" si="20"/>
        <v>#N/A</v>
      </c>
      <c r="AA60" s="8" t="e">
        <f t="shared" si="20"/>
        <v>#N/A</v>
      </c>
      <c r="AB60" s="8" t="e">
        <f t="shared" si="20"/>
        <v>#N/A</v>
      </c>
      <c r="AC60" s="8" t="e">
        <f t="shared" si="20"/>
        <v>#N/A</v>
      </c>
      <c r="AD60" s="8" t="e">
        <f t="shared" si="20"/>
        <v>#N/A</v>
      </c>
      <c r="AE60" s="8" t="e">
        <f t="shared" si="20"/>
        <v>#N/A</v>
      </c>
      <c r="AF60" s="8" t="e">
        <f t="shared" si="20"/>
        <v>#N/A</v>
      </c>
      <c r="AG60" s="8" t="e">
        <f t="shared" si="20"/>
        <v>#N/A</v>
      </c>
      <c r="AH60" s="8" t="e">
        <f t="shared" si="20"/>
        <v>#N/A</v>
      </c>
      <c r="AI60" s="8" t="e">
        <f t="shared" si="20"/>
        <v>#N/A</v>
      </c>
      <c r="AJ60" s="8" t="e">
        <f t="shared" si="20"/>
        <v>#N/A</v>
      </c>
    </row>
    <row r="61" spans="1:36" x14ac:dyDescent="0.25">
      <c r="A61" s="27"/>
      <c r="B61" s="15" t="s">
        <v>80</v>
      </c>
      <c r="C61" s="4" t="s">
        <v>58</v>
      </c>
      <c r="D61" s="5"/>
      <c r="E61" s="5"/>
      <c r="F61" s="5"/>
      <c r="G61" s="5"/>
      <c r="H61" s="5"/>
      <c r="I61" s="5"/>
      <c r="J61" s="5"/>
      <c r="K61" s="5"/>
      <c r="L61" s="10"/>
      <c r="M61" s="10"/>
      <c r="N61" s="10"/>
      <c r="O61" s="10"/>
      <c r="P61" s="10"/>
      <c r="Q61" s="10"/>
      <c r="R61" s="10"/>
      <c r="S61" s="4"/>
      <c r="T61" s="4" t="s">
        <v>24</v>
      </c>
    </row>
    <row r="62" spans="1:36" x14ac:dyDescent="0.25">
      <c r="A62" s="27"/>
      <c r="B62" s="6" t="s">
        <v>80</v>
      </c>
      <c r="C62" s="6" t="s">
        <v>59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6"/>
      <c r="T62" s="6" t="s">
        <v>25</v>
      </c>
    </row>
    <row r="63" spans="1:36" x14ac:dyDescent="0.25">
      <c r="A63" s="27"/>
      <c r="B63" s="2" t="s">
        <v>81</v>
      </c>
      <c r="C63" s="2" t="s">
        <v>57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2" t="s">
        <v>20</v>
      </c>
      <c r="T63" s="2" t="s">
        <v>23</v>
      </c>
      <c r="V63" s="8" t="e">
        <f t="shared" ref="V63:AJ63" si="21">_xlfn.RANK.EQ(D63,$D63:$R63,1)</f>
        <v>#N/A</v>
      </c>
      <c r="W63" s="8" t="e">
        <f t="shared" si="21"/>
        <v>#N/A</v>
      </c>
      <c r="X63" s="8" t="e">
        <f t="shared" si="21"/>
        <v>#N/A</v>
      </c>
      <c r="Y63" s="8" t="e">
        <f t="shared" si="21"/>
        <v>#N/A</v>
      </c>
      <c r="Z63" s="8" t="e">
        <f t="shared" si="21"/>
        <v>#N/A</v>
      </c>
      <c r="AA63" s="8" t="e">
        <f t="shared" si="21"/>
        <v>#N/A</v>
      </c>
      <c r="AB63" s="8" t="e">
        <f t="shared" si="21"/>
        <v>#N/A</v>
      </c>
      <c r="AC63" s="8" t="e">
        <f t="shared" si="21"/>
        <v>#N/A</v>
      </c>
      <c r="AD63" s="8" t="e">
        <f t="shared" si="21"/>
        <v>#N/A</v>
      </c>
      <c r="AE63" s="8" t="e">
        <f t="shared" si="21"/>
        <v>#N/A</v>
      </c>
      <c r="AF63" s="8" t="e">
        <f t="shared" si="21"/>
        <v>#N/A</v>
      </c>
      <c r="AG63" s="8" t="e">
        <f t="shared" si="21"/>
        <v>#N/A</v>
      </c>
      <c r="AH63" s="8" t="e">
        <f t="shared" si="21"/>
        <v>#N/A</v>
      </c>
      <c r="AI63" s="8" t="e">
        <f t="shared" si="21"/>
        <v>#N/A</v>
      </c>
      <c r="AJ63" s="8" t="e">
        <f t="shared" si="21"/>
        <v>#N/A</v>
      </c>
    </row>
    <row r="64" spans="1:36" x14ac:dyDescent="0.25">
      <c r="A64" s="27"/>
      <c r="B64" s="15" t="s">
        <v>81</v>
      </c>
      <c r="C64" s="4" t="s">
        <v>58</v>
      </c>
      <c r="D64" s="5"/>
      <c r="E64" s="5"/>
      <c r="F64" s="5"/>
      <c r="G64" s="5"/>
      <c r="H64" s="5"/>
      <c r="I64" s="5"/>
      <c r="J64" s="5"/>
      <c r="K64" s="5"/>
      <c r="L64" s="10"/>
      <c r="M64" s="10"/>
      <c r="N64" s="10"/>
      <c r="O64" s="10"/>
      <c r="P64" s="10"/>
      <c r="Q64" s="10"/>
      <c r="R64" s="10"/>
      <c r="S64" s="4"/>
      <c r="T64" s="4" t="s">
        <v>24</v>
      </c>
    </row>
    <row r="65" spans="1:36" x14ac:dyDescent="0.25">
      <c r="A65" s="27"/>
      <c r="B65" s="6" t="s">
        <v>81</v>
      </c>
      <c r="C65" s="6" t="s">
        <v>59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6"/>
      <c r="T65" s="6" t="s">
        <v>25</v>
      </c>
    </row>
    <row r="66" spans="1:36" x14ac:dyDescent="0.25">
      <c r="A66" s="27"/>
      <c r="B66" s="2" t="s">
        <v>82</v>
      </c>
      <c r="C66" s="2" t="s">
        <v>57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2" t="s">
        <v>21</v>
      </c>
      <c r="T66" s="2" t="s">
        <v>23</v>
      </c>
      <c r="V66" s="8" t="e">
        <f t="shared" ref="V66:AJ66" si="22">_xlfn.RANK.EQ(D66,$D66:$R66,1)</f>
        <v>#N/A</v>
      </c>
      <c r="W66" s="8" t="e">
        <f t="shared" si="22"/>
        <v>#N/A</v>
      </c>
      <c r="X66" s="8" t="e">
        <f t="shared" si="22"/>
        <v>#N/A</v>
      </c>
      <c r="Y66" s="8" t="e">
        <f t="shared" si="22"/>
        <v>#N/A</v>
      </c>
      <c r="Z66" s="8" t="e">
        <f t="shared" si="22"/>
        <v>#N/A</v>
      </c>
      <c r="AA66" s="8" t="e">
        <f t="shared" si="22"/>
        <v>#N/A</v>
      </c>
      <c r="AB66" s="8" t="e">
        <f t="shared" si="22"/>
        <v>#N/A</v>
      </c>
      <c r="AC66" s="8" t="e">
        <f t="shared" si="22"/>
        <v>#N/A</v>
      </c>
      <c r="AD66" s="8" t="e">
        <f t="shared" si="22"/>
        <v>#N/A</v>
      </c>
      <c r="AE66" s="8" t="e">
        <f t="shared" si="22"/>
        <v>#N/A</v>
      </c>
      <c r="AF66" s="8" t="e">
        <f t="shared" si="22"/>
        <v>#N/A</v>
      </c>
      <c r="AG66" s="8" t="e">
        <f t="shared" si="22"/>
        <v>#N/A</v>
      </c>
      <c r="AH66" s="8" t="e">
        <f t="shared" si="22"/>
        <v>#N/A</v>
      </c>
      <c r="AI66" s="8" t="e">
        <f t="shared" si="22"/>
        <v>#N/A</v>
      </c>
      <c r="AJ66" s="8" t="e">
        <f t="shared" si="22"/>
        <v>#N/A</v>
      </c>
    </row>
    <row r="67" spans="1:36" x14ac:dyDescent="0.25">
      <c r="A67" s="27"/>
      <c r="B67" s="15" t="s">
        <v>82</v>
      </c>
      <c r="C67" s="4" t="s">
        <v>58</v>
      </c>
      <c r="D67" s="5"/>
      <c r="E67" s="5"/>
      <c r="F67" s="5"/>
      <c r="G67" s="5"/>
      <c r="H67" s="5"/>
      <c r="I67" s="5"/>
      <c r="J67" s="5"/>
      <c r="K67" s="5"/>
      <c r="L67" s="10"/>
      <c r="M67" s="10"/>
      <c r="N67" s="10"/>
      <c r="O67" s="10"/>
      <c r="P67" s="10"/>
      <c r="Q67" s="10"/>
      <c r="R67" s="10"/>
      <c r="S67" s="4"/>
      <c r="T67" s="4" t="s">
        <v>24</v>
      </c>
    </row>
    <row r="68" spans="1:36" x14ac:dyDescent="0.25">
      <c r="A68" s="27"/>
      <c r="B68" s="6" t="s">
        <v>82</v>
      </c>
      <c r="C68" s="6" t="s">
        <v>59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6"/>
      <c r="T68" s="6" t="s">
        <v>25</v>
      </c>
    </row>
    <row r="69" spans="1:36" ht="14.45" customHeight="1" x14ac:dyDescent="0.25">
      <c r="A69" s="27"/>
      <c r="B69" s="2" t="s">
        <v>83</v>
      </c>
      <c r="C69" s="2" t="s">
        <v>57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2" t="s">
        <v>22</v>
      </c>
      <c r="T69" s="2" t="s">
        <v>23</v>
      </c>
      <c r="V69" s="8" t="e">
        <f t="shared" ref="V69:AJ69" si="23">_xlfn.RANK.EQ(D69,$D69:$R69,1)</f>
        <v>#N/A</v>
      </c>
      <c r="W69" s="8" t="e">
        <f t="shared" si="23"/>
        <v>#N/A</v>
      </c>
      <c r="X69" s="8" t="e">
        <f t="shared" si="23"/>
        <v>#N/A</v>
      </c>
      <c r="Y69" s="8" t="e">
        <f t="shared" si="23"/>
        <v>#N/A</v>
      </c>
      <c r="Z69" s="8" t="e">
        <f t="shared" si="23"/>
        <v>#N/A</v>
      </c>
      <c r="AA69" s="8" t="e">
        <f t="shared" si="23"/>
        <v>#N/A</v>
      </c>
      <c r="AB69" s="8" t="e">
        <f t="shared" si="23"/>
        <v>#N/A</v>
      </c>
      <c r="AC69" s="8" t="e">
        <f t="shared" si="23"/>
        <v>#N/A</v>
      </c>
      <c r="AD69" s="8" t="e">
        <f t="shared" si="23"/>
        <v>#N/A</v>
      </c>
      <c r="AE69" s="8" t="e">
        <f t="shared" si="23"/>
        <v>#N/A</v>
      </c>
      <c r="AF69" s="8" t="e">
        <f t="shared" si="23"/>
        <v>#N/A</v>
      </c>
      <c r="AG69" s="8" t="e">
        <f t="shared" si="23"/>
        <v>#N/A</v>
      </c>
      <c r="AH69" s="8" t="e">
        <f t="shared" si="23"/>
        <v>#N/A</v>
      </c>
      <c r="AI69" s="8" t="e">
        <f t="shared" si="23"/>
        <v>#N/A</v>
      </c>
      <c r="AJ69" s="8" t="e">
        <f t="shared" si="23"/>
        <v>#N/A</v>
      </c>
    </row>
    <row r="70" spans="1:36" x14ac:dyDescent="0.25">
      <c r="A70" s="27"/>
      <c r="B70" s="15" t="s">
        <v>83</v>
      </c>
      <c r="C70" s="4" t="s">
        <v>58</v>
      </c>
      <c r="D70" s="5"/>
      <c r="E70" s="5"/>
      <c r="F70" s="5"/>
      <c r="G70" s="5"/>
      <c r="H70" s="5"/>
      <c r="I70" s="5"/>
      <c r="J70" s="5"/>
      <c r="K70" s="5"/>
      <c r="L70" s="10"/>
      <c r="M70" s="10"/>
      <c r="N70" s="10"/>
      <c r="O70" s="10"/>
      <c r="P70" s="10"/>
      <c r="Q70" s="10"/>
      <c r="R70" s="10"/>
      <c r="S70" s="4"/>
      <c r="T70" s="4" t="s">
        <v>24</v>
      </c>
    </row>
    <row r="71" spans="1:36" x14ac:dyDescent="0.25">
      <c r="A71" s="23"/>
      <c r="B71" s="6" t="s">
        <v>83</v>
      </c>
      <c r="C71" s="6" t="s">
        <v>59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6"/>
      <c r="T71" s="6" t="s">
        <v>25</v>
      </c>
    </row>
    <row r="72" spans="1:36" ht="32.450000000000003" customHeight="1" x14ac:dyDescent="0.25">
      <c r="A72" s="26" t="s">
        <v>34</v>
      </c>
      <c r="B72" s="28"/>
      <c r="C72" s="28"/>
      <c r="D72" s="8">
        <f t="shared" ref="D72:I72" si="24">COUNTIF(V3:V71,1)</f>
        <v>0</v>
      </c>
      <c r="E72" s="8">
        <f t="shared" si="24"/>
        <v>0</v>
      </c>
      <c r="F72" s="8">
        <f t="shared" si="24"/>
        <v>0</v>
      </c>
      <c r="G72" s="8">
        <f t="shared" si="24"/>
        <v>0</v>
      </c>
      <c r="H72" s="8">
        <f t="shared" si="24"/>
        <v>0</v>
      </c>
      <c r="I72" s="8">
        <f t="shared" si="24"/>
        <v>0</v>
      </c>
      <c r="J72" s="8">
        <f t="shared" ref="J72:R72" si="25">COUNTIF(AB3:AB71,1)</f>
        <v>0</v>
      </c>
      <c r="K72" s="8">
        <f t="shared" si="25"/>
        <v>0</v>
      </c>
      <c r="L72" s="8">
        <f t="shared" si="25"/>
        <v>0</v>
      </c>
      <c r="M72" s="8">
        <f t="shared" si="25"/>
        <v>0</v>
      </c>
      <c r="N72" s="8">
        <f t="shared" si="25"/>
        <v>0</v>
      </c>
      <c r="O72" s="8">
        <f t="shared" si="25"/>
        <v>0</v>
      </c>
      <c r="P72" s="8">
        <f t="shared" si="25"/>
        <v>0</v>
      </c>
      <c r="Q72" s="8">
        <f t="shared" si="25"/>
        <v>0</v>
      </c>
      <c r="R72" s="8">
        <f t="shared" si="25"/>
        <v>0</v>
      </c>
    </row>
    <row r="73" spans="1:36" ht="32.450000000000003" customHeight="1" x14ac:dyDescent="0.25">
      <c r="A73" s="25" t="s">
        <v>35</v>
      </c>
      <c r="B73" s="22"/>
      <c r="C73" s="22"/>
      <c r="D73" s="8">
        <f t="shared" ref="D73:I73" si="26">_xlfn.RANK.EQ(D72,$D72:$R72,0)</f>
        <v>1</v>
      </c>
      <c r="E73" s="8">
        <f t="shared" si="26"/>
        <v>1</v>
      </c>
      <c r="F73" s="8">
        <f t="shared" si="26"/>
        <v>1</v>
      </c>
      <c r="G73" s="8">
        <f t="shared" si="26"/>
        <v>1</v>
      </c>
      <c r="H73" s="8">
        <f t="shared" si="26"/>
        <v>1</v>
      </c>
      <c r="I73" s="8">
        <f t="shared" si="26"/>
        <v>1</v>
      </c>
      <c r="J73" s="8">
        <f t="shared" ref="J73:R73" si="27">_xlfn.RANK.EQ(J72,$D72:$R72,0)</f>
        <v>1</v>
      </c>
      <c r="K73" s="8">
        <f t="shared" si="27"/>
        <v>1</v>
      </c>
      <c r="L73" s="8">
        <f t="shared" si="27"/>
        <v>1</v>
      </c>
      <c r="M73" s="8">
        <f t="shared" si="27"/>
        <v>1</v>
      </c>
      <c r="N73" s="8">
        <f t="shared" si="27"/>
        <v>1</v>
      </c>
      <c r="O73" s="8">
        <f t="shared" si="27"/>
        <v>1</v>
      </c>
      <c r="P73" s="8">
        <f t="shared" si="27"/>
        <v>1</v>
      </c>
      <c r="Q73" s="8">
        <f t="shared" si="27"/>
        <v>1</v>
      </c>
      <c r="R73" s="8">
        <f t="shared" si="27"/>
        <v>1</v>
      </c>
    </row>
    <row r="74" spans="1:36" ht="32.450000000000003" customHeight="1" x14ac:dyDescent="0.25">
      <c r="A74" s="21" t="s">
        <v>33</v>
      </c>
      <c r="B74" s="22"/>
      <c r="C74" s="22"/>
      <c r="D74" s="9" t="e">
        <f t="shared" ref="D74:I74" si="28">AVERAGE(V3:V71)</f>
        <v>#N/A</v>
      </c>
      <c r="E74" s="9" t="e">
        <f t="shared" si="28"/>
        <v>#N/A</v>
      </c>
      <c r="F74" s="9" t="e">
        <f t="shared" si="28"/>
        <v>#N/A</v>
      </c>
      <c r="G74" s="9" t="e">
        <f t="shared" si="28"/>
        <v>#N/A</v>
      </c>
      <c r="H74" s="9" t="e">
        <f t="shared" si="28"/>
        <v>#N/A</v>
      </c>
      <c r="I74" s="9" t="e">
        <f t="shared" si="28"/>
        <v>#N/A</v>
      </c>
      <c r="J74" s="9" t="e">
        <f t="shared" ref="J74:R74" si="29">AVERAGE(AB3:AB71)</f>
        <v>#N/A</v>
      </c>
      <c r="K74" s="9" t="e">
        <f t="shared" si="29"/>
        <v>#N/A</v>
      </c>
      <c r="L74" s="9" t="e">
        <f t="shared" si="29"/>
        <v>#N/A</v>
      </c>
      <c r="M74" s="9" t="e">
        <f t="shared" si="29"/>
        <v>#N/A</v>
      </c>
      <c r="N74" s="9" t="e">
        <f t="shared" si="29"/>
        <v>#N/A</v>
      </c>
      <c r="O74" s="9" t="e">
        <f t="shared" si="29"/>
        <v>#N/A</v>
      </c>
      <c r="P74" s="9" t="e">
        <f t="shared" si="29"/>
        <v>#N/A</v>
      </c>
      <c r="Q74" s="9" t="e">
        <f t="shared" si="29"/>
        <v>#N/A</v>
      </c>
      <c r="R74" s="9" t="e">
        <f t="shared" si="29"/>
        <v>#N/A</v>
      </c>
    </row>
    <row r="75" spans="1:36" ht="32.450000000000003" customHeight="1" x14ac:dyDescent="0.25">
      <c r="A75" s="23" t="s">
        <v>36</v>
      </c>
      <c r="B75" s="24"/>
      <c r="C75" s="24"/>
      <c r="D75" s="6" t="e">
        <f t="shared" ref="D75:I75" si="30">_xlfn.RANK.EQ(D74,$D74:$R74,1)</f>
        <v>#N/A</v>
      </c>
      <c r="E75" s="6" t="e">
        <f t="shared" si="30"/>
        <v>#N/A</v>
      </c>
      <c r="F75" s="6" t="e">
        <f t="shared" si="30"/>
        <v>#N/A</v>
      </c>
      <c r="G75" s="6" t="e">
        <f t="shared" si="30"/>
        <v>#N/A</v>
      </c>
      <c r="H75" s="6" t="e">
        <f t="shared" si="30"/>
        <v>#N/A</v>
      </c>
      <c r="I75" s="6" t="e">
        <f t="shared" si="30"/>
        <v>#N/A</v>
      </c>
      <c r="J75" s="6" t="e">
        <f t="shared" ref="J75:R75" si="31">_xlfn.RANK.EQ(J74,$D74:$R74,1)</f>
        <v>#N/A</v>
      </c>
      <c r="K75" s="6" t="e">
        <f t="shared" si="31"/>
        <v>#N/A</v>
      </c>
      <c r="L75" s="6" t="e">
        <f t="shared" si="31"/>
        <v>#N/A</v>
      </c>
      <c r="M75" s="6" t="e">
        <f t="shared" si="31"/>
        <v>#N/A</v>
      </c>
      <c r="N75" s="6" t="e">
        <f t="shared" si="31"/>
        <v>#N/A</v>
      </c>
      <c r="O75" s="6" t="e">
        <f t="shared" si="31"/>
        <v>#N/A</v>
      </c>
      <c r="P75" s="6" t="e">
        <f t="shared" si="31"/>
        <v>#N/A</v>
      </c>
      <c r="Q75" s="6" t="e">
        <f t="shared" si="31"/>
        <v>#N/A</v>
      </c>
      <c r="R75" s="6" t="e">
        <f t="shared" si="31"/>
        <v>#N/A</v>
      </c>
    </row>
  </sheetData>
  <mergeCells count="8">
    <mergeCell ref="A1:R1"/>
    <mergeCell ref="A74:C74"/>
    <mergeCell ref="A75:C75"/>
    <mergeCell ref="A73:C73"/>
    <mergeCell ref="A3:A23"/>
    <mergeCell ref="A24:A50"/>
    <mergeCell ref="A51:A71"/>
    <mergeCell ref="A72:C72"/>
  </mergeCells>
  <phoneticPr fontId="3" type="noConversion"/>
  <conditionalFormatting sqref="D3:R3">
    <cfRule type="top10" dxfId="26" priority="31" bottom="1" rank="1"/>
  </conditionalFormatting>
  <conditionalFormatting sqref="D6:R6">
    <cfRule type="top10" dxfId="25" priority="32" bottom="1" rank="1"/>
  </conditionalFormatting>
  <conditionalFormatting sqref="D9:R9">
    <cfRule type="top10" dxfId="24" priority="33" bottom="1" rank="1"/>
  </conditionalFormatting>
  <conditionalFormatting sqref="D12:R12">
    <cfRule type="top10" dxfId="23" priority="34" bottom="1" rank="1"/>
  </conditionalFormatting>
  <conditionalFormatting sqref="D15:R15">
    <cfRule type="top10" dxfId="22" priority="35" bottom="1" rank="1"/>
  </conditionalFormatting>
  <conditionalFormatting sqref="D18:R18">
    <cfRule type="top10" dxfId="21" priority="36" bottom="1" rank="1"/>
  </conditionalFormatting>
  <conditionalFormatting sqref="D21:R21">
    <cfRule type="top10" dxfId="20" priority="37" bottom="1" rank="1"/>
  </conditionalFormatting>
  <conditionalFormatting sqref="D24:R24">
    <cfRule type="top10" dxfId="19" priority="38" bottom="1" rank="1"/>
  </conditionalFormatting>
  <conditionalFormatting sqref="D27:R27">
    <cfRule type="top10" dxfId="18" priority="39" bottom="1" rank="1"/>
  </conditionalFormatting>
  <conditionalFormatting sqref="D30:R30">
    <cfRule type="top10" dxfId="17" priority="40" bottom="1" rank="1"/>
  </conditionalFormatting>
  <conditionalFormatting sqref="D33:R33">
    <cfRule type="top10" dxfId="16" priority="41" bottom="1" rank="1"/>
  </conditionalFormatting>
  <conditionalFormatting sqref="D36:R36">
    <cfRule type="top10" dxfId="15" priority="42" bottom="1" rank="1"/>
  </conditionalFormatting>
  <conditionalFormatting sqref="D39:R39">
    <cfRule type="top10" dxfId="14" priority="43" bottom="1" rank="1"/>
  </conditionalFormatting>
  <conditionalFormatting sqref="D42:R42">
    <cfRule type="top10" dxfId="13" priority="44" bottom="1" rank="1"/>
  </conditionalFormatting>
  <conditionalFormatting sqref="D45:R45">
    <cfRule type="top10" dxfId="12" priority="45" bottom="1" rank="1"/>
  </conditionalFormatting>
  <conditionalFormatting sqref="D48:R48">
    <cfRule type="top10" dxfId="11" priority="46" bottom="1" rank="1"/>
  </conditionalFormatting>
  <conditionalFormatting sqref="D51:R51">
    <cfRule type="top10" dxfId="10" priority="47" bottom="1" rank="1"/>
  </conditionalFormatting>
  <conditionalFormatting sqref="D54:R54">
    <cfRule type="top10" dxfId="9" priority="48" bottom="1" rank="1"/>
  </conditionalFormatting>
  <conditionalFormatting sqref="D57:R57">
    <cfRule type="top10" dxfId="8" priority="49" bottom="1" rank="1"/>
  </conditionalFormatting>
  <conditionalFormatting sqref="D60:R60">
    <cfRule type="top10" dxfId="7" priority="50" bottom="1" rank="1"/>
  </conditionalFormatting>
  <conditionalFormatting sqref="D63:R63">
    <cfRule type="top10" dxfId="6" priority="51" bottom="1" rank="1"/>
  </conditionalFormatting>
  <conditionalFormatting sqref="D66:R66">
    <cfRule type="top10" dxfId="5" priority="52" bottom="1" rank="1"/>
  </conditionalFormatting>
  <conditionalFormatting sqref="D69:R69">
    <cfRule type="top10" dxfId="4" priority="53" bottom="1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workbookViewId="0">
      <selection activeCell="B2" sqref="B2:O2"/>
    </sheetView>
  </sheetViews>
  <sheetFormatPr defaultRowHeight="15" x14ac:dyDescent="0.25"/>
  <cols>
    <col min="1" max="1" width="8.7109375" style="8" bestFit="1" customWidth="1"/>
    <col min="2" max="9" width="15.140625" style="8" bestFit="1" customWidth="1"/>
    <col min="10" max="15" width="16.140625" style="8" bestFit="1" customWidth="1"/>
  </cols>
  <sheetData>
    <row r="1" spans="1:15" ht="15.75" thickBot="1" x14ac:dyDescent="0.3">
      <c r="A1" s="29" t="s">
        <v>54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6" t="s">
        <v>60</v>
      </c>
      <c r="B2" s="19" t="s">
        <v>89</v>
      </c>
      <c r="C2" s="19" t="s">
        <v>90</v>
      </c>
      <c r="D2" s="19" t="s">
        <v>91</v>
      </c>
      <c r="E2" s="19" t="s">
        <v>92</v>
      </c>
      <c r="F2" s="19" t="s">
        <v>93</v>
      </c>
      <c r="G2" s="19" t="s">
        <v>94</v>
      </c>
      <c r="H2" s="19" t="s">
        <v>95</v>
      </c>
      <c r="I2" s="19" t="s">
        <v>96</v>
      </c>
      <c r="J2" s="19" t="s">
        <v>97</v>
      </c>
      <c r="K2" s="19" t="s">
        <v>98</v>
      </c>
      <c r="L2" s="19" t="s">
        <v>99</v>
      </c>
      <c r="M2" s="19" t="s">
        <v>100</v>
      </c>
      <c r="N2" s="19" t="s">
        <v>101</v>
      </c>
      <c r="O2" s="19" t="s">
        <v>102</v>
      </c>
    </row>
    <row r="3" spans="1:15" x14ac:dyDescent="0.25">
      <c r="A3" s="2" t="s">
        <v>61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15" t="s">
        <v>62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25">
      <c r="A5" s="15" t="s">
        <v>63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x14ac:dyDescent="0.25">
      <c r="A6" s="15" t="s">
        <v>64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25">
      <c r="A7" s="15" t="s">
        <v>65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25">
      <c r="A8" s="15" t="s">
        <v>66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5">
      <c r="A9" s="15" t="s">
        <v>67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25">
      <c r="A10" s="15" t="s">
        <v>68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5" t="s">
        <v>69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15" t="s">
        <v>70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5" t="s">
        <v>71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25">
      <c r="A14" s="15" t="s">
        <v>72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25">
      <c r="A15" s="15" t="s">
        <v>73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15" t="s">
        <v>74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25">
      <c r="A17" s="15" t="s">
        <v>75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5">
      <c r="A18" s="15" t="s">
        <v>76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25">
      <c r="A19" s="15" t="s">
        <v>77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5">
      <c r="A20" s="15" t="s">
        <v>78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5">
      <c r="A21" s="15" t="s">
        <v>79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5">
      <c r="A22" s="15" t="s">
        <v>80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25">
      <c r="A23" s="15" t="s">
        <v>81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s="15" t="s">
        <v>82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25">
      <c r="A25" s="6" t="s">
        <v>83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</sheetData>
  <mergeCells count="1">
    <mergeCell ref="A1:O1"/>
  </mergeCells>
  <conditionalFormatting sqref="B3:O25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workbookViewId="0">
      <selection activeCell="O2" sqref="B2:O2"/>
    </sheetView>
  </sheetViews>
  <sheetFormatPr defaultColWidth="8.85546875" defaultRowHeight="15" x14ac:dyDescent="0.25"/>
  <cols>
    <col min="1" max="1" width="8.7109375" style="8" bestFit="1" customWidth="1"/>
    <col min="2" max="9" width="15.140625" style="8" bestFit="1" customWidth="1"/>
    <col min="10" max="15" width="16.140625" style="8" bestFit="1" customWidth="1"/>
    <col min="16" max="16384" width="8.85546875" style="8"/>
  </cols>
  <sheetData>
    <row r="1" spans="1:15" ht="15.75" thickBot="1" x14ac:dyDescent="0.3">
      <c r="A1" s="29" t="s">
        <v>55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6" t="s">
        <v>60</v>
      </c>
      <c r="B2" s="19" t="s">
        <v>89</v>
      </c>
      <c r="C2" s="19" t="s">
        <v>90</v>
      </c>
      <c r="D2" s="19" t="s">
        <v>91</v>
      </c>
      <c r="E2" s="19" t="s">
        <v>92</v>
      </c>
      <c r="F2" s="19" t="s">
        <v>93</v>
      </c>
      <c r="G2" s="19" t="s">
        <v>94</v>
      </c>
      <c r="H2" s="19" t="s">
        <v>95</v>
      </c>
      <c r="I2" s="19" t="s">
        <v>96</v>
      </c>
      <c r="J2" s="19" t="s">
        <v>97</v>
      </c>
      <c r="K2" s="19" t="s">
        <v>98</v>
      </c>
      <c r="L2" s="19" t="s">
        <v>99</v>
      </c>
      <c r="M2" s="19" t="s">
        <v>100</v>
      </c>
      <c r="N2" s="19" t="s">
        <v>101</v>
      </c>
      <c r="O2" s="19" t="s">
        <v>102</v>
      </c>
    </row>
    <row r="3" spans="1:15" x14ac:dyDescent="0.25">
      <c r="A3" s="2" t="s">
        <v>61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x14ac:dyDescent="0.25">
      <c r="A4" s="15" t="s">
        <v>62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x14ac:dyDescent="0.25">
      <c r="A5" s="15" t="s">
        <v>63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x14ac:dyDescent="0.25">
      <c r="A6" s="15" t="s">
        <v>64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x14ac:dyDescent="0.25">
      <c r="A7" s="15" t="s">
        <v>65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x14ac:dyDescent="0.25">
      <c r="A8" s="15" t="s">
        <v>66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x14ac:dyDescent="0.25">
      <c r="A9" s="15" t="s">
        <v>67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x14ac:dyDescent="0.25">
      <c r="A10" s="15" t="s">
        <v>68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x14ac:dyDescent="0.25">
      <c r="A11" s="15" t="s">
        <v>69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x14ac:dyDescent="0.25">
      <c r="A12" s="15" t="s">
        <v>70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x14ac:dyDescent="0.25">
      <c r="A13" s="15" t="s">
        <v>71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x14ac:dyDescent="0.25">
      <c r="A14" s="15" t="s">
        <v>72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 x14ac:dyDescent="0.25">
      <c r="A15" s="15" t="s">
        <v>73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5" x14ac:dyDescent="0.25">
      <c r="A16" s="15" t="s">
        <v>74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x14ac:dyDescent="0.25">
      <c r="A17" s="15" t="s">
        <v>75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x14ac:dyDescent="0.25">
      <c r="A18" s="15" t="s">
        <v>76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x14ac:dyDescent="0.25">
      <c r="A19" s="15" t="s">
        <v>77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x14ac:dyDescent="0.25">
      <c r="A20" s="15" t="s">
        <v>78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x14ac:dyDescent="0.25">
      <c r="A21" s="15" t="s">
        <v>79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 x14ac:dyDescent="0.25">
      <c r="A22" s="15" t="s">
        <v>80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x14ac:dyDescent="0.25">
      <c r="A23" s="15" t="s">
        <v>81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 x14ac:dyDescent="0.25">
      <c r="A24" s="15" t="s">
        <v>82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x14ac:dyDescent="0.25">
      <c r="A25" s="6" t="s">
        <v>83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</sheetData>
  <mergeCells count="1">
    <mergeCell ref="A1:O1"/>
  </mergeCells>
  <conditionalFormatting sqref="B3:O25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workbookViewId="0">
      <selection activeCell="B2" sqref="B2:O2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9" t="s">
        <v>37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11" t="s">
        <v>60</v>
      </c>
      <c r="B2" s="19" t="s">
        <v>89</v>
      </c>
      <c r="C2" s="19" t="s">
        <v>90</v>
      </c>
      <c r="D2" s="19" t="s">
        <v>91</v>
      </c>
      <c r="E2" s="19" t="s">
        <v>92</v>
      </c>
      <c r="F2" s="19" t="s">
        <v>93</v>
      </c>
      <c r="G2" s="19" t="s">
        <v>94</v>
      </c>
      <c r="H2" s="19" t="s">
        <v>95</v>
      </c>
      <c r="I2" s="19" t="s">
        <v>96</v>
      </c>
      <c r="J2" s="19" t="s">
        <v>97</v>
      </c>
      <c r="K2" s="19" t="s">
        <v>98</v>
      </c>
      <c r="L2" s="19" t="s">
        <v>99</v>
      </c>
      <c r="M2" s="19" t="s">
        <v>100</v>
      </c>
      <c r="N2" s="19" t="s">
        <v>101</v>
      </c>
      <c r="O2" s="19" t="s">
        <v>102</v>
      </c>
    </row>
    <row r="3" spans="1:15" x14ac:dyDescent="0.25">
      <c r="A3" s="12" t="s">
        <v>61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13" t="s">
        <v>62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25">
      <c r="A5" s="13" t="s">
        <v>63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x14ac:dyDescent="0.25">
      <c r="A6" s="13" t="s">
        <v>64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25">
      <c r="A7" s="13" t="s">
        <v>65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25">
      <c r="A8" s="13" t="s">
        <v>66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5">
      <c r="A9" s="13" t="s">
        <v>67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25">
      <c r="A10" s="13" t="s">
        <v>68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3" t="s">
        <v>69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13" t="s">
        <v>70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3" t="s">
        <v>71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25">
      <c r="A14" s="13" t="s">
        <v>72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25">
      <c r="A15" s="13" t="s">
        <v>73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13" t="s">
        <v>74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25">
      <c r="A17" s="13" t="s">
        <v>75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5">
      <c r="A18" s="13" t="s">
        <v>76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25">
      <c r="A19" s="13" t="s">
        <v>77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5">
      <c r="A20" s="13" t="s">
        <v>78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5">
      <c r="A21" s="13" t="s">
        <v>79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5">
      <c r="A22" s="13" t="s">
        <v>80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25">
      <c r="A23" s="13" t="s">
        <v>81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s="13" t="s">
        <v>82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25">
      <c r="A25" s="11" t="s">
        <v>83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</sheetData>
  <mergeCells count="1">
    <mergeCell ref="A1:O1"/>
  </mergeCells>
  <conditionalFormatting sqref="B3:O25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5"/>
  <sheetViews>
    <sheetView workbookViewId="0">
      <selection activeCell="B2" sqref="B2:O2"/>
    </sheetView>
  </sheetViews>
  <sheetFormatPr defaultColWidth="8.85546875" defaultRowHeight="15" x14ac:dyDescent="0.25"/>
  <cols>
    <col min="1" max="1" width="8.7109375" style="8" bestFit="1" customWidth="1"/>
    <col min="2" max="9" width="15.140625" style="8" bestFit="1" customWidth="1"/>
    <col min="10" max="15" width="16.140625" style="8" bestFit="1" customWidth="1"/>
    <col min="16" max="16384" width="8.85546875" style="8"/>
  </cols>
  <sheetData>
    <row r="1" spans="1:15" ht="15.75" thickBot="1" x14ac:dyDescent="0.3">
      <c r="A1" s="29" t="s">
        <v>53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6" t="s">
        <v>60</v>
      </c>
      <c r="B2" s="19" t="s">
        <v>89</v>
      </c>
      <c r="C2" s="19" t="s">
        <v>90</v>
      </c>
      <c r="D2" s="19" t="s">
        <v>91</v>
      </c>
      <c r="E2" s="19" t="s">
        <v>92</v>
      </c>
      <c r="F2" s="19" t="s">
        <v>93</v>
      </c>
      <c r="G2" s="19" t="s">
        <v>94</v>
      </c>
      <c r="H2" s="19" t="s">
        <v>95</v>
      </c>
      <c r="I2" s="19" t="s">
        <v>96</v>
      </c>
      <c r="J2" s="19" t="s">
        <v>97</v>
      </c>
      <c r="K2" s="19" t="s">
        <v>98</v>
      </c>
      <c r="L2" s="19" t="s">
        <v>99</v>
      </c>
      <c r="M2" s="19" t="s">
        <v>100</v>
      </c>
      <c r="N2" s="19" t="s">
        <v>101</v>
      </c>
      <c r="O2" s="19" t="s">
        <v>102</v>
      </c>
    </row>
    <row r="3" spans="1:15" x14ac:dyDescent="0.25">
      <c r="A3" s="2" t="s">
        <v>61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x14ac:dyDescent="0.25">
      <c r="A4" s="15" t="s">
        <v>62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x14ac:dyDescent="0.25">
      <c r="A5" s="15" t="s">
        <v>63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x14ac:dyDescent="0.25">
      <c r="A6" s="15" t="s">
        <v>64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x14ac:dyDescent="0.25">
      <c r="A7" s="15" t="s">
        <v>65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x14ac:dyDescent="0.25">
      <c r="A8" s="15" t="s">
        <v>66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x14ac:dyDescent="0.25">
      <c r="A9" s="15" t="s">
        <v>67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x14ac:dyDescent="0.25">
      <c r="A10" s="15" t="s">
        <v>68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x14ac:dyDescent="0.25">
      <c r="A11" s="15" t="s">
        <v>69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x14ac:dyDescent="0.25">
      <c r="A12" s="15" t="s">
        <v>70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x14ac:dyDescent="0.25">
      <c r="A13" s="15" t="s">
        <v>71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x14ac:dyDescent="0.25">
      <c r="A14" s="15" t="s">
        <v>72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 x14ac:dyDescent="0.25">
      <c r="A15" s="15" t="s">
        <v>73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5" x14ac:dyDescent="0.25">
      <c r="A16" s="15" t="s">
        <v>74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x14ac:dyDescent="0.25">
      <c r="A17" s="15" t="s">
        <v>75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x14ac:dyDescent="0.25">
      <c r="A18" s="15" t="s">
        <v>76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x14ac:dyDescent="0.25">
      <c r="A19" s="15" t="s">
        <v>77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x14ac:dyDescent="0.25">
      <c r="A20" s="15" t="s">
        <v>78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x14ac:dyDescent="0.25">
      <c r="A21" s="15" t="s">
        <v>79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 x14ac:dyDescent="0.25">
      <c r="A22" s="15" t="s">
        <v>80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x14ac:dyDescent="0.25">
      <c r="A23" s="15" t="s">
        <v>81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 x14ac:dyDescent="0.25">
      <c r="A24" s="15" t="s">
        <v>82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x14ac:dyDescent="0.25">
      <c r="A25" s="6" t="s">
        <v>83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</sheetData>
  <mergeCells count="1">
    <mergeCell ref="A1:O1"/>
  </mergeCells>
  <conditionalFormatting sqref="B3:O25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5"/>
  <sheetViews>
    <sheetView workbookViewId="0">
      <selection activeCell="F33" sqref="F33"/>
    </sheetView>
  </sheetViews>
  <sheetFormatPr defaultColWidth="8.85546875" defaultRowHeight="15" x14ac:dyDescent="0.25"/>
  <cols>
    <col min="1" max="1" width="8.7109375" style="8" bestFit="1" customWidth="1"/>
    <col min="2" max="9" width="15.140625" style="8" bestFit="1" customWidth="1"/>
    <col min="10" max="15" width="16.140625" style="8" bestFit="1" customWidth="1"/>
    <col min="16" max="16384" width="8.85546875" style="8"/>
  </cols>
  <sheetData>
    <row r="1" spans="1:15" ht="15.75" thickBot="1" x14ac:dyDescent="0.3">
      <c r="A1" s="29" t="s">
        <v>56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6" t="s">
        <v>60</v>
      </c>
      <c r="B2" s="19" t="s">
        <v>89</v>
      </c>
      <c r="C2" s="19" t="s">
        <v>90</v>
      </c>
      <c r="D2" s="19" t="s">
        <v>91</v>
      </c>
      <c r="E2" s="19" t="s">
        <v>92</v>
      </c>
      <c r="F2" s="19" t="s">
        <v>93</v>
      </c>
      <c r="G2" s="19" t="s">
        <v>94</v>
      </c>
      <c r="H2" s="19" t="s">
        <v>95</v>
      </c>
      <c r="I2" s="19" t="s">
        <v>96</v>
      </c>
      <c r="J2" s="19" t="s">
        <v>97</v>
      </c>
      <c r="K2" s="19" t="s">
        <v>98</v>
      </c>
      <c r="L2" s="19" t="s">
        <v>99</v>
      </c>
      <c r="M2" s="19" t="s">
        <v>100</v>
      </c>
      <c r="N2" s="19" t="s">
        <v>101</v>
      </c>
      <c r="O2" s="19" t="s">
        <v>102</v>
      </c>
    </row>
    <row r="3" spans="1:15" x14ac:dyDescent="0.25">
      <c r="A3" s="8" t="s">
        <v>61</v>
      </c>
    </row>
    <row r="4" spans="1:15" x14ac:dyDescent="0.25">
      <c r="A4" s="8" t="s">
        <v>62</v>
      </c>
    </row>
    <row r="5" spans="1:15" x14ac:dyDescent="0.25">
      <c r="A5" s="8" t="s">
        <v>63</v>
      </c>
    </row>
    <row r="6" spans="1:15" x14ac:dyDescent="0.25">
      <c r="A6" s="8" t="s">
        <v>64</v>
      </c>
    </row>
    <row r="7" spans="1:15" x14ac:dyDescent="0.25">
      <c r="A7" s="8" t="s">
        <v>65</v>
      </c>
    </row>
    <row r="8" spans="1:15" x14ac:dyDescent="0.25">
      <c r="A8" s="8" t="s">
        <v>66</v>
      </c>
    </row>
    <row r="9" spans="1:15" x14ac:dyDescent="0.25">
      <c r="A9" s="8" t="s">
        <v>67</v>
      </c>
    </row>
    <row r="10" spans="1:15" x14ac:dyDescent="0.25">
      <c r="A10" s="8" t="s">
        <v>68</v>
      </c>
    </row>
    <row r="11" spans="1:15" x14ac:dyDescent="0.25">
      <c r="A11" s="8" t="s">
        <v>69</v>
      </c>
    </row>
    <row r="12" spans="1:15" x14ac:dyDescent="0.25">
      <c r="A12" s="8" t="s">
        <v>70</v>
      </c>
    </row>
    <row r="13" spans="1:15" x14ac:dyDescent="0.25">
      <c r="A13" s="8" t="s">
        <v>71</v>
      </c>
    </row>
    <row r="14" spans="1:15" x14ac:dyDescent="0.25">
      <c r="A14" s="8" t="s">
        <v>72</v>
      </c>
    </row>
    <row r="15" spans="1:15" x14ac:dyDescent="0.25">
      <c r="A15" s="8" t="s">
        <v>73</v>
      </c>
    </row>
    <row r="16" spans="1:15" x14ac:dyDescent="0.25">
      <c r="A16" s="8" t="s">
        <v>74</v>
      </c>
    </row>
    <row r="17" spans="1:15" x14ac:dyDescent="0.25">
      <c r="A17" s="8" t="s">
        <v>75</v>
      </c>
    </row>
    <row r="18" spans="1:15" x14ac:dyDescent="0.25">
      <c r="A18" s="8" t="s">
        <v>76</v>
      </c>
    </row>
    <row r="19" spans="1:15" x14ac:dyDescent="0.25">
      <c r="A19" s="8" t="s">
        <v>77</v>
      </c>
    </row>
    <row r="20" spans="1:15" x14ac:dyDescent="0.25">
      <c r="A20" s="8" t="s">
        <v>78</v>
      </c>
    </row>
    <row r="21" spans="1:15" x14ac:dyDescent="0.25">
      <c r="A21" s="8" t="s">
        <v>79</v>
      </c>
    </row>
    <row r="22" spans="1:15" x14ac:dyDescent="0.25">
      <c r="A22" s="8" t="s">
        <v>80</v>
      </c>
    </row>
    <row r="23" spans="1:15" x14ac:dyDescent="0.25">
      <c r="A23" s="8" t="s">
        <v>81</v>
      </c>
    </row>
    <row r="24" spans="1:15" x14ac:dyDescent="0.25">
      <c r="A24" s="8" t="s">
        <v>82</v>
      </c>
    </row>
    <row r="25" spans="1:15" x14ac:dyDescent="0.25">
      <c r="A25" s="6" t="s">
        <v>83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defaultRowHeight="15" x14ac:dyDescent="0.25"/>
  <cols>
    <col min="1" max="1" width="53.85546875" bestFit="1" customWidth="1"/>
  </cols>
  <sheetData>
    <row r="1" spans="1:1" x14ac:dyDescent="0.25">
      <c r="A1" t="s">
        <v>84</v>
      </c>
    </row>
    <row r="2" spans="1:1" x14ac:dyDescent="0.25">
      <c r="A2" t="s">
        <v>85</v>
      </c>
    </row>
    <row r="3" spans="1:1" x14ac:dyDescent="0.25">
      <c r="A3" t="s">
        <v>86</v>
      </c>
    </row>
    <row r="4" spans="1:1" x14ac:dyDescent="0.25">
      <c r="A4" t="s">
        <v>87</v>
      </c>
    </row>
    <row r="5" spans="1:1" x14ac:dyDescent="0.25">
      <c r="A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2025-12-29T19:26:50Z</dcterms:modified>
</cp:coreProperties>
</file>