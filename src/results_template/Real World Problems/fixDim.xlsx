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Real World Problems\"/>
    </mc:Choice>
  </mc:AlternateContent>
  <xr:revisionPtr revIDLastSave="0" documentId="13_ncr:1_{48D9F863-F9FA-4FEF-8C01-962248EEB61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" l="1"/>
  <c r="W4" i="1"/>
  <c r="X4" i="1"/>
  <c r="Y4" i="1"/>
  <c r="F56" i="1" s="1"/>
  <c r="Z4" i="1"/>
  <c r="AA4" i="1"/>
  <c r="AB4" i="1"/>
  <c r="I56" i="1" s="1"/>
  <c r="AC4" i="1"/>
  <c r="J56" i="1" s="1"/>
  <c r="AD4" i="1"/>
  <c r="AE4" i="1"/>
  <c r="AF4" i="1"/>
  <c r="AG4" i="1"/>
  <c r="N56" i="1" s="1"/>
  <c r="AH4" i="1"/>
  <c r="AI4" i="1"/>
  <c r="V5" i="1"/>
  <c r="W5" i="1"/>
  <c r="X5" i="1"/>
  <c r="Y5" i="1"/>
  <c r="Z5" i="1"/>
  <c r="AA5" i="1"/>
  <c r="AB5" i="1"/>
  <c r="AC5" i="1"/>
  <c r="AD5" i="1"/>
  <c r="K57" i="1" s="1"/>
  <c r="AE5" i="1"/>
  <c r="AF5" i="1"/>
  <c r="AG5" i="1"/>
  <c r="AH5" i="1"/>
  <c r="AI5" i="1"/>
  <c r="P57" i="1" s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V24" i="1"/>
  <c r="W24" i="1"/>
  <c r="X24" i="1"/>
  <c r="Y24" i="1"/>
  <c r="Z24" i="1"/>
  <c r="AA24" i="1"/>
  <c r="AB24" i="1"/>
  <c r="AC24" i="1"/>
  <c r="AD24" i="1"/>
  <c r="AE24" i="1"/>
  <c r="AF24" i="1"/>
  <c r="M56" i="1" s="1"/>
  <c r="AG24" i="1"/>
  <c r="AH24" i="1"/>
  <c r="AI24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W3" i="1"/>
  <c r="X3" i="1"/>
  <c r="Y3" i="1"/>
  <c r="Z3" i="1"/>
  <c r="AA3" i="1"/>
  <c r="AB3" i="1"/>
  <c r="I55" i="1" s="1"/>
  <c r="AC3" i="1"/>
  <c r="AD3" i="1"/>
  <c r="AE3" i="1"/>
  <c r="AF3" i="1"/>
  <c r="AG3" i="1"/>
  <c r="AH3" i="1"/>
  <c r="AI3" i="1"/>
  <c r="V3" i="1"/>
  <c r="C55" i="1" s="1"/>
  <c r="J55" i="1"/>
  <c r="Q55" i="1"/>
  <c r="D56" i="1"/>
  <c r="E56" i="1"/>
  <c r="K56" i="1"/>
  <c r="L56" i="1"/>
  <c r="Q56" i="1"/>
  <c r="E57" i="1"/>
  <c r="F57" i="1"/>
  <c r="G57" i="1"/>
  <c r="H57" i="1"/>
  <c r="M57" i="1"/>
  <c r="N57" i="1"/>
  <c r="O57" i="1"/>
  <c r="Q57" i="1"/>
  <c r="C57" i="1"/>
  <c r="C56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L57" i="1" l="1"/>
  <c r="O55" i="1"/>
  <c r="G55" i="1"/>
  <c r="L55" i="1"/>
  <c r="D57" i="1"/>
  <c r="D55" i="1"/>
  <c r="P55" i="1"/>
  <c r="H55" i="1"/>
  <c r="N55" i="1"/>
  <c r="M55" i="1"/>
  <c r="E55" i="1"/>
  <c r="I57" i="1"/>
  <c r="O56" i="1"/>
  <c r="G56" i="1"/>
  <c r="K55" i="1"/>
  <c r="H56" i="1"/>
  <c r="F55" i="1"/>
  <c r="P56" i="1"/>
  <c r="J57" i="1"/>
</calcChain>
</file>

<file path=xl/sharedStrings.xml><?xml version="1.0" encoding="utf-8"?>
<sst xmlns="http://schemas.openxmlformats.org/spreadsheetml/2006/main" count="194" uniqueCount="104">
  <si>
    <t>Mean</t>
  </si>
  <si>
    <t>Std</t>
  </si>
  <si>
    <t>Comparison of optimization results for the Mechanical Engineering Problem (Fix Dim)</t>
  </si>
  <si>
    <t>Global Optimum</t>
  </si>
  <si>
    <t>Problem1</t>
  </si>
  <si>
    <t>Min</t>
  </si>
  <si>
    <t>Max</t>
  </si>
  <si>
    <t>Problem2</t>
  </si>
  <si>
    <t>Problem3</t>
  </si>
  <si>
    <t>Problem4</t>
  </si>
  <si>
    <t>Problem5</t>
  </si>
  <si>
    <t>Problem6</t>
  </si>
  <si>
    <t>Problem7</t>
  </si>
  <si>
    <t>Problem8</t>
  </si>
  <si>
    <t>Problem9</t>
  </si>
  <si>
    <t>Problem10</t>
  </si>
  <si>
    <t>Problem11</t>
  </si>
  <si>
    <t>Problem12</t>
  </si>
  <si>
    <t>Problem13</t>
  </si>
  <si>
    <t>Column1</t>
  </si>
  <si>
    <t>Column2</t>
  </si>
  <si>
    <t>Sum of Best Results</t>
  </si>
  <si>
    <t>Problem</t>
  </si>
  <si>
    <t>Problem1</t>
  </si>
  <si>
    <t>Problem2</t>
  </si>
  <si>
    <t>Problem3</t>
  </si>
  <si>
    <t>Problem4</t>
  </si>
  <si>
    <t>Problem5</t>
  </si>
  <si>
    <t>Problem6</t>
  </si>
  <si>
    <t>Problem7</t>
  </si>
  <si>
    <t>Problem8</t>
  </si>
  <si>
    <t>Problem9</t>
  </si>
  <si>
    <t>Problem10</t>
  </si>
  <si>
    <t>Problem11</t>
  </si>
  <si>
    <t>Problem12</t>
  </si>
  <si>
    <t>Problem13</t>
  </si>
  <si>
    <t>Stat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</si>
  <si>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</si>
  <si>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</si>
  <si>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</si>
  <si>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</si>
  <si>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</si>
  <si>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</si>
  <si>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</si>
  <si>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</si>
  <si>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</si>
  <si>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</si>
  <si>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</si>
  <si>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</si>
  <si>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</si>
  <si>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</si>
  <si>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</si>
  <si>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</si>
  <si>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</si>
  <si>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</si>
  <si>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</si>
  <si>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</si>
  <si>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</si>
  <si>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</si>
  <si>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</si>
  <si>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</si>
  <si>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</si>
  <si>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</si>
  <si>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</si>
  <si>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</si>
  <si>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</si>
  <si>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</si>
  <si>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</si>
  <si>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</si>
  <si>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</si>
  <si>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</si>
  <si>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</si>
  <si>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</si>
  <si>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</si>
  <si>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</si>
  <si>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</si>
  <si>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</si>
  <si>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</si>
  <si>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</si>
  <si>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</si>
  <si>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</si>
  <si>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</si>
  <si>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</si>
  <si>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</si>
  <si>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</si>
  <si>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Min</t>
  </si>
  <si>
    <t>Mean</t>
  </si>
  <si>
    <t>Max</t>
  </si>
  <si>
    <t>Std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</si>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</sst>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sz val="11"/>
      <name val="Calibri"/>
      <family val="2"/>
    </font>
    <font>
      <sz val="8"/>
      <name val="Calibri"/>
      <family val="2"/>
    </font>
    <font>
      <sz val="10"/>
      <name val="Consolas"/>
      <family val="3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11" fontId="0" fillId="0" borderId="1" xfId="0" applyNumberFormat="1" applyBorder="1" applyAlignment="1">
      <alignment horizontal="left" vertical="top"/>
    </xf>
    <xf numFmtId="11" fontId="1" fillId="0" borderId="2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11" fontId="1" fillId="0" borderId="1" xfId="0" applyNumberFormat="1" applyFont="1" applyBorder="1" applyAlignment="1">
      <alignment horizontal="left" vertical="top"/>
    </xf>
    <xf numFmtId="11" fontId="3" fillId="0" borderId="1" xfId="0" applyNumberFormat="1" applyFont="1" applyBorder="1" applyAlignment="1">
      <alignment horizontal="center" vertical="center"/>
    </xf>
    <xf numFmtId="11" fontId="3" fillId="0" borderId="4" xfId="0" applyNumberFormat="1" applyFont="1" applyBorder="1" applyAlignment="1">
      <alignment horizontal="center" vertical="center"/>
    </xf>
    <xf numFmtId="11" fontId="3" fillId="0" borderId="2" xfId="0" applyNumberFormat="1" applyFont="1" applyBorder="1" applyAlignment="1">
      <alignment horizontal="center" vertical="center"/>
    </xf>
    <xf numFmtId="11" fontId="0" fillId="0" borderId="6" xfId="0" applyNumberForma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</cellXfs>
  <cellStyles count="1">
    <cellStyle name="Normal" xfId="0" builtinId="0"/>
  </cellStyles>
  <dxfs count="42"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12ED38-B2E2-4C50-9EC7-B9DDCCBA7C73}" name="Table2" displayName="Table2" ref="S2:T54" totalsRowShown="0" tableBorderDxfId="41">
  <autoFilter ref="S2:T54" xr:uid="{0E12ED38-B2E2-4C50-9EC7-B9DDCCBA7C73}"/>
  <tableColumns count="2">
    <tableColumn id="1" xr3:uid="{ACC1C7D5-2FE5-43F2-A57D-577031A918E3}" name="Column1" dataDxfId="40"/>
    <tableColumn id="2" xr3:uid="{597B9C1C-F488-4754-93D3-7327AE785EB7}" name="Column2" dataDxfId="3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7"/>
  <sheetViews>
    <sheetView tabSelected="1" workbookViewId="0">
      <selection activeCell="F14" sqref="F14"/>
    </sheetView>
  </sheetViews>
  <sheetFormatPr defaultColWidth="8.85546875" defaultRowHeight="15" x14ac:dyDescent="0.25"/>
  <cols>
    <col min="1" max="1" width="16.28515625" style="1" customWidth="1"/>
    <col min="2" max="2" width="6" style="1" bestFit="1" customWidth="1"/>
    <col min="3" max="10" width="11.28515625" style="1" bestFit="1" customWidth="1"/>
    <col min="11" max="11" width="11.28515625" style="1" customWidth="1"/>
    <col min="12" max="17" width="12.28515625" style="1" bestFit="1" customWidth="1"/>
    <col min="18" max="18" width="15.7109375" style="1" bestFit="1" customWidth="1"/>
    <col min="19" max="20" width="11.140625" style="1" bestFit="1" customWidth="1"/>
    <col min="21" max="21" width="8.85546875" style="1"/>
    <col min="22" max="29" width="11.28515625" style="1" hidden="1" customWidth="1"/>
    <col min="30" max="35" width="12.28515625" style="1" hidden="1" customWidth="1"/>
    <col min="36" max="16384" width="8.85546875" style="1"/>
  </cols>
  <sheetData>
    <row r="1" spans="1:35" ht="15.75" thickBot="1" x14ac:dyDescent="0.3">
      <c r="A1" s="18" t="s">
        <v>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spans="1:35" x14ac:dyDescent="0.25">
      <c r="A2" s="4" t="s">
        <v>22</v>
      </c>
      <c r="B2" s="4" t="s">
        <v>36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103</v>
      </c>
      <c r="R2" s="5" t="s">
        <v>3</v>
      </c>
      <c r="S2" s="5" t="s">
        <v>19</v>
      </c>
      <c r="T2" s="4" t="s">
        <v>20</v>
      </c>
      <c r="V2" s="17" t="str">
        <f>D2</f>
        <v>Algorithm 2</v>
      </c>
      <c r="W2" s="17" t="str">
        <f t="shared" ref="W2:AI2" si="0">E2</f>
        <v>Algorithm 3</v>
      </c>
      <c r="X2" s="17" t="str">
        <f t="shared" si="0"/>
        <v>Algorithm 4</v>
      </c>
      <c r="Y2" s="17" t="str">
        <f t="shared" si="0"/>
        <v>Algorithm 5</v>
      </c>
      <c r="Z2" s="17" t="str">
        <f t="shared" si="0"/>
        <v>Algorithm 6</v>
      </c>
      <c r="AA2" s="17" t="str">
        <f t="shared" si="0"/>
        <v>Algorithm 7</v>
      </c>
      <c r="AB2" s="17" t="str">
        <f t="shared" si="0"/>
        <v>Algorithm 8</v>
      </c>
      <c r="AC2" s="17" t="str">
        <f t="shared" si="0"/>
        <v>Algorithm 9</v>
      </c>
      <c r="AD2" s="17" t="str">
        <f t="shared" si="0"/>
        <v>Algorithm 10</v>
      </c>
      <c r="AE2" s="17" t="str">
        <f t="shared" si="0"/>
        <v>Algorithm 11</v>
      </c>
      <c r="AF2" s="17" t="str">
        <f t="shared" si="0"/>
        <v>Algorithm 12</v>
      </c>
      <c r="AG2" s="17" t="str">
        <f t="shared" si="0"/>
        <v>Algorithm 13</v>
      </c>
      <c r="AH2" s="17" t="str">
        <f t="shared" si="0"/>
        <v>Algorithm 14</v>
      </c>
      <c r="AI2" s="17" t="str">
        <f t="shared" si="0"/>
        <v>Algorithm 15</v>
      </c>
    </row>
    <row r="3" spans="1:35" x14ac:dyDescent="0.25">
      <c r="A3" s="7" t="s">
        <v>23</v>
      </c>
      <c r="B3" s="8" t="s">
        <v>37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3">
        <v>2994.4244657999998</v>
      </c>
      <c r="S3" s="7" t="s">
        <v>4</v>
      </c>
      <c r="T3" s="8" t="s">
        <v>5</v>
      </c>
      <c r="V3" s="1" t="e">
        <f>_xlfn.RANK.EQ(C3,$C3:$Q3,1)</f>
        <v>#N/A</v>
      </c>
      <c r="W3" s="1" t="e">
        <f t="shared" ref="W3:AI3" si="1">_xlfn.RANK.EQ(D3,$C3:$Q3,1)</f>
        <v>#N/A</v>
      </c>
      <c r="X3" s="1" t="e">
        <f t="shared" si="1"/>
        <v>#N/A</v>
      </c>
      <c r="Y3" s="1" t="e">
        <f t="shared" si="1"/>
        <v>#N/A</v>
      </c>
      <c r="Z3" s="1" t="e">
        <f t="shared" si="1"/>
        <v>#N/A</v>
      </c>
      <c r="AA3" s="1" t="e">
        <f t="shared" si="1"/>
        <v>#N/A</v>
      </c>
      <c r="AB3" s="1" t="e">
        <f t="shared" si="1"/>
        <v>#N/A</v>
      </c>
      <c r="AC3" s="1" t="e">
        <f t="shared" si="1"/>
        <v>#N/A</v>
      </c>
      <c r="AD3" s="1" t="e">
        <f t="shared" si="1"/>
        <v>#N/A</v>
      </c>
      <c r="AE3" s="1" t="e">
        <f t="shared" si="1"/>
        <v>#N/A</v>
      </c>
      <c r="AF3" s="1" t="e">
        <f t="shared" si="1"/>
        <v>#N/A</v>
      </c>
      <c r="AG3" s="1" t="e">
        <f t="shared" si="1"/>
        <v>#N/A</v>
      </c>
      <c r="AH3" s="1" t="e">
        <f t="shared" si="1"/>
        <v>#N/A</v>
      </c>
      <c r="AI3" s="1" t="e">
        <f t="shared" si="1"/>
        <v>#N/A</v>
      </c>
    </row>
    <row r="4" spans="1:35" x14ac:dyDescent="0.25">
      <c r="A4" s="11" t="s">
        <v>23</v>
      </c>
      <c r="B4" s="4" t="s">
        <v>38</v>
      </c>
      <c r="C4" s="6"/>
      <c r="D4" s="6"/>
      <c r="E4" s="6"/>
      <c r="F4" s="6"/>
      <c r="G4" s="6"/>
      <c r="H4" s="6"/>
      <c r="I4" s="6"/>
      <c r="J4" s="6"/>
      <c r="K4" s="16"/>
      <c r="L4" s="16"/>
      <c r="M4" s="16"/>
      <c r="N4" s="16"/>
      <c r="O4" s="16"/>
      <c r="P4" s="6"/>
      <c r="Q4" s="6"/>
      <c r="R4" s="14"/>
      <c r="S4" s="5"/>
      <c r="T4" s="4" t="s">
        <v>0</v>
      </c>
      <c r="V4" s="1" t="e">
        <f t="shared" ref="V4:V54" si="2">_xlfn.RANK.EQ(C4,$C4:$Q4,1)</f>
        <v>#N/A</v>
      </c>
      <c r="W4" s="1" t="e">
        <f t="shared" ref="W4:W54" si="3">_xlfn.RANK.EQ(D4,$C4:$Q4,1)</f>
        <v>#N/A</v>
      </c>
      <c r="X4" s="1" t="e">
        <f t="shared" ref="X4:X54" si="4">_xlfn.RANK.EQ(E4,$C4:$Q4,1)</f>
        <v>#N/A</v>
      </c>
      <c r="Y4" s="1" t="e">
        <f t="shared" ref="Y4:Y54" si="5">_xlfn.RANK.EQ(F4,$C4:$Q4,1)</f>
        <v>#N/A</v>
      </c>
      <c r="Z4" s="1" t="e">
        <f t="shared" ref="Z4:Z54" si="6">_xlfn.RANK.EQ(G4,$C4:$Q4,1)</f>
        <v>#N/A</v>
      </c>
      <c r="AA4" s="1" t="e">
        <f t="shared" ref="AA4:AA54" si="7">_xlfn.RANK.EQ(H4,$C4:$Q4,1)</f>
        <v>#N/A</v>
      </c>
      <c r="AB4" s="1" t="e">
        <f t="shared" ref="AB4:AB54" si="8">_xlfn.RANK.EQ(I4,$C4:$Q4,1)</f>
        <v>#N/A</v>
      </c>
      <c r="AC4" s="1" t="e">
        <f t="shared" ref="AC4:AC54" si="9">_xlfn.RANK.EQ(J4,$C4:$Q4,1)</f>
        <v>#N/A</v>
      </c>
      <c r="AD4" s="1" t="e">
        <f t="shared" ref="AD4:AD54" si="10">_xlfn.RANK.EQ(K4,$C4:$Q4,1)</f>
        <v>#N/A</v>
      </c>
      <c r="AE4" s="1" t="e">
        <f t="shared" ref="AE4:AE54" si="11">_xlfn.RANK.EQ(L4,$C4:$Q4,1)</f>
        <v>#N/A</v>
      </c>
      <c r="AF4" s="1" t="e">
        <f t="shared" ref="AF4:AF54" si="12">_xlfn.RANK.EQ(M4,$C4:$Q4,1)</f>
        <v>#N/A</v>
      </c>
      <c r="AG4" s="1" t="e">
        <f t="shared" ref="AG4:AG54" si="13">_xlfn.RANK.EQ(N4,$C4:$Q4,1)</f>
        <v>#N/A</v>
      </c>
      <c r="AH4" s="1" t="e">
        <f t="shared" ref="AH4:AH54" si="14">_xlfn.RANK.EQ(O4,$C4:$Q4,1)</f>
        <v>#N/A</v>
      </c>
      <c r="AI4" s="1" t="e">
        <f t="shared" ref="AI4:AI54" si="15">_xlfn.RANK.EQ(P4,$C4:$Q4,1)</f>
        <v>#N/A</v>
      </c>
    </row>
    <row r="5" spans="1:35" x14ac:dyDescent="0.25">
      <c r="A5" s="11" t="s">
        <v>23</v>
      </c>
      <c r="B5" s="4" t="s">
        <v>39</v>
      </c>
      <c r="C5" s="6"/>
      <c r="D5" s="6"/>
      <c r="E5" s="6"/>
      <c r="F5" s="6"/>
      <c r="G5" s="6"/>
      <c r="H5" s="6"/>
      <c r="I5" s="6"/>
      <c r="J5" s="6"/>
      <c r="K5" s="16"/>
      <c r="L5" s="16"/>
      <c r="M5" s="16"/>
      <c r="N5" s="16"/>
      <c r="O5" s="16"/>
      <c r="P5" s="6"/>
      <c r="Q5" s="6"/>
      <c r="R5" s="14"/>
      <c r="S5" s="5"/>
      <c r="T5" s="4" t="s">
        <v>6</v>
      </c>
      <c r="V5" s="1" t="e">
        <f t="shared" si="2"/>
        <v>#N/A</v>
      </c>
      <c r="W5" s="1" t="e">
        <f t="shared" si="3"/>
        <v>#N/A</v>
      </c>
      <c r="X5" s="1" t="e">
        <f t="shared" si="4"/>
        <v>#N/A</v>
      </c>
      <c r="Y5" s="1" t="e">
        <f t="shared" si="5"/>
        <v>#N/A</v>
      </c>
      <c r="Z5" s="1" t="e">
        <f t="shared" si="6"/>
        <v>#N/A</v>
      </c>
      <c r="AA5" s="1" t="e">
        <f t="shared" si="7"/>
        <v>#N/A</v>
      </c>
      <c r="AB5" s="1" t="e">
        <f t="shared" si="8"/>
        <v>#N/A</v>
      </c>
      <c r="AC5" s="1" t="e">
        <f t="shared" si="9"/>
        <v>#N/A</v>
      </c>
      <c r="AD5" s="1" t="e">
        <f t="shared" si="10"/>
        <v>#N/A</v>
      </c>
      <c r="AE5" s="1" t="e">
        <f t="shared" si="11"/>
        <v>#N/A</v>
      </c>
      <c r="AF5" s="1" t="e">
        <f t="shared" si="12"/>
        <v>#N/A</v>
      </c>
      <c r="AG5" s="1" t="e">
        <f t="shared" si="13"/>
        <v>#N/A</v>
      </c>
      <c r="AH5" s="1" t="e">
        <f t="shared" si="14"/>
        <v>#N/A</v>
      </c>
      <c r="AI5" s="1" t="e">
        <f t="shared" si="15"/>
        <v>#N/A</v>
      </c>
    </row>
    <row r="6" spans="1:35" x14ac:dyDescent="0.25">
      <c r="A6" s="3" t="s">
        <v>23</v>
      </c>
      <c r="B6" s="2" t="s">
        <v>40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5"/>
      <c r="S6" s="3"/>
      <c r="T6" s="2" t="s">
        <v>1</v>
      </c>
      <c r="V6" s="1" t="e">
        <f t="shared" si="2"/>
        <v>#N/A</v>
      </c>
      <c r="W6" s="1" t="e">
        <f t="shared" si="3"/>
        <v>#N/A</v>
      </c>
      <c r="X6" s="1" t="e">
        <f t="shared" si="4"/>
        <v>#N/A</v>
      </c>
      <c r="Y6" s="1" t="e">
        <f t="shared" si="5"/>
        <v>#N/A</v>
      </c>
      <c r="Z6" s="1" t="e">
        <f t="shared" si="6"/>
        <v>#N/A</v>
      </c>
      <c r="AA6" s="1" t="e">
        <f t="shared" si="7"/>
        <v>#N/A</v>
      </c>
      <c r="AB6" s="1" t="e">
        <f t="shared" si="8"/>
        <v>#N/A</v>
      </c>
      <c r="AC6" s="1" t="e">
        <f t="shared" si="9"/>
        <v>#N/A</v>
      </c>
      <c r="AD6" s="1" t="e">
        <f t="shared" si="10"/>
        <v>#N/A</v>
      </c>
      <c r="AE6" s="1" t="e">
        <f t="shared" si="11"/>
        <v>#N/A</v>
      </c>
      <c r="AF6" s="1" t="e">
        <f t="shared" si="12"/>
        <v>#N/A</v>
      </c>
      <c r="AG6" s="1" t="e">
        <f t="shared" si="13"/>
        <v>#N/A</v>
      </c>
      <c r="AH6" s="1" t="e">
        <f t="shared" si="14"/>
        <v>#N/A</v>
      </c>
      <c r="AI6" s="1" t="e">
        <f t="shared" si="15"/>
        <v>#N/A</v>
      </c>
    </row>
    <row r="7" spans="1:35" x14ac:dyDescent="0.25">
      <c r="A7" s="7" t="s">
        <v>24</v>
      </c>
      <c r="B7" s="8" t="s">
        <v>41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13">
        <v>1.2665232788000001E-2</v>
      </c>
      <c r="S7" s="7" t="s">
        <v>7</v>
      </c>
      <c r="T7" s="8" t="s">
        <v>5</v>
      </c>
      <c r="V7" s="1" t="e">
        <f t="shared" si="2"/>
        <v>#N/A</v>
      </c>
      <c r="W7" s="1" t="e">
        <f t="shared" si="3"/>
        <v>#N/A</v>
      </c>
      <c r="X7" s="1" t="e">
        <f t="shared" si="4"/>
        <v>#N/A</v>
      </c>
      <c r="Y7" s="1" t="e">
        <f t="shared" si="5"/>
        <v>#N/A</v>
      </c>
      <c r="Z7" s="1" t="e">
        <f t="shared" si="6"/>
        <v>#N/A</v>
      </c>
      <c r="AA7" s="1" t="e">
        <f t="shared" si="7"/>
        <v>#N/A</v>
      </c>
      <c r="AB7" s="1" t="e">
        <f t="shared" si="8"/>
        <v>#N/A</v>
      </c>
      <c r="AC7" s="1" t="e">
        <f t="shared" si="9"/>
        <v>#N/A</v>
      </c>
      <c r="AD7" s="1" t="e">
        <f t="shared" si="10"/>
        <v>#N/A</v>
      </c>
      <c r="AE7" s="1" t="e">
        <f t="shared" si="11"/>
        <v>#N/A</v>
      </c>
      <c r="AF7" s="1" t="e">
        <f t="shared" si="12"/>
        <v>#N/A</v>
      </c>
      <c r="AG7" s="1" t="e">
        <f t="shared" si="13"/>
        <v>#N/A</v>
      </c>
      <c r="AH7" s="1" t="e">
        <f t="shared" si="14"/>
        <v>#N/A</v>
      </c>
      <c r="AI7" s="1" t="e">
        <f t="shared" si="15"/>
        <v>#N/A</v>
      </c>
    </row>
    <row r="8" spans="1:35" x14ac:dyDescent="0.25">
      <c r="A8" s="11" t="s">
        <v>24</v>
      </c>
      <c r="B8" s="4" t="s">
        <v>42</v>
      </c>
      <c r="C8" s="6"/>
      <c r="D8" s="6"/>
      <c r="E8" s="6"/>
      <c r="F8" s="6"/>
      <c r="G8" s="6"/>
      <c r="H8" s="6"/>
      <c r="I8" s="6"/>
      <c r="J8" s="6"/>
      <c r="K8" s="16"/>
      <c r="L8" s="16"/>
      <c r="M8" s="16"/>
      <c r="N8" s="16"/>
      <c r="O8" s="16"/>
      <c r="P8" s="6"/>
      <c r="Q8" s="6"/>
      <c r="R8" s="14"/>
      <c r="S8" s="5"/>
      <c r="T8" s="4" t="s">
        <v>0</v>
      </c>
      <c r="V8" s="1" t="e">
        <f t="shared" si="2"/>
        <v>#N/A</v>
      </c>
      <c r="W8" s="1" t="e">
        <f t="shared" si="3"/>
        <v>#N/A</v>
      </c>
      <c r="X8" s="1" t="e">
        <f t="shared" si="4"/>
        <v>#N/A</v>
      </c>
      <c r="Y8" s="1" t="e">
        <f t="shared" si="5"/>
        <v>#N/A</v>
      </c>
      <c r="Z8" s="1" t="e">
        <f t="shared" si="6"/>
        <v>#N/A</v>
      </c>
      <c r="AA8" s="1" t="e">
        <f t="shared" si="7"/>
        <v>#N/A</v>
      </c>
      <c r="AB8" s="1" t="e">
        <f t="shared" si="8"/>
        <v>#N/A</v>
      </c>
      <c r="AC8" s="1" t="e">
        <f t="shared" si="9"/>
        <v>#N/A</v>
      </c>
      <c r="AD8" s="1" t="e">
        <f t="shared" si="10"/>
        <v>#N/A</v>
      </c>
      <c r="AE8" s="1" t="e">
        <f t="shared" si="11"/>
        <v>#N/A</v>
      </c>
      <c r="AF8" s="1" t="e">
        <f t="shared" si="12"/>
        <v>#N/A</v>
      </c>
      <c r="AG8" s="1" t="e">
        <f t="shared" si="13"/>
        <v>#N/A</v>
      </c>
      <c r="AH8" s="1" t="e">
        <f t="shared" si="14"/>
        <v>#N/A</v>
      </c>
      <c r="AI8" s="1" t="e">
        <f t="shared" si="15"/>
        <v>#N/A</v>
      </c>
    </row>
    <row r="9" spans="1:35" x14ac:dyDescent="0.25">
      <c r="A9" s="11" t="s">
        <v>24</v>
      </c>
      <c r="B9" s="4" t="s">
        <v>43</v>
      </c>
      <c r="C9" s="6"/>
      <c r="D9" s="6"/>
      <c r="E9" s="6"/>
      <c r="F9" s="6"/>
      <c r="G9" s="6"/>
      <c r="H9" s="6"/>
      <c r="I9" s="6"/>
      <c r="J9" s="6"/>
      <c r="K9" s="16"/>
      <c r="L9" s="16"/>
      <c r="M9" s="16"/>
      <c r="N9" s="16"/>
      <c r="O9" s="16"/>
      <c r="P9" s="6"/>
      <c r="Q9" s="6"/>
      <c r="R9" s="14"/>
      <c r="S9" s="5"/>
      <c r="T9" s="4" t="s">
        <v>6</v>
      </c>
      <c r="V9" s="1" t="e">
        <f t="shared" si="2"/>
        <v>#N/A</v>
      </c>
      <c r="W9" s="1" t="e">
        <f t="shared" si="3"/>
        <v>#N/A</v>
      </c>
      <c r="X9" s="1" t="e">
        <f t="shared" si="4"/>
        <v>#N/A</v>
      </c>
      <c r="Y9" s="1" t="e">
        <f t="shared" si="5"/>
        <v>#N/A</v>
      </c>
      <c r="Z9" s="1" t="e">
        <f t="shared" si="6"/>
        <v>#N/A</v>
      </c>
      <c r="AA9" s="1" t="e">
        <f t="shared" si="7"/>
        <v>#N/A</v>
      </c>
      <c r="AB9" s="1" t="e">
        <f t="shared" si="8"/>
        <v>#N/A</v>
      </c>
      <c r="AC9" s="1" t="e">
        <f t="shared" si="9"/>
        <v>#N/A</v>
      </c>
      <c r="AD9" s="1" t="e">
        <f t="shared" si="10"/>
        <v>#N/A</v>
      </c>
      <c r="AE9" s="1" t="e">
        <f t="shared" si="11"/>
        <v>#N/A</v>
      </c>
      <c r="AF9" s="1" t="e">
        <f t="shared" si="12"/>
        <v>#N/A</v>
      </c>
      <c r="AG9" s="1" t="e">
        <f t="shared" si="13"/>
        <v>#N/A</v>
      </c>
      <c r="AH9" s="1" t="e">
        <f t="shared" si="14"/>
        <v>#N/A</v>
      </c>
      <c r="AI9" s="1" t="e">
        <f t="shared" si="15"/>
        <v>#N/A</v>
      </c>
    </row>
    <row r="10" spans="1:35" x14ac:dyDescent="0.25">
      <c r="A10" s="3" t="s">
        <v>24</v>
      </c>
      <c r="B10" s="2" t="s">
        <v>44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5"/>
      <c r="S10" s="3"/>
      <c r="T10" s="2" t="s">
        <v>1</v>
      </c>
      <c r="V10" s="1" t="e">
        <f t="shared" si="2"/>
        <v>#N/A</v>
      </c>
      <c r="W10" s="1" t="e">
        <f t="shared" si="3"/>
        <v>#N/A</v>
      </c>
      <c r="X10" s="1" t="e">
        <f t="shared" si="4"/>
        <v>#N/A</v>
      </c>
      <c r="Y10" s="1" t="e">
        <f t="shared" si="5"/>
        <v>#N/A</v>
      </c>
      <c r="Z10" s="1" t="e">
        <f t="shared" si="6"/>
        <v>#N/A</v>
      </c>
      <c r="AA10" s="1" t="e">
        <f t="shared" si="7"/>
        <v>#N/A</v>
      </c>
      <c r="AB10" s="1" t="e">
        <f t="shared" si="8"/>
        <v>#N/A</v>
      </c>
      <c r="AC10" s="1" t="e">
        <f t="shared" si="9"/>
        <v>#N/A</v>
      </c>
      <c r="AD10" s="1" t="e">
        <f t="shared" si="10"/>
        <v>#N/A</v>
      </c>
      <c r="AE10" s="1" t="e">
        <f t="shared" si="11"/>
        <v>#N/A</v>
      </c>
      <c r="AF10" s="1" t="e">
        <f t="shared" si="12"/>
        <v>#N/A</v>
      </c>
      <c r="AG10" s="1" t="e">
        <f t="shared" si="13"/>
        <v>#N/A</v>
      </c>
      <c r="AH10" s="1" t="e">
        <f t="shared" si="14"/>
        <v>#N/A</v>
      </c>
      <c r="AI10" s="1" t="e">
        <f t="shared" si="15"/>
        <v>#N/A</v>
      </c>
    </row>
    <row r="11" spans="1:35" x14ac:dyDescent="0.25">
      <c r="A11" s="7" t="s">
        <v>25</v>
      </c>
      <c r="B11" s="8" t="s">
        <v>45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13">
        <v>6059.7143350484303</v>
      </c>
      <c r="S11" s="7" t="s">
        <v>8</v>
      </c>
      <c r="T11" s="8" t="s">
        <v>5</v>
      </c>
      <c r="V11" s="1" t="e">
        <f t="shared" si="2"/>
        <v>#N/A</v>
      </c>
      <c r="W11" s="1" t="e">
        <f t="shared" si="3"/>
        <v>#N/A</v>
      </c>
      <c r="X11" s="1" t="e">
        <f t="shared" si="4"/>
        <v>#N/A</v>
      </c>
      <c r="Y11" s="1" t="e">
        <f t="shared" si="5"/>
        <v>#N/A</v>
      </c>
      <c r="Z11" s="1" t="e">
        <f t="shared" si="6"/>
        <v>#N/A</v>
      </c>
      <c r="AA11" s="1" t="e">
        <f t="shared" si="7"/>
        <v>#N/A</v>
      </c>
      <c r="AB11" s="1" t="e">
        <f t="shared" si="8"/>
        <v>#N/A</v>
      </c>
      <c r="AC11" s="1" t="e">
        <f t="shared" si="9"/>
        <v>#N/A</v>
      </c>
      <c r="AD11" s="1" t="e">
        <f t="shared" si="10"/>
        <v>#N/A</v>
      </c>
      <c r="AE11" s="1" t="e">
        <f t="shared" si="11"/>
        <v>#N/A</v>
      </c>
      <c r="AF11" s="1" t="e">
        <f t="shared" si="12"/>
        <v>#N/A</v>
      </c>
      <c r="AG11" s="1" t="e">
        <f t="shared" si="13"/>
        <v>#N/A</v>
      </c>
      <c r="AH11" s="1" t="e">
        <f t="shared" si="14"/>
        <v>#N/A</v>
      </c>
      <c r="AI11" s="1" t="e">
        <f t="shared" si="15"/>
        <v>#N/A</v>
      </c>
    </row>
    <row r="12" spans="1:35" x14ac:dyDescent="0.25">
      <c r="A12" s="11" t="s">
        <v>25</v>
      </c>
      <c r="B12" s="4" t="s">
        <v>46</v>
      </c>
      <c r="C12" s="6"/>
      <c r="D12" s="6"/>
      <c r="E12" s="6"/>
      <c r="F12" s="6"/>
      <c r="G12" s="6"/>
      <c r="H12" s="6"/>
      <c r="I12" s="6"/>
      <c r="J12" s="6"/>
      <c r="K12" s="16"/>
      <c r="L12" s="16"/>
      <c r="M12" s="16"/>
      <c r="N12" s="16"/>
      <c r="O12" s="16"/>
      <c r="P12" s="6"/>
      <c r="Q12" s="6"/>
      <c r="R12" s="14"/>
      <c r="S12" s="5"/>
      <c r="T12" s="4" t="s">
        <v>0</v>
      </c>
      <c r="V12" s="1" t="e">
        <f t="shared" si="2"/>
        <v>#N/A</v>
      </c>
      <c r="W12" s="1" t="e">
        <f t="shared" si="3"/>
        <v>#N/A</v>
      </c>
      <c r="X12" s="1" t="e">
        <f t="shared" si="4"/>
        <v>#N/A</v>
      </c>
      <c r="Y12" s="1" t="e">
        <f t="shared" si="5"/>
        <v>#N/A</v>
      </c>
      <c r="Z12" s="1" t="e">
        <f t="shared" si="6"/>
        <v>#N/A</v>
      </c>
      <c r="AA12" s="1" t="e">
        <f t="shared" si="7"/>
        <v>#N/A</v>
      </c>
      <c r="AB12" s="1" t="e">
        <f t="shared" si="8"/>
        <v>#N/A</v>
      </c>
      <c r="AC12" s="1" t="e">
        <f t="shared" si="9"/>
        <v>#N/A</v>
      </c>
      <c r="AD12" s="1" t="e">
        <f t="shared" si="10"/>
        <v>#N/A</v>
      </c>
      <c r="AE12" s="1" t="e">
        <f t="shared" si="11"/>
        <v>#N/A</v>
      </c>
      <c r="AF12" s="1" t="e">
        <f t="shared" si="12"/>
        <v>#N/A</v>
      </c>
      <c r="AG12" s="1" t="e">
        <f t="shared" si="13"/>
        <v>#N/A</v>
      </c>
      <c r="AH12" s="1" t="e">
        <f t="shared" si="14"/>
        <v>#N/A</v>
      </c>
      <c r="AI12" s="1" t="e">
        <f t="shared" si="15"/>
        <v>#N/A</v>
      </c>
    </row>
    <row r="13" spans="1:35" x14ac:dyDescent="0.25">
      <c r="A13" s="11" t="s">
        <v>25</v>
      </c>
      <c r="B13" s="4" t="s">
        <v>47</v>
      </c>
      <c r="C13" s="6"/>
      <c r="D13" s="6"/>
      <c r="E13" s="6"/>
      <c r="F13" s="6"/>
      <c r="G13" s="6"/>
      <c r="H13" s="6"/>
      <c r="I13" s="6"/>
      <c r="J13" s="6"/>
      <c r="K13" s="16"/>
      <c r="L13" s="16"/>
      <c r="M13" s="16"/>
      <c r="N13" s="16"/>
      <c r="O13" s="16"/>
      <c r="P13" s="6"/>
      <c r="Q13" s="6"/>
      <c r="R13" s="14"/>
      <c r="S13" s="5"/>
      <c r="T13" s="4" t="s">
        <v>6</v>
      </c>
      <c r="V13" s="1" t="e">
        <f t="shared" si="2"/>
        <v>#N/A</v>
      </c>
      <c r="W13" s="1" t="e">
        <f t="shared" si="3"/>
        <v>#N/A</v>
      </c>
      <c r="X13" s="1" t="e">
        <f t="shared" si="4"/>
        <v>#N/A</v>
      </c>
      <c r="Y13" s="1" t="e">
        <f t="shared" si="5"/>
        <v>#N/A</v>
      </c>
      <c r="Z13" s="1" t="e">
        <f t="shared" si="6"/>
        <v>#N/A</v>
      </c>
      <c r="AA13" s="1" t="e">
        <f t="shared" si="7"/>
        <v>#N/A</v>
      </c>
      <c r="AB13" s="1" t="e">
        <f t="shared" si="8"/>
        <v>#N/A</v>
      </c>
      <c r="AC13" s="1" t="e">
        <f t="shared" si="9"/>
        <v>#N/A</v>
      </c>
      <c r="AD13" s="1" t="e">
        <f t="shared" si="10"/>
        <v>#N/A</v>
      </c>
      <c r="AE13" s="1" t="e">
        <f t="shared" si="11"/>
        <v>#N/A</v>
      </c>
      <c r="AF13" s="1" t="e">
        <f t="shared" si="12"/>
        <v>#N/A</v>
      </c>
      <c r="AG13" s="1" t="e">
        <f t="shared" si="13"/>
        <v>#N/A</v>
      </c>
      <c r="AH13" s="1" t="e">
        <f t="shared" si="14"/>
        <v>#N/A</v>
      </c>
      <c r="AI13" s="1" t="e">
        <f t="shared" si="15"/>
        <v>#N/A</v>
      </c>
    </row>
    <row r="14" spans="1:35" x14ac:dyDescent="0.25">
      <c r="A14" s="3" t="s">
        <v>25</v>
      </c>
      <c r="B14" s="2" t="s">
        <v>48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5"/>
      <c r="S14" s="3"/>
      <c r="T14" s="2" t="s">
        <v>1</v>
      </c>
      <c r="V14" s="1" t="e">
        <f t="shared" si="2"/>
        <v>#N/A</v>
      </c>
      <c r="W14" s="1" t="e">
        <f t="shared" si="3"/>
        <v>#N/A</v>
      </c>
      <c r="X14" s="1" t="e">
        <f t="shared" si="4"/>
        <v>#N/A</v>
      </c>
      <c r="Y14" s="1" t="e">
        <f t="shared" si="5"/>
        <v>#N/A</v>
      </c>
      <c r="Z14" s="1" t="e">
        <f t="shared" si="6"/>
        <v>#N/A</v>
      </c>
      <c r="AA14" s="1" t="e">
        <f t="shared" si="7"/>
        <v>#N/A</v>
      </c>
      <c r="AB14" s="1" t="e">
        <f t="shared" si="8"/>
        <v>#N/A</v>
      </c>
      <c r="AC14" s="1" t="e">
        <f t="shared" si="9"/>
        <v>#N/A</v>
      </c>
      <c r="AD14" s="1" t="e">
        <f t="shared" si="10"/>
        <v>#N/A</v>
      </c>
      <c r="AE14" s="1" t="e">
        <f t="shared" si="11"/>
        <v>#N/A</v>
      </c>
      <c r="AF14" s="1" t="e">
        <f t="shared" si="12"/>
        <v>#N/A</v>
      </c>
      <c r="AG14" s="1" t="e">
        <f t="shared" si="13"/>
        <v>#N/A</v>
      </c>
      <c r="AH14" s="1" t="e">
        <f t="shared" si="14"/>
        <v>#N/A</v>
      </c>
      <c r="AI14" s="1" t="e">
        <f t="shared" si="15"/>
        <v>#N/A</v>
      </c>
    </row>
    <row r="15" spans="1:35" x14ac:dyDescent="0.25">
      <c r="A15" s="7" t="s">
        <v>26</v>
      </c>
      <c r="B15" s="8" t="s">
        <v>49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13">
        <v>263.89584337999997</v>
      </c>
      <c r="S15" s="7" t="s">
        <v>9</v>
      </c>
      <c r="T15" s="8" t="s">
        <v>5</v>
      </c>
      <c r="V15" s="1" t="e">
        <f t="shared" si="2"/>
        <v>#N/A</v>
      </c>
      <c r="W15" s="1" t="e">
        <f t="shared" si="3"/>
        <v>#N/A</v>
      </c>
      <c r="X15" s="1" t="e">
        <f t="shared" si="4"/>
        <v>#N/A</v>
      </c>
      <c r="Y15" s="1" t="e">
        <f t="shared" si="5"/>
        <v>#N/A</v>
      </c>
      <c r="Z15" s="1" t="e">
        <f t="shared" si="6"/>
        <v>#N/A</v>
      </c>
      <c r="AA15" s="1" t="e">
        <f t="shared" si="7"/>
        <v>#N/A</v>
      </c>
      <c r="AB15" s="1" t="e">
        <f t="shared" si="8"/>
        <v>#N/A</v>
      </c>
      <c r="AC15" s="1" t="e">
        <f t="shared" si="9"/>
        <v>#N/A</v>
      </c>
      <c r="AD15" s="1" t="e">
        <f t="shared" si="10"/>
        <v>#N/A</v>
      </c>
      <c r="AE15" s="1" t="e">
        <f t="shared" si="11"/>
        <v>#N/A</v>
      </c>
      <c r="AF15" s="1" t="e">
        <f t="shared" si="12"/>
        <v>#N/A</v>
      </c>
      <c r="AG15" s="1" t="e">
        <f t="shared" si="13"/>
        <v>#N/A</v>
      </c>
      <c r="AH15" s="1" t="e">
        <f t="shared" si="14"/>
        <v>#N/A</v>
      </c>
      <c r="AI15" s="1" t="e">
        <f t="shared" si="15"/>
        <v>#N/A</v>
      </c>
    </row>
    <row r="16" spans="1:35" x14ac:dyDescent="0.25">
      <c r="A16" s="11" t="s">
        <v>26</v>
      </c>
      <c r="B16" s="4" t="s">
        <v>50</v>
      </c>
      <c r="C16" s="6"/>
      <c r="D16" s="6"/>
      <c r="E16" s="6"/>
      <c r="F16" s="6"/>
      <c r="G16" s="6"/>
      <c r="H16" s="6"/>
      <c r="I16" s="6"/>
      <c r="J16" s="6"/>
      <c r="K16" s="16"/>
      <c r="L16" s="16"/>
      <c r="M16" s="16"/>
      <c r="N16" s="16"/>
      <c r="O16" s="16"/>
      <c r="P16" s="6"/>
      <c r="Q16" s="6"/>
      <c r="R16" s="14"/>
      <c r="S16" s="5"/>
      <c r="T16" s="4" t="s">
        <v>0</v>
      </c>
      <c r="V16" s="1" t="e">
        <f t="shared" si="2"/>
        <v>#N/A</v>
      </c>
      <c r="W16" s="1" t="e">
        <f t="shared" si="3"/>
        <v>#N/A</v>
      </c>
      <c r="X16" s="1" t="e">
        <f t="shared" si="4"/>
        <v>#N/A</v>
      </c>
      <c r="Y16" s="1" t="e">
        <f t="shared" si="5"/>
        <v>#N/A</v>
      </c>
      <c r="Z16" s="1" t="e">
        <f t="shared" si="6"/>
        <v>#N/A</v>
      </c>
      <c r="AA16" s="1" t="e">
        <f t="shared" si="7"/>
        <v>#N/A</v>
      </c>
      <c r="AB16" s="1" t="e">
        <f t="shared" si="8"/>
        <v>#N/A</v>
      </c>
      <c r="AC16" s="1" t="e">
        <f t="shared" si="9"/>
        <v>#N/A</v>
      </c>
      <c r="AD16" s="1" t="e">
        <f t="shared" si="10"/>
        <v>#N/A</v>
      </c>
      <c r="AE16" s="1" t="e">
        <f t="shared" si="11"/>
        <v>#N/A</v>
      </c>
      <c r="AF16" s="1" t="e">
        <f t="shared" si="12"/>
        <v>#N/A</v>
      </c>
      <c r="AG16" s="1" t="e">
        <f t="shared" si="13"/>
        <v>#N/A</v>
      </c>
      <c r="AH16" s="1" t="e">
        <f t="shared" si="14"/>
        <v>#N/A</v>
      </c>
      <c r="AI16" s="1" t="e">
        <f t="shared" si="15"/>
        <v>#N/A</v>
      </c>
    </row>
    <row r="17" spans="1:35" x14ac:dyDescent="0.25">
      <c r="A17" s="11" t="s">
        <v>26</v>
      </c>
      <c r="B17" s="4" t="s">
        <v>51</v>
      </c>
      <c r="C17" s="6"/>
      <c r="D17" s="6"/>
      <c r="E17" s="6"/>
      <c r="F17" s="6"/>
      <c r="G17" s="6"/>
      <c r="H17" s="6"/>
      <c r="I17" s="6"/>
      <c r="J17" s="6"/>
      <c r="K17" s="16"/>
      <c r="L17" s="16"/>
      <c r="M17" s="16"/>
      <c r="N17" s="16"/>
      <c r="O17" s="16"/>
      <c r="P17" s="6"/>
      <c r="Q17" s="6"/>
      <c r="R17" s="14"/>
      <c r="S17" s="5"/>
      <c r="T17" s="4" t="s">
        <v>6</v>
      </c>
      <c r="V17" s="1" t="e">
        <f t="shared" si="2"/>
        <v>#N/A</v>
      </c>
      <c r="W17" s="1" t="e">
        <f t="shared" si="3"/>
        <v>#N/A</v>
      </c>
      <c r="X17" s="1" t="e">
        <f t="shared" si="4"/>
        <v>#N/A</v>
      </c>
      <c r="Y17" s="1" t="e">
        <f t="shared" si="5"/>
        <v>#N/A</v>
      </c>
      <c r="Z17" s="1" t="e">
        <f t="shared" si="6"/>
        <v>#N/A</v>
      </c>
      <c r="AA17" s="1" t="e">
        <f t="shared" si="7"/>
        <v>#N/A</v>
      </c>
      <c r="AB17" s="1" t="e">
        <f t="shared" si="8"/>
        <v>#N/A</v>
      </c>
      <c r="AC17" s="1" t="e">
        <f t="shared" si="9"/>
        <v>#N/A</v>
      </c>
      <c r="AD17" s="1" t="e">
        <f t="shared" si="10"/>
        <v>#N/A</v>
      </c>
      <c r="AE17" s="1" t="e">
        <f t="shared" si="11"/>
        <v>#N/A</v>
      </c>
      <c r="AF17" s="1" t="e">
        <f t="shared" si="12"/>
        <v>#N/A</v>
      </c>
      <c r="AG17" s="1" t="e">
        <f t="shared" si="13"/>
        <v>#N/A</v>
      </c>
      <c r="AH17" s="1" t="e">
        <f t="shared" si="14"/>
        <v>#N/A</v>
      </c>
      <c r="AI17" s="1" t="e">
        <f t="shared" si="15"/>
        <v>#N/A</v>
      </c>
    </row>
    <row r="18" spans="1:35" x14ac:dyDescent="0.25">
      <c r="A18" s="3" t="s">
        <v>26</v>
      </c>
      <c r="B18" s="2" t="s">
        <v>52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5"/>
      <c r="S18" s="3"/>
      <c r="T18" s="2" t="s">
        <v>1</v>
      </c>
      <c r="V18" s="1" t="e">
        <f t="shared" si="2"/>
        <v>#N/A</v>
      </c>
      <c r="W18" s="1" t="e">
        <f t="shared" si="3"/>
        <v>#N/A</v>
      </c>
      <c r="X18" s="1" t="e">
        <f t="shared" si="4"/>
        <v>#N/A</v>
      </c>
      <c r="Y18" s="1" t="e">
        <f t="shared" si="5"/>
        <v>#N/A</v>
      </c>
      <c r="Z18" s="1" t="e">
        <f t="shared" si="6"/>
        <v>#N/A</v>
      </c>
      <c r="AA18" s="1" t="e">
        <f t="shared" si="7"/>
        <v>#N/A</v>
      </c>
      <c r="AB18" s="1" t="e">
        <f t="shared" si="8"/>
        <v>#N/A</v>
      </c>
      <c r="AC18" s="1" t="e">
        <f t="shared" si="9"/>
        <v>#N/A</v>
      </c>
      <c r="AD18" s="1" t="e">
        <f t="shared" si="10"/>
        <v>#N/A</v>
      </c>
      <c r="AE18" s="1" t="e">
        <f t="shared" si="11"/>
        <v>#N/A</v>
      </c>
      <c r="AF18" s="1" t="e">
        <f t="shared" si="12"/>
        <v>#N/A</v>
      </c>
      <c r="AG18" s="1" t="e">
        <f t="shared" si="13"/>
        <v>#N/A</v>
      </c>
      <c r="AH18" s="1" t="e">
        <f t="shared" si="14"/>
        <v>#N/A</v>
      </c>
      <c r="AI18" s="1" t="e">
        <f t="shared" si="15"/>
        <v>#N/A</v>
      </c>
    </row>
    <row r="19" spans="1:35" x14ac:dyDescent="0.25">
      <c r="A19" s="7" t="s">
        <v>27</v>
      </c>
      <c r="B19" s="8" t="s">
        <v>53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13">
        <v>2.7008571400000002E-12</v>
      </c>
      <c r="S19" s="7" t="s">
        <v>10</v>
      </c>
      <c r="T19" s="8" t="s">
        <v>5</v>
      </c>
      <c r="V19" s="1" t="e">
        <f t="shared" si="2"/>
        <v>#N/A</v>
      </c>
      <c r="W19" s="1" t="e">
        <f t="shared" si="3"/>
        <v>#N/A</v>
      </c>
      <c r="X19" s="1" t="e">
        <f t="shared" si="4"/>
        <v>#N/A</v>
      </c>
      <c r="Y19" s="1" t="e">
        <f t="shared" si="5"/>
        <v>#N/A</v>
      </c>
      <c r="Z19" s="1" t="e">
        <f t="shared" si="6"/>
        <v>#N/A</v>
      </c>
      <c r="AA19" s="1" t="e">
        <f t="shared" si="7"/>
        <v>#N/A</v>
      </c>
      <c r="AB19" s="1" t="e">
        <f t="shared" si="8"/>
        <v>#N/A</v>
      </c>
      <c r="AC19" s="1" t="e">
        <f t="shared" si="9"/>
        <v>#N/A</v>
      </c>
      <c r="AD19" s="1" t="e">
        <f t="shared" si="10"/>
        <v>#N/A</v>
      </c>
      <c r="AE19" s="1" t="e">
        <f t="shared" si="11"/>
        <v>#N/A</v>
      </c>
      <c r="AF19" s="1" t="e">
        <f t="shared" si="12"/>
        <v>#N/A</v>
      </c>
      <c r="AG19" s="1" t="e">
        <f t="shared" si="13"/>
        <v>#N/A</v>
      </c>
      <c r="AH19" s="1" t="e">
        <f t="shared" si="14"/>
        <v>#N/A</v>
      </c>
      <c r="AI19" s="1" t="e">
        <f t="shared" si="15"/>
        <v>#N/A</v>
      </c>
    </row>
    <row r="20" spans="1:35" x14ac:dyDescent="0.25">
      <c r="A20" s="11" t="s">
        <v>27</v>
      </c>
      <c r="B20" s="4" t="s">
        <v>54</v>
      </c>
      <c r="C20" s="6"/>
      <c r="D20" s="6"/>
      <c r="E20" s="6"/>
      <c r="F20" s="6"/>
      <c r="G20" s="6"/>
      <c r="H20" s="6"/>
      <c r="I20" s="6"/>
      <c r="J20" s="6"/>
      <c r="K20" s="16"/>
      <c r="L20" s="16"/>
      <c r="M20" s="16"/>
      <c r="N20" s="16"/>
      <c r="O20" s="16"/>
      <c r="P20" s="6"/>
      <c r="Q20" s="6"/>
      <c r="R20" s="14"/>
      <c r="S20" s="5"/>
      <c r="T20" s="4" t="s">
        <v>0</v>
      </c>
      <c r="V20" s="1" t="e">
        <f t="shared" si="2"/>
        <v>#N/A</v>
      </c>
      <c r="W20" s="1" t="e">
        <f t="shared" si="3"/>
        <v>#N/A</v>
      </c>
      <c r="X20" s="1" t="e">
        <f t="shared" si="4"/>
        <v>#N/A</v>
      </c>
      <c r="Y20" s="1" t="e">
        <f t="shared" si="5"/>
        <v>#N/A</v>
      </c>
      <c r="Z20" s="1" t="e">
        <f t="shared" si="6"/>
        <v>#N/A</v>
      </c>
      <c r="AA20" s="1" t="e">
        <f t="shared" si="7"/>
        <v>#N/A</v>
      </c>
      <c r="AB20" s="1" t="e">
        <f t="shared" si="8"/>
        <v>#N/A</v>
      </c>
      <c r="AC20" s="1" t="e">
        <f t="shared" si="9"/>
        <v>#N/A</v>
      </c>
      <c r="AD20" s="1" t="e">
        <f t="shared" si="10"/>
        <v>#N/A</v>
      </c>
      <c r="AE20" s="1" t="e">
        <f t="shared" si="11"/>
        <v>#N/A</v>
      </c>
      <c r="AF20" s="1" t="e">
        <f t="shared" si="12"/>
        <v>#N/A</v>
      </c>
      <c r="AG20" s="1" t="e">
        <f t="shared" si="13"/>
        <v>#N/A</v>
      </c>
      <c r="AH20" s="1" t="e">
        <f t="shared" si="14"/>
        <v>#N/A</v>
      </c>
      <c r="AI20" s="1" t="e">
        <f t="shared" si="15"/>
        <v>#N/A</v>
      </c>
    </row>
    <row r="21" spans="1:35" x14ac:dyDescent="0.25">
      <c r="A21" s="11" t="s">
        <v>27</v>
      </c>
      <c r="B21" s="4" t="s">
        <v>55</v>
      </c>
      <c r="C21" s="6"/>
      <c r="D21" s="6"/>
      <c r="E21" s="6"/>
      <c r="F21" s="6"/>
      <c r="G21" s="6"/>
      <c r="H21" s="6"/>
      <c r="I21" s="6"/>
      <c r="J21" s="6"/>
      <c r="K21" s="16"/>
      <c r="L21" s="16"/>
      <c r="M21" s="16"/>
      <c r="N21" s="16"/>
      <c r="O21" s="16"/>
      <c r="P21" s="6"/>
      <c r="Q21" s="6"/>
      <c r="R21" s="14"/>
      <c r="S21" s="5"/>
      <c r="T21" s="4" t="s">
        <v>6</v>
      </c>
      <c r="V21" s="1" t="e">
        <f t="shared" si="2"/>
        <v>#N/A</v>
      </c>
      <c r="W21" s="1" t="e">
        <f t="shared" si="3"/>
        <v>#N/A</v>
      </c>
      <c r="X21" s="1" t="e">
        <f t="shared" si="4"/>
        <v>#N/A</v>
      </c>
      <c r="Y21" s="1" t="e">
        <f t="shared" si="5"/>
        <v>#N/A</v>
      </c>
      <c r="Z21" s="1" t="e">
        <f t="shared" si="6"/>
        <v>#N/A</v>
      </c>
      <c r="AA21" s="1" t="e">
        <f t="shared" si="7"/>
        <v>#N/A</v>
      </c>
      <c r="AB21" s="1" t="e">
        <f t="shared" si="8"/>
        <v>#N/A</v>
      </c>
      <c r="AC21" s="1" t="e">
        <f t="shared" si="9"/>
        <v>#N/A</v>
      </c>
      <c r="AD21" s="1" t="e">
        <f t="shared" si="10"/>
        <v>#N/A</v>
      </c>
      <c r="AE21" s="1" t="e">
        <f t="shared" si="11"/>
        <v>#N/A</v>
      </c>
      <c r="AF21" s="1" t="e">
        <f t="shared" si="12"/>
        <v>#N/A</v>
      </c>
      <c r="AG21" s="1" t="e">
        <f t="shared" si="13"/>
        <v>#N/A</v>
      </c>
      <c r="AH21" s="1" t="e">
        <f t="shared" si="14"/>
        <v>#N/A</v>
      </c>
      <c r="AI21" s="1" t="e">
        <f t="shared" si="15"/>
        <v>#N/A</v>
      </c>
    </row>
    <row r="22" spans="1:35" x14ac:dyDescent="0.25">
      <c r="A22" s="3" t="s">
        <v>27</v>
      </c>
      <c r="B22" s="2" t="s">
        <v>56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5"/>
      <c r="S22" s="3"/>
      <c r="T22" s="2" t="s">
        <v>1</v>
      </c>
      <c r="V22" s="1" t="e">
        <f t="shared" si="2"/>
        <v>#N/A</v>
      </c>
      <c r="W22" s="1" t="e">
        <f t="shared" si="3"/>
        <v>#N/A</v>
      </c>
      <c r="X22" s="1" t="e">
        <f t="shared" si="4"/>
        <v>#N/A</v>
      </c>
      <c r="Y22" s="1" t="e">
        <f t="shared" si="5"/>
        <v>#N/A</v>
      </c>
      <c r="Z22" s="1" t="e">
        <f t="shared" si="6"/>
        <v>#N/A</v>
      </c>
      <c r="AA22" s="1" t="e">
        <f t="shared" si="7"/>
        <v>#N/A</v>
      </c>
      <c r="AB22" s="1" t="e">
        <f t="shared" si="8"/>
        <v>#N/A</v>
      </c>
      <c r="AC22" s="1" t="e">
        <f t="shared" si="9"/>
        <v>#N/A</v>
      </c>
      <c r="AD22" s="1" t="e">
        <f t="shared" si="10"/>
        <v>#N/A</v>
      </c>
      <c r="AE22" s="1" t="e">
        <f t="shared" si="11"/>
        <v>#N/A</v>
      </c>
      <c r="AF22" s="1" t="e">
        <f t="shared" si="12"/>
        <v>#N/A</v>
      </c>
      <c r="AG22" s="1" t="e">
        <f t="shared" si="13"/>
        <v>#N/A</v>
      </c>
      <c r="AH22" s="1" t="e">
        <f t="shared" si="14"/>
        <v>#N/A</v>
      </c>
      <c r="AI22" s="1" t="e">
        <f t="shared" si="15"/>
        <v>#N/A</v>
      </c>
    </row>
    <row r="23" spans="1:35" x14ac:dyDescent="0.25">
      <c r="A23" s="7" t="s">
        <v>28</v>
      </c>
      <c r="B23" s="8" t="s">
        <v>57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13">
        <v>1.3399576</v>
      </c>
      <c r="S23" s="7" t="s">
        <v>11</v>
      </c>
      <c r="T23" s="8" t="s">
        <v>5</v>
      </c>
      <c r="V23" s="1" t="e">
        <f t="shared" si="2"/>
        <v>#N/A</v>
      </c>
      <c r="W23" s="1" t="e">
        <f t="shared" si="3"/>
        <v>#N/A</v>
      </c>
      <c r="X23" s="1" t="e">
        <f t="shared" si="4"/>
        <v>#N/A</v>
      </c>
      <c r="Y23" s="1" t="e">
        <f t="shared" si="5"/>
        <v>#N/A</v>
      </c>
      <c r="Z23" s="1" t="e">
        <f t="shared" si="6"/>
        <v>#N/A</v>
      </c>
      <c r="AA23" s="1" t="e">
        <f t="shared" si="7"/>
        <v>#N/A</v>
      </c>
      <c r="AB23" s="1" t="e">
        <f t="shared" si="8"/>
        <v>#N/A</v>
      </c>
      <c r="AC23" s="1" t="e">
        <f t="shared" si="9"/>
        <v>#N/A</v>
      </c>
      <c r="AD23" s="1" t="e">
        <f t="shared" si="10"/>
        <v>#N/A</v>
      </c>
      <c r="AE23" s="1" t="e">
        <f t="shared" si="11"/>
        <v>#N/A</v>
      </c>
      <c r="AF23" s="1" t="e">
        <f t="shared" si="12"/>
        <v>#N/A</v>
      </c>
      <c r="AG23" s="1" t="e">
        <f t="shared" si="13"/>
        <v>#N/A</v>
      </c>
      <c r="AH23" s="1" t="e">
        <f t="shared" si="14"/>
        <v>#N/A</v>
      </c>
      <c r="AI23" s="1" t="e">
        <f t="shared" si="15"/>
        <v>#N/A</v>
      </c>
    </row>
    <row r="24" spans="1:35" x14ac:dyDescent="0.25">
      <c r="A24" s="11" t="s">
        <v>28</v>
      </c>
      <c r="B24" s="4" t="s">
        <v>58</v>
      </c>
      <c r="C24" s="6"/>
      <c r="D24" s="6"/>
      <c r="E24" s="6"/>
      <c r="F24" s="6"/>
      <c r="G24" s="6"/>
      <c r="H24" s="6"/>
      <c r="I24" s="6"/>
      <c r="J24" s="6"/>
      <c r="K24" s="16"/>
      <c r="L24" s="16"/>
      <c r="M24" s="16"/>
      <c r="N24" s="16"/>
      <c r="O24" s="16"/>
      <c r="P24" s="6"/>
      <c r="Q24" s="6"/>
      <c r="R24" s="14"/>
      <c r="S24" s="5"/>
      <c r="T24" s="4" t="s">
        <v>0</v>
      </c>
      <c r="V24" s="1" t="e">
        <f t="shared" si="2"/>
        <v>#N/A</v>
      </c>
      <c r="W24" s="1" t="e">
        <f t="shared" si="3"/>
        <v>#N/A</v>
      </c>
      <c r="X24" s="1" t="e">
        <f t="shared" si="4"/>
        <v>#N/A</v>
      </c>
      <c r="Y24" s="1" t="e">
        <f t="shared" si="5"/>
        <v>#N/A</v>
      </c>
      <c r="Z24" s="1" t="e">
        <f t="shared" si="6"/>
        <v>#N/A</v>
      </c>
      <c r="AA24" s="1" t="e">
        <f t="shared" si="7"/>
        <v>#N/A</v>
      </c>
      <c r="AB24" s="1" t="e">
        <f t="shared" si="8"/>
        <v>#N/A</v>
      </c>
      <c r="AC24" s="1" t="e">
        <f t="shared" si="9"/>
        <v>#N/A</v>
      </c>
      <c r="AD24" s="1" t="e">
        <f t="shared" si="10"/>
        <v>#N/A</v>
      </c>
      <c r="AE24" s="1" t="e">
        <f t="shared" si="11"/>
        <v>#N/A</v>
      </c>
      <c r="AF24" s="1" t="e">
        <f t="shared" si="12"/>
        <v>#N/A</v>
      </c>
      <c r="AG24" s="1" t="e">
        <f t="shared" si="13"/>
        <v>#N/A</v>
      </c>
      <c r="AH24" s="1" t="e">
        <f t="shared" si="14"/>
        <v>#N/A</v>
      </c>
      <c r="AI24" s="1" t="e">
        <f t="shared" si="15"/>
        <v>#N/A</v>
      </c>
    </row>
    <row r="25" spans="1:35" x14ac:dyDescent="0.25">
      <c r="A25" s="11" t="s">
        <v>28</v>
      </c>
      <c r="B25" s="4" t="s">
        <v>59</v>
      </c>
      <c r="C25" s="6"/>
      <c r="D25" s="6"/>
      <c r="E25" s="6"/>
      <c r="F25" s="6"/>
      <c r="G25" s="6"/>
      <c r="H25" s="6"/>
      <c r="I25" s="6"/>
      <c r="J25" s="6"/>
      <c r="K25" s="16"/>
      <c r="L25" s="16"/>
      <c r="M25" s="16"/>
      <c r="N25" s="16"/>
      <c r="O25" s="16"/>
      <c r="P25" s="6"/>
      <c r="Q25" s="6"/>
      <c r="R25" s="14"/>
      <c r="S25" s="5"/>
      <c r="T25" s="4" t="s">
        <v>6</v>
      </c>
      <c r="V25" s="1" t="e">
        <f t="shared" si="2"/>
        <v>#N/A</v>
      </c>
      <c r="W25" s="1" t="e">
        <f t="shared" si="3"/>
        <v>#N/A</v>
      </c>
      <c r="X25" s="1" t="e">
        <f t="shared" si="4"/>
        <v>#N/A</v>
      </c>
      <c r="Y25" s="1" t="e">
        <f t="shared" si="5"/>
        <v>#N/A</v>
      </c>
      <c r="Z25" s="1" t="e">
        <f t="shared" si="6"/>
        <v>#N/A</v>
      </c>
      <c r="AA25" s="1" t="e">
        <f t="shared" si="7"/>
        <v>#N/A</v>
      </c>
      <c r="AB25" s="1" t="e">
        <f t="shared" si="8"/>
        <v>#N/A</v>
      </c>
      <c r="AC25" s="1" t="e">
        <f t="shared" si="9"/>
        <v>#N/A</v>
      </c>
      <c r="AD25" s="1" t="e">
        <f t="shared" si="10"/>
        <v>#N/A</v>
      </c>
      <c r="AE25" s="1" t="e">
        <f t="shared" si="11"/>
        <v>#N/A</v>
      </c>
      <c r="AF25" s="1" t="e">
        <f t="shared" si="12"/>
        <v>#N/A</v>
      </c>
      <c r="AG25" s="1" t="e">
        <f t="shared" si="13"/>
        <v>#N/A</v>
      </c>
      <c r="AH25" s="1" t="e">
        <f t="shared" si="14"/>
        <v>#N/A</v>
      </c>
      <c r="AI25" s="1" t="e">
        <f t="shared" si="15"/>
        <v>#N/A</v>
      </c>
    </row>
    <row r="26" spans="1:35" x14ac:dyDescent="0.25">
      <c r="A26" s="3" t="s">
        <v>28</v>
      </c>
      <c r="B26" s="2" t="s">
        <v>60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5"/>
      <c r="S26" s="3"/>
      <c r="T26" s="2" t="s">
        <v>1</v>
      </c>
      <c r="V26" s="1" t="e">
        <f t="shared" si="2"/>
        <v>#N/A</v>
      </c>
      <c r="W26" s="1" t="e">
        <f t="shared" si="3"/>
        <v>#N/A</v>
      </c>
      <c r="X26" s="1" t="e">
        <f t="shared" si="4"/>
        <v>#N/A</v>
      </c>
      <c r="Y26" s="1" t="e">
        <f t="shared" si="5"/>
        <v>#N/A</v>
      </c>
      <c r="Z26" s="1" t="e">
        <f t="shared" si="6"/>
        <v>#N/A</v>
      </c>
      <c r="AA26" s="1" t="e">
        <f t="shared" si="7"/>
        <v>#N/A</v>
      </c>
      <c r="AB26" s="1" t="e">
        <f t="shared" si="8"/>
        <v>#N/A</v>
      </c>
      <c r="AC26" s="1" t="e">
        <f t="shared" si="9"/>
        <v>#N/A</v>
      </c>
      <c r="AD26" s="1" t="e">
        <f t="shared" si="10"/>
        <v>#N/A</v>
      </c>
      <c r="AE26" s="1" t="e">
        <f t="shared" si="11"/>
        <v>#N/A</v>
      </c>
      <c r="AF26" s="1" t="e">
        <f t="shared" si="12"/>
        <v>#N/A</v>
      </c>
      <c r="AG26" s="1" t="e">
        <f t="shared" si="13"/>
        <v>#N/A</v>
      </c>
      <c r="AH26" s="1" t="e">
        <f t="shared" si="14"/>
        <v>#N/A</v>
      </c>
      <c r="AI26" s="1" t="e">
        <f t="shared" si="15"/>
        <v>#N/A</v>
      </c>
    </row>
    <row r="27" spans="1:35" x14ac:dyDescent="0.25">
      <c r="A27" s="7" t="s">
        <v>29</v>
      </c>
      <c r="B27" s="8" t="s">
        <v>61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13">
        <v>1.30741E-2</v>
      </c>
      <c r="S27" s="7" t="s">
        <v>12</v>
      </c>
      <c r="T27" s="8" t="s">
        <v>5</v>
      </c>
      <c r="V27" s="1" t="e">
        <f t="shared" si="2"/>
        <v>#N/A</v>
      </c>
      <c r="W27" s="1" t="e">
        <f t="shared" si="3"/>
        <v>#N/A</v>
      </c>
      <c r="X27" s="1" t="e">
        <f t="shared" si="4"/>
        <v>#N/A</v>
      </c>
      <c r="Y27" s="1" t="e">
        <f t="shared" si="5"/>
        <v>#N/A</v>
      </c>
      <c r="Z27" s="1" t="e">
        <f t="shared" si="6"/>
        <v>#N/A</v>
      </c>
      <c r="AA27" s="1" t="e">
        <f t="shared" si="7"/>
        <v>#N/A</v>
      </c>
      <c r="AB27" s="1" t="e">
        <f t="shared" si="8"/>
        <v>#N/A</v>
      </c>
      <c r="AC27" s="1" t="e">
        <f t="shared" si="9"/>
        <v>#N/A</v>
      </c>
      <c r="AD27" s="1" t="e">
        <f t="shared" si="10"/>
        <v>#N/A</v>
      </c>
      <c r="AE27" s="1" t="e">
        <f t="shared" si="11"/>
        <v>#N/A</v>
      </c>
      <c r="AF27" s="1" t="e">
        <f t="shared" si="12"/>
        <v>#N/A</v>
      </c>
      <c r="AG27" s="1" t="e">
        <f t="shared" si="13"/>
        <v>#N/A</v>
      </c>
      <c r="AH27" s="1" t="e">
        <f t="shared" si="14"/>
        <v>#N/A</v>
      </c>
      <c r="AI27" s="1" t="e">
        <f t="shared" si="15"/>
        <v>#N/A</v>
      </c>
    </row>
    <row r="28" spans="1:35" x14ac:dyDescent="0.25">
      <c r="A28" s="11" t="s">
        <v>29</v>
      </c>
      <c r="B28" s="4" t="s">
        <v>62</v>
      </c>
      <c r="C28" s="6"/>
      <c r="D28" s="6"/>
      <c r="E28" s="6"/>
      <c r="F28" s="6"/>
      <c r="G28" s="6"/>
      <c r="H28" s="6"/>
      <c r="I28" s="6"/>
      <c r="J28" s="6"/>
      <c r="K28" s="16"/>
      <c r="L28" s="16"/>
      <c r="M28" s="16"/>
      <c r="N28" s="16"/>
      <c r="O28" s="16"/>
      <c r="P28" s="6"/>
      <c r="Q28" s="6"/>
      <c r="R28" s="14"/>
      <c r="S28" s="5"/>
      <c r="T28" s="4" t="s">
        <v>0</v>
      </c>
      <c r="V28" s="1" t="e">
        <f t="shared" si="2"/>
        <v>#N/A</v>
      </c>
      <c r="W28" s="1" t="e">
        <f t="shared" si="3"/>
        <v>#N/A</v>
      </c>
      <c r="X28" s="1" t="e">
        <f t="shared" si="4"/>
        <v>#N/A</v>
      </c>
      <c r="Y28" s="1" t="e">
        <f t="shared" si="5"/>
        <v>#N/A</v>
      </c>
      <c r="Z28" s="1" t="e">
        <f t="shared" si="6"/>
        <v>#N/A</v>
      </c>
      <c r="AA28" s="1" t="e">
        <f t="shared" si="7"/>
        <v>#N/A</v>
      </c>
      <c r="AB28" s="1" t="e">
        <f t="shared" si="8"/>
        <v>#N/A</v>
      </c>
      <c r="AC28" s="1" t="e">
        <f t="shared" si="9"/>
        <v>#N/A</v>
      </c>
      <c r="AD28" s="1" t="e">
        <f t="shared" si="10"/>
        <v>#N/A</v>
      </c>
      <c r="AE28" s="1" t="e">
        <f t="shared" si="11"/>
        <v>#N/A</v>
      </c>
      <c r="AF28" s="1" t="e">
        <f t="shared" si="12"/>
        <v>#N/A</v>
      </c>
      <c r="AG28" s="1" t="e">
        <f t="shared" si="13"/>
        <v>#N/A</v>
      </c>
      <c r="AH28" s="1" t="e">
        <f t="shared" si="14"/>
        <v>#N/A</v>
      </c>
      <c r="AI28" s="1" t="e">
        <f t="shared" si="15"/>
        <v>#N/A</v>
      </c>
    </row>
    <row r="29" spans="1:35" x14ac:dyDescent="0.25">
      <c r="A29" s="11" t="s">
        <v>29</v>
      </c>
      <c r="B29" s="4" t="s">
        <v>63</v>
      </c>
      <c r="C29" s="6"/>
      <c r="D29" s="6"/>
      <c r="E29" s="6"/>
      <c r="F29" s="6"/>
      <c r="G29" s="6"/>
      <c r="H29" s="6"/>
      <c r="I29" s="6"/>
      <c r="J29" s="6"/>
      <c r="K29" s="16"/>
      <c r="L29" s="16"/>
      <c r="M29" s="16"/>
      <c r="N29" s="16"/>
      <c r="O29" s="16"/>
      <c r="P29" s="6"/>
      <c r="Q29" s="6"/>
      <c r="R29" s="14"/>
      <c r="S29" s="5"/>
      <c r="T29" s="4" t="s">
        <v>6</v>
      </c>
      <c r="V29" s="1" t="e">
        <f t="shared" si="2"/>
        <v>#N/A</v>
      </c>
      <c r="W29" s="1" t="e">
        <f t="shared" si="3"/>
        <v>#N/A</v>
      </c>
      <c r="X29" s="1" t="e">
        <f t="shared" si="4"/>
        <v>#N/A</v>
      </c>
      <c r="Y29" s="1" t="e">
        <f t="shared" si="5"/>
        <v>#N/A</v>
      </c>
      <c r="Z29" s="1" t="e">
        <f t="shared" si="6"/>
        <v>#N/A</v>
      </c>
      <c r="AA29" s="1" t="e">
        <f t="shared" si="7"/>
        <v>#N/A</v>
      </c>
      <c r="AB29" s="1" t="e">
        <f t="shared" si="8"/>
        <v>#N/A</v>
      </c>
      <c r="AC29" s="1" t="e">
        <f t="shared" si="9"/>
        <v>#N/A</v>
      </c>
      <c r="AD29" s="1" t="e">
        <f t="shared" si="10"/>
        <v>#N/A</v>
      </c>
      <c r="AE29" s="1" t="e">
        <f t="shared" si="11"/>
        <v>#N/A</v>
      </c>
      <c r="AF29" s="1" t="e">
        <f t="shared" si="12"/>
        <v>#N/A</v>
      </c>
      <c r="AG29" s="1" t="e">
        <f t="shared" si="13"/>
        <v>#N/A</v>
      </c>
      <c r="AH29" s="1" t="e">
        <f t="shared" si="14"/>
        <v>#N/A</v>
      </c>
      <c r="AI29" s="1" t="e">
        <f t="shared" si="15"/>
        <v>#N/A</v>
      </c>
    </row>
    <row r="30" spans="1:35" x14ac:dyDescent="0.25">
      <c r="A30" s="3" t="s">
        <v>29</v>
      </c>
      <c r="B30" s="2" t="s">
        <v>64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5"/>
      <c r="S30" s="3"/>
      <c r="T30" s="2" t="s">
        <v>1</v>
      </c>
      <c r="V30" s="1" t="e">
        <f t="shared" si="2"/>
        <v>#N/A</v>
      </c>
      <c r="W30" s="1" t="e">
        <f t="shared" si="3"/>
        <v>#N/A</v>
      </c>
      <c r="X30" s="1" t="e">
        <f t="shared" si="4"/>
        <v>#N/A</v>
      </c>
      <c r="Y30" s="1" t="e">
        <f t="shared" si="5"/>
        <v>#N/A</v>
      </c>
      <c r="Z30" s="1" t="e">
        <f t="shared" si="6"/>
        <v>#N/A</v>
      </c>
      <c r="AA30" s="1" t="e">
        <f t="shared" si="7"/>
        <v>#N/A</v>
      </c>
      <c r="AB30" s="1" t="e">
        <f t="shared" si="8"/>
        <v>#N/A</v>
      </c>
      <c r="AC30" s="1" t="e">
        <f t="shared" si="9"/>
        <v>#N/A</v>
      </c>
      <c r="AD30" s="1" t="e">
        <f t="shared" si="10"/>
        <v>#N/A</v>
      </c>
      <c r="AE30" s="1" t="e">
        <f t="shared" si="11"/>
        <v>#N/A</v>
      </c>
      <c r="AF30" s="1" t="e">
        <f t="shared" si="12"/>
        <v>#N/A</v>
      </c>
      <c r="AG30" s="1" t="e">
        <f t="shared" si="13"/>
        <v>#N/A</v>
      </c>
      <c r="AH30" s="1" t="e">
        <f t="shared" si="14"/>
        <v>#N/A</v>
      </c>
      <c r="AI30" s="1" t="e">
        <f t="shared" si="15"/>
        <v>#N/A</v>
      </c>
    </row>
    <row r="31" spans="1:35" x14ac:dyDescent="0.25">
      <c r="A31" s="7" t="s">
        <v>30</v>
      </c>
      <c r="B31" s="8" t="s">
        <v>65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13">
        <v>26.486361472999999</v>
      </c>
      <c r="S31" s="7" t="s">
        <v>13</v>
      </c>
      <c r="T31" s="8" t="s">
        <v>5</v>
      </c>
      <c r="V31" s="1" t="e">
        <f t="shared" si="2"/>
        <v>#N/A</v>
      </c>
      <c r="W31" s="1" t="e">
        <f t="shared" si="3"/>
        <v>#N/A</v>
      </c>
      <c r="X31" s="1" t="e">
        <f t="shared" si="4"/>
        <v>#N/A</v>
      </c>
      <c r="Y31" s="1" t="e">
        <f t="shared" si="5"/>
        <v>#N/A</v>
      </c>
      <c r="Z31" s="1" t="e">
        <f t="shared" si="6"/>
        <v>#N/A</v>
      </c>
      <c r="AA31" s="1" t="e">
        <f t="shared" si="7"/>
        <v>#N/A</v>
      </c>
      <c r="AB31" s="1" t="e">
        <f t="shared" si="8"/>
        <v>#N/A</v>
      </c>
      <c r="AC31" s="1" t="e">
        <f t="shared" si="9"/>
        <v>#N/A</v>
      </c>
      <c r="AD31" s="1" t="e">
        <f t="shared" si="10"/>
        <v>#N/A</v>
      </c>
      <c r="AE31" s="1" t="e">
        <f t="shared" si="11"/>
        <v>#N/A</v>
      </c>
      <c r="AF31" s="1" t="e">
        <f t="shared" si="12"/>
        <v>#N/A</v>
      </c>
      <c r="AG31" s="1" t="e">
        <f t="shared" si="13"/>
        <v>#N/A</v>
      </c>
      <c r="AH31" s="1" t="e">
        <f t="shared" si="14"/>
        <v>#N/A</v>
      </c>
      <c r="AI31" s="1" t="e">
        <f t="shared" si="15"/>
        <v>#N/A</v>
      </c>
    </row>
    <row r="32" spans="1:35" x14ac:dyDescent="0.25">
      <c r="A32" s="11" t="s">
        <v>30</v>
      </c>
      <c r="B32" s="4" t="s">
        <v>66</v>
      </c>
      <c r="C32" s="6"/>
      <c r="D32" s="6"/>
      <c r="E32" s="6"/>
      <c r="F32" s="6"/>
      <c r="G32" s="6"/>
      <c r="H32" s="6"/>
      <c r="I32" s="6"/>
      <c r="J32" s="6"/>
      <c r="K32" s="16"/>
      <c r="L32" s="16"/>
      <c r="M32" s="16"/>
      <c r="N32" s="16"/>
      <c r="O32" s="16"/>
      <c r="P32" s="6"/>
      <c r="Q32" s="6"/>
      <c r="R32" s="14"/>
      <c r="S32" s="5"/>
      <c r="T32" s="4" t="s">
        <v>0</v>
      </c>
      <c r="V32" s="1" t="e">
        <f t="shared" si="2"/>
        <v>#N/A</v>
      </c>
      <c r="W32" s="1" t="e">
        <f t="shared" si="3"/>
        <v>#N/A</v>
      </c>
      <c r="X32" s="1" t="e">
        <f t="shared" si="4"/>
        <v>#N/A</v>
      </c>
      <c r="Y32" s="1" t="e">
        <f t="shared" si="5"/>
        <v>#N/A</v>
      </c>
      <c r="Z32" s="1" t="e">
        <f t="shared" si="6"/>
        <v>#N/A</v>
      </c>
      <c r="AA32" s="1" t="e">
        <f t="shared" si="7"/>
        <v>#N/A</v>
      </c>
      <c r="AB32" s="1" t="e">
        <f t="shared" si="8"/>
        <v>#N/A</v>
      </c>
      <c r="AC32" s="1" t="e">
        <f t="shared" si="9"/>
        <v>#N/A</v>
      </c>
      <c r="AD32" s="1" t="e">
        <f t="shared" si="10"/>
        <v>#N/A</v>
      </c>
      <c r="AE32" s="1" t="e">
        <f t="shared" si="11"/>
        <v>#N/A</v>
      </c>
      <c r="AF32" s="1" t="e">
        <f t="shared" si="12"/>
        <v>#N/A</v>
      </c>
      <c r="AG32" s="1" t="e">
        <f t="shared" si="13"/>
        <v>#N/A</v>
      </c>
      <c r="AH32" s="1" t="e">
        <f t="shared" si="14"/>
        <v>#N/A</v>
      </c>
      <c r="AI32" s="1" t="e">
        <f t="shared" si="15"/>
        <v>#N/A</v>
      </c>
    </row>
    <row r="33" spans="1:35" x14ac:dyDescent="0.25">
      <c r="A33" s="11" t="s">
        <v>30</v>
      </c>
      <c r="B33" s="4" t="s">
        <v>67</v>
      </c>
      <c r="C33" s="6"/>
      <c r="D33" s="6"/>
      <c r="E33" s="6"/>
      <c r="F33" s="6"/>
      <c r="G33" s="6"/>
      <c r="H33" s="6"/>
      <c r="I33" s="6"/>
      <c r="J33" s="6"/>
      <c r="K33" s="16"/>
      <c r="L33" s="16"/>
      <c r="M33" s="16"/>
      <c r="N33" s="16"/>
      <c r="O33" s="16"/>
      <c r="P33" s="6"/>
      <c r="Q33" s="6"/>
      <c r="R33" s="14"/>
      <c r="S33" s="5"/>
      <c r="T33" s="4" t="s">
        <v>6</v>
      </c>
      <c r="V33" s="1" t="e">
        <f t="shared" si="2"/>
        <v>#N/A</v>
      </c>
      <c r="W33" s="1" t="e">
        <f t="shared" si="3"/>
        <v>#N/A</v>
      </c>
      <c r="X33" s="1" t="e">
        <f t="shared" si="4"/>
        <v>#N/A</v>
      </c>
      <c r="Y33" s="1" t="e">
        <f t="shared" si="5"/>
        <v>#N/A</v>
      </c>
      <c r="Z33" s="1" t="e">
        <f t="shared" si="6"/>
        <v>#N/A</v>
      </c>
      <c r="AA33" s="1" t="e">
        <f t="shared" si="7"/>
        <v>#N/A</v>
      </c>
      <c r="AB33" s="1" t="e">
        <f t="shared" si="8"/>
        <v>#N/A</v>
      </c>
      <c r="AC33" s="1" t="e">
        <f t="shared" si="9"/>
        <v>#N/A</v>
      </c>
      <c r="AD33" s="1" t="e">
        <f t="shared" si="10"/>
        <v>#N/A</v>
      </c>
      <c r="AE33" s="1" t="e">
        <f t="shared" si="11"/>
        <v>#N/A</v>
      </c>
      <c r="AF33" s="1" t="e">
        <f t="shared" si="12"/>
        <v>#N/A</v>
      </c>
      <c r="AG33" s="1" t="e">
        <f t="shared" si="13"/>
        <v>#N/A</v>
      </c>
      <c r="AH33" s="1" t="e">
        <f t="shared" si="14"/>
        <v>#N/A</v>
      </c>
      <c r="AI33" s="1" t="e">
        <f t="shared" si="15"/>
        <v>#N/A</v>
      </c>
    </row>
    <row r="34" spans="1:35" x14ac:dyDescent="0.25">
      <c r="A34" s="3" t="s">
        <v>30</v>
      </c>
      <c r="B34" s="2" t="s">
        <v>68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5"/>
      <c r="S34" s="3"/>
      <c r="T34" s="2" t="s">
        <v>1</v>
      </c>
      <c r="V34" s="1" t="e">
        <f t="shared" si="2"/>
        <v>#N/A</v>
      </c>
      <c r="W34" s="1" t="e">
        <f t="shared" si="3"/>
        <v>#N/A</v>
      </c>
      <c r="X34" s="1" t="e">
        <f t="shared" si="4"/>
        <v>#N/A</v>
      </c>
      <c r="Y34" s="1" t="e">
        <f t="shared" si="5"/>
        <v>#N/A</v>
      </c>
      <c r="Z34" s="1" t="e">
        <f t="shared" si="6"/>
        <v>#N/A</v>
      </c>
      <c r="AA34" s="1" t="e">
        <f t="shared" si="7"/>
        <v>#N/A</v>
      </c>
      <c r="AB34" s="1" t="e">
        <f t="shared" si="8"/>
        <v>#N/A</v>
      </c>
      <c r="AC34" s="1" t="e">
        <f t="shared" si="9"/>
        <v>#N/A</v>
      </c>
      <c r="AD34" s="1" t="e">
        <f t="shared" si="10"/>
        <v>#N/A</v>
      </c>
      <c r="AE34" s="1" t="e">
        <f t="shared" si="11"/>
        <v>#N/A</v>
      </c>
      <c r="AF34" s="1" t="e">
        <f t="shared" si="12"/>
        <v>#N/A</v>
      </c>
      <c r="AG34" s="1" t="e">
        <f t="shared" si="13"/>
        <v>#N/A</v>
      </c>
      <c r="AH34" s="1" t="e">
        <f t="shared" si="14"/>
        <v>#N/A</v>
      </c>
      <c r="AI34" s="1" t="e">
        <f t="shared" si="15"/>
        <v>#N/A</v>
      </c>
    </row>
    <row r="35" spans="1:35" x14ac:dyDescent="0.25">
      <c r="A35" s="7" t="s">
        <v>31</v>
      </c>
      <c r="B35" s="8" t="s">
        <v>69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13">
        <v>8.4126983231099999</v>
      </c>
      <c r="S35" s="7" t="s">
        <v>14</v>
      </c>
      <c r="T35" s="8" t="s">
        <v>5</v>
      </c>
      <c r="V35" s="1" t="e">
        <f t="shared" si="2"/>
        <v>#N/A</v>
      </c>
      <c r="W35" s="1" t="e">
        <f t="shared" si="3"/>
        <v>#N/A</v>
      </c>
      <c r="X35" s="1" t="e">
        <f t="shared" si="4"/>
        <v>#N/A</v>
      </c>
      <c r="Y35" s="1" t="e">
        <f t="shared" si="5"/>
        <v>#N/A</v>
      </c>
      <c r="Z35" s="1" t="e">
        <f t="shared" si="6"/>
        <v>#N/A</v>
      </c>
      <c r="AA35" s="1" t="e">
        <f t="shared" si="7"/>
        <v>#N/A</v>
      </c>
      <c r="AB35" s="1" t="e">
        <f t="shared" si="8"/>
        <v>#N/A</v>
      </c>
      <c r="AC35" s="1" t="e">
        <f t="shared" si="9"/>
        <v>#N/A</v>
      </c>
      <c r="AD35" s="1" t="e">
        <f t="shared" si="10"/>
        <v>#N/A</v>
      </c>
      <c r="AE35" s="1" t="e">
        <f t="shared" si="11"/>
        <v>#N/A</v>
      </c>
      <c r="AF35" s="1" t="e">
        <f t="shared" si="12"/>
        <v>#N/A</v>
      </c>
      <c r="AG35" s="1" t="e">
        <f t="shared" si="13"/>
        <v>#N/A</v>
      </c>
      <c r="AH35" s="1" t="e">
        <f t="shared" si="14"/>
        <v>#N/A</v>
      </c>
      <c r="AI35" s="1" t="e">
        <f t="shared" si="15"/>
        <v>#N/A</v>
      </c>
    </row>
    <row r="36" spans="1:35" x14ac:dyDescent="0.25">
      <c r="A36" s="11" t="s">
        <v>31</v>
      </c>
      <c r="B36" s="4" t="s">
        <v>70</v>
      </c>
      <c r="C36" s="6"/>
      <c r="D36" s="6"/>
      <c r="E36" s="6"/>
      <c r="F36" s="6"/>
      <c r="G36" s="6"/>
      <c r="H36" s="6"/>
      <c r="I36" s="6"/>
      <c r="J36" s="6"/>
      <c r="K36" s="16"/>
      <c r="L36" s="16"/>
      <c r="M36" s="16"/>
      <c r="N36" s="16"/>
      <c r="O36" s="16"/>
      <c r="P36" s="6"/>
      <c r="Q36" s="6"/>
      <c r="R36" s="14"/>
      <c r="S36" s="5"/>
      <c r="T36" s="4" t="s">
        <v>0</v>
      </c>
      <c r="V36" s="1" t="e">
        <f t="shared" si="2"/>
        <v>#N/A</v>
      </c>
      <c r="W36" s="1" t="e">
        <f t="shared" si="3"/>
        <v>#N/A</v>
      </c>
      <c r="X36" s="1" t="e">
        <f t="shared" si="4"/>
        <v>#N/A</v>
      </c>
      <c r="Y36" s="1" t="e">
        <f t="shared" si="5"/>
        <v>#N/A</v>
      </c>
      <c r="Z36" s="1" t="e">
        <f t="shared" si="6"/>
        <v>#N/A</v>
      </c>
      <c r="AA36" s="1" t="e">
        <f t="shared" si="7"/>
        <v>#N/A</v>
      </c>
      <c r="AB36" s="1" t="e">
        <f t="shared" si="8"/>
        <v>#N/A</v>
      </c>
      <c r="AC36" s="1" t="e">
        <f t="shared" si="9"/>
        <v>#N/A</v>
      </c>
      <c r="AD36" s="1" t="e">
        <f t="shared" si="10"/>
        <v>#N/A</v>
      </c>
      <c r="AE36" s="1" t="e">
        <f t="shared" si="11"/>
        <v>#N/A</v>
      </c>
      <c r="AF36" s="1" t="e">
        <f t="shared" si="12"/>
        <v>#N/A</v>
      </c>
      <c r="AG36" s="1" t="e">
        <f t="shared" si="13"/>
        <v>#N/A</v>
      </c>
      <c r="AH36" s="1" t="e">
        <f t="shared" si="14"/>
        <v>#N/A</v>
      </c>
      <c r="AI36" s="1" t="e">
        <f t="shared" si="15"/>
        <v>#N/A</v>
      </c>
    </row>
    <row r="37" spans="1:35" x14ac:dyDescent="0.25">
      <c r="A37" s="11" t="s">
        <v>31</v>
      </c>
      <c r="B37" s="4" t="s">
        <v>71</v>
      </c>
      <c r="C37" s="6"/>
      <c r="D37" s="6"/>
      <c r="E37" s="6"/>
      <c r="F37" s="6"/>
      <c r="G37" s="6"/>
      <c r="H37" s="6"/>
      <c r="I37" s="6"/>
      <c r="J37" s="6"/>
      <c r="K37" s="16"/>
      <c r="L37" s="16"/>
      <c r="M37" s="16"/>
      <c r="N37" s="16"/>
      <c r="O37" s="16"/>
      <c r="P37" s="6"/>
      <c r="Q37" s="6"/>
      <c r="R37" s="14"/>
      <c r="S37" s="5"/>
      <c r="T37" s="4" t="s">
        <v>6</v>
      </c>
      <c r="V37" s="1" t="e">
        <f t="shared" si="2"/>
        <v>#N/A</v>
      </c>
      <c r="W37" s="1" t="e">
        <f t="shared" si="3"/>
        <v>#N/A</v>
      </c>
      <c r="X37" s="1" t="e">
        <f t="shared" si="4"/>
        <v>#N/A</v>
      </c>
      <c r="Y37" s="1" t="e">
        <f t="shared" si="5"/>
        <v>#N/A</v>
      </c>
      <c r="Z37" s="1" t="e">
        <f t="shared" si="6"/>
        <v>#N/A</v>
      </c>
      <c r="AA37" s="1" t="e">
        <f t="shared" si="7"/>
        <v>#N/A</v>
      </c>
      <c r="AB37" s="1" t="e">
        <f t="shared" si="8"/>
        <v>#N/A</v>
      </c>
      <c r="AC37" s="1" t="e">
        <f t="shared" si="9"/>
        <v>#N/A</v>
      </c>
      <c r="AD37" s="1" t="e">
        <f t="shared" si="10"/>
        <v>#N/A</v>
      </c>
      <c r="AE37" s="1" t="e">
        <f t="shared" si="11"/>
        <v>#N/A</v>
      </c>
      <c r="AF37" s="1" t="e">
        <f t="shared" si="12"/>
        <v>#N/A</v>
      </c>
      <c r="AG37" s="1" t="e">
        <f t="shared" si="13"/>
        <v>#N/A</v>
      </c>
      <c r="AH37" s="1" t="e">
        <f t="shared" si="14"/>
        <v>#N/A</v>
      </c>
      <c r="AI37" s="1" t="e">
        <f t="shared" si="15"/>
        <v>#N/A</v>
      </c>
    </row>
    <row r="38" spans="1:35" x14ac:dyDescent="0.25">
      <c r="A38" s="3" t="s">
        <v>31</v>
      </c>
      <c r="B38" s="2" t="s">
        <v>72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5"/>
      <c r="S38" s="3"/>
      <c r="T38" s="2" t="s">
        <v>1</v>
      </c>
      <c r="V38" s="1" t="e">
        <f t="shared" si="2"/>
        <v>#N/A</v>
      </c>
      <c r="W38" s="1" t="e">
        <f t="shared" si="3"/>
        <v>#N/A</v>
      </c>
      <c r="X38" s="1" t="e">
        <f t="shared" si="4"/>
        <v>#N/A</v>
      </c>
      <c r="Y38" s="1" t="e">
        <f t="shared" si="5"/>
        <v>#N/A</v>
      </c>
      <c r="Z38" s="1" t="e">
        <f t="shared" si="6"/>
        <v>#N/A</v>
      </c>
      <c r="AA38" s="1" t="e">
        <f t="shared" si="7"/>
        <v>#N/A</v>
      </c>
      <c r="AB38" s="1" t="e">
        <f t="shared" si="8"/>
        <v>#N/A</v>
      </c>
      <c r="AC38" s="1" t="e">
        <f t="shared" si="9"/>
        <v>#N/A</v>
      </c>
      <c r="AD38" s="1" t="e">
        <f t="shared" si="10"/>
        <v>#N/A</v>
      </c>
      <c r="AE38" s="1" t="e">
        <f t="shared" si="11"/>
        <v>#N/A</v>
      </c>
      <c r="AF38" s="1" t="e">
        <f t="shared" si="12"/>
        <v>#N/A</v>
      </c>
      <c r="AG38" s="1" t="e">
        <f t="shared" si="13"/>
        <v>#N/A</v>
      </c>
      <c r="AH38" s="1" t="e">
        <f t="shared" si="14"/>
        <v>#N/A</v>
      </c>
      <c r="AI38" s="1" t="e">
        <f t="shared" si="15"/>
        <v>#N/A</v>
      </c>
    </row>
    <row r="39" spans="1:35" x14ac:dyDescent="0.25">
      <c r="A39" s="7" t="s">
        <v>32</v>
      </c>
      <c r="B39" s="8" t="s">
        <v>73</v>
      </c>
      <c r="C39" s="9"/>
      <c r="D39" s="12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13">
        <v>6.8429580100807996</v>
      </c>
      <c r="S39" s="7" t="s">
        <v>15</v>
      </c>
      <c r="T39" s="8" t="s">
        <v>5</v>
      </c>
      <c r="V39" s="1" t="e">
        <f t="shared" si="2"/>
        <v>#N/A</v>
      </c>
      <c r="W39" s="1" t="e">
        <f t="shared" si="3"/>
        <v>#N/A</v>
      </c>
      <c r="X39" s="1" t="e">
        <f t="shared" si="4"/>
        <v>#N/A</v>
      </c>
      <c r="Y39" s="1" t="e">
        <f t="shared" si="5"/>
        <v>#N/A</v>
      </c>
      <c r="Z39" s="1" t="e">
        <f t="shared" si="6"/>
        <v>#N/A</v>
      </c>
      <c r="AA39" s="1" t="e">
        <f t="shared" si="7"/>
        <v>#N/A</v>
      </c>
      <c r="AB39" s="1" t="e">
        <f t="shared" si="8"/>
        <v>#N/A</v>
      </c>
      <c r="AC39" s="1" t="e">
        <f t="shared" si="9"/>
        <v>#N/A</v>
      </c>
      <c r="AD39" s="1" t="e">
        <f t="shared" si="10"/>
        <v>#N/A</v>
      </c>
      <c r="AE39" s="1" t="e">
        <f t="shared" si="11"/>
        <v>#N/A</v>
      </c>
      <c r="AF39" s="1" t="e">
        <f t="shared" si="12"/>
        <v>#N/A</v>
      </c>
      <c r="AG39" s="1" t="e">
        <f t="shared" si="13"/>
        <v>#N/A</v>
      </c>
      <c r="AH39" s="1" t="e">
        <f t="shared" si="14"/>
        <v>#N/A</v>
      </c>
      <c r="AI39" s="1" t="e">
        <f t="shared" si="15"/>
        <v>#N/A</v>
      </c>
    </row>
    <row r="40" spans="1:35" x14ac:dyDescent="0.25">
      <c r="A40" s="11" t="s">
        <v>32</v>
      </c>
      <c r="B40" s="4" t="s">
        <v>74</v>
      </c>
      <c r="C40" s="6"/>
      <c r="D40" s="6"/>
      <c r="E40" s="6"/>
      <c r="F40" s="6"/>
      <c r="G40" s="6"/>
      <c r="H40" s="6"/>
      <c r="I40" s="6"/>
      <c r="J40" s="6"/>
      <c r="K40" s="16"/>
      <c r="L40" s="16"/>
      <c r="M40" s="16"/>
      <c r="N40" s="16"/>
      <c r="O40" s="16"/>
      <c r="P40" s="6"/>
      <c r="Q40" s="6"/>
      <c r="R40" s="14"/>
      <c r="S40" s="5"/>
      <c r="T40" s="4" t="s">
        <v>0</v>
      </c>
      <c r="V40" s="1" t="e">
        <f t="shared" si="2"/>
        <v>#N/A</v>
      </c>
      <c r="W40" s="1" t="e">
        <f t="shared" si="3"/>
        <v>#N/A</v>
      </c>
      <c r="X40" s="1" t="e">
        <f t="shared" si="4"/>
        <v>#N/A</v>
      </c>
      <c r="Y40" s="1" t="e">
        <f t="shared" si="5"/>
        <v>#N/A</v>
      </c>
      <c r="Z40" s="1" t="e">
        <f t="shared" si="6"/>
        <v>#N/A</v>
      </c>
      <c r="AA40" s="1" t="e">
        <f t="shared" si="7"/>
        <v>#N/A</v>
      </c>
      <c r="AB40" s="1" t="e">
        <f t="shared" si="8"/>
        <v>#N/A</v>
      </c>
      <c r="AC40" s="1" t="e">
        <f t="shared" si="9"/>
        <v>#N/A</v>
      </c>
      <c r="AD40" s="1" t="e">
        <f t="shared" si="10"/>
        <v>#N/A</v>
      </c>
      <c r="AE40" s="1" t="e">
        <f t="shared" si="11"/>
        <v>#N/A</v>
      </c>
      <c r="AF40" s="1" t="e">
        <f t="shared" si="12"/>
        <v>#N/A</v>
      </c>
      <c r="AG40" s="1" t="e">
        <f t="shared" si="13"/>
        <v>#N/A</v>
      </c>
      <c r="AH40" s="1" t="e">
        <f t="shared" si="14"/>
        <v>#N/A</v>
      </c>
      <c r="AI40" s="1" t="e">
        <f t="shared" si="15"/>
        <v>#N/A</v>
      </c>
    </row>
    <row r="41" spans="1:35" x14ac:dyDescent="0.25">
      <c r="A41" s="11" t="s">
        <v>32</v>
      </c>
      <c r="B41" s="4" t="s">
        <v>75</v>
      </c>
      <c r="C41" s="6"/>
      <c r="D41" s="6"/>
      <c r="E41" s="6"/>
      <c r="F41" s="6"/>
      <c r="G41" s="6"/>
      <c r="H41" s="6"/>
      <c r="I41" s="6"/>
      <c r="J41" s="6"/>
      <c r="K41" s="16"/>
      <c r="L41" s="16"/>
      <c r="M41" s="16"/>
      <c r="N41" s="16"/>
      <c r="O41" s="16"/>
      <c r="P41" s="6"/>
      <c r="Q41" s="6"/>
      <c r="R41" s="14"/>
      <c r="S41" s="5"/>
      <c r="T41" s="4" t="s">
        <v>6</v>
      </c>
      <c r="V41" s="1" t="e">
        <f t="shared" si="2"/>
        <v>#N/A</v>
      </c>
      <c r="W41" s="1" t="e">
        <f t="shared" si="3"/>
        <v>#N/A</v>
      </c>
      <c r="X41" s="1" t="e">
        <f t="shared" si="4"/>
        <v>#N/A</v>
      </c>
      <c r="Y41" s="1" t="e">
        <f t="shared" si="5"/>
        <v>#N/A</v>
      </c>
      <c r="Z41" s="1" t="e">
        <f t="shared" si="6"/>
        <v>#N/A</v>
      </c>
      <c r="AA41" s="1" t="e">
        <f t="shared" si="7"/>
        <v>#N/A</v>
      </c>
      <c r="AB41" s="1" t="e">
        <f t="shared" si="8"/>
        <v>#N/A</v>
      </c>
      <c r="AC41" s="1" t="e">
        <f t="shared" si="9"/>
        <v>#N/A</v>
      </c>
      <c r="AD41" s="1" t="e">
        <f t="shared" si="10"/>
        <v>#N/A</v>
      </c>
      <c r="AE41" s="1" t="e">
        <f t="shared" si="11"/>
        <v>#N/A</v>
      </c>
      <c r="AF41" s="1" t="e">
        <f t="shared" si="12"/>
        <v>#N/A</v>
      </c>
      <c r="AG41" s="1" t="e">
        <f t="shared" si="13"/>
        <v>#N/A</v>
      </c>
      <c r="AH41" s="1" t="e">
        <f t="shared" si="14"/>
        <v>#N/A</v>
      </c>
      <c r="AI41" s="1" t="e">
        <f t="shared" si="15"/>
        <v>#N/A</v>
      </c>
    </row>
    <row r="42" spans="1:35" x14ac:dyDescent="0.25">
      <c r="A42" s="3" t="s">
        <v>32</v>
      </c>
      <c r="B42" s="2" t="s">
        <v>76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5"/>
      <c r="S42" s="3"/>
      <c r="T42" s="2" t="s">
        <v>1</v>
      </c>
      <c r="V42" s="1" t="e">
        <f t="shared" si="2"/>
        <v>#N/A</v>
      </c>
      <c r="W42" s="1" t="e">
        <f t="shared" si="3"/>
        <v>#N/A</v>
      </c>
      <c r="X42" s="1" t="e">
        <f t="shared" si="4"/>
        <v>#N/A</v>
      </c>
      <c r="Y42" s="1" t="e">
        <f t="shared" si="5"/>
        <v>#N/A</v>
      </c>
      <c r="Z42" s="1" t="e">
        <f t="shared" si="6"/>
        <v>#N/A</v>
      </c>
      <c r="AA42" s="1" t="e">
        <f t="shared" si="7"/>
        <v>#N/A</v>
      </c>
      <c r="AB42" s="1" t="e">
        <f t="shared" si="8"/>
        <v>#N/A</v>
      </c>
      <c r="AC42" s="1" t="e">
        <f t="shared" si="9"/>
        <v>#N/A</v>
      </c>
      <c r="AD42" s="1" t="e">
        <f t="shared" si="10"/>
        <v>#N/A</v>
      </c>
      <c r="AE42" s="1" t="e">
        <f t="shared" si="11"/>
        <v>#N/A</v>
      </c>
      <c r="AF42" s="1" t="e">
        <f t="shared" si="12"/>
        <v>#N/A</v>
      </c>
      <c r="AG42" s="1" t="e">
        <f t="shared" si="13"/>
        <v>#N/A</v>
      </c>
      <c r="AH42" s="1" t="e">
        <f t="shared" si="14"/>
        <v>#N/A</v>
      </c>
      <c r="AI42" s="1" t="e">
        <f t="shared" si="15"/>
        <v>#N/A</v>
      </c>
    </row>
    <row r="43" spans="1:35" x14ac:dyDescent="0.25">
      <c r="A43" s="7" t="s">
        <v>33</v>
      </c>
      <c r="B43" s="8" t="s">
        <v>77</v>
      </c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13">
        <v>22.842969539999999</v>
      </c>
      <c r="S43" s="7" t="s">
        <v>16</v>
      </c>
      <c r="T43" s="8" t="s">
        <v>5</v>
      </c>
      <c r="V43" s="1" t="e">
        <f t="shared" si="2"/>
        <v>#N/A</v>
      </c>
      <c r="W43" s="1" t="e">
        <f t="shared" si="3"/>
        <v>#N/A</v>
      </c>
      <c r="X43" s="1" t="e">
        <f t="shared" si="4"/>
        <v>#N/A</v>
      </c>
      <c r="Y43" s="1" t="e">
        <f t="shared" si="5"/>
        <v>#N/A</v>
      </c>
      <c r="Z43" s="1" t="e">
        <f t="shared" si="6"/>
        <v>#N/A</v>
      </c>
      <c r="AA43" s="1" t="e">
        <f t="shared" si="7"/>
        <v>#N/A</v>
      </c>
      <c r="AB43" s="1" t="e">
        <f t="shared" si="8"/>
        <v>#N/A</v>
      </c>
      <c r="AC43" s="1" t="e">
        <f t="shared" si="9"/>
        <v>#N/A</v>
      </c>
      <c r="AD43" s="1" t="e">
        <f t="shared" si="10"/>
        <v>#N/A</v>
      </c>
      <c r="AE43" s="1" t="e">
        <f t="shared" si="11"/>
        <v>#N/A</v>
      </c>
      <c r="AF43" s="1" t="e">
        <f t="shared" si="12"/>
        <v>#N/A</v>
      </c>
      <c r="AG43" s="1" t="e">
        <f t="shared" si="13"/>
        <v>#N/A</v>
      </c>
      <c r="AH43" s="1" t="e">
        <f t="shared" si="14"/>
        <v>#N/A</v>
      </c>
      <c r="AI43" s="1" t="e">
        <f t="shared" si="15"/>
        <v>#N/A</v>
      </c>
    </row>
    <row r="44" spans="1:35" x14ac:dyDescent="0.25">
      <c r="A44" s="11" t="s">
        <v>33</v>
      </c>
      <c r="B44" s="4" t="s">
        <v>78</v>
      </c>
      <c r="C44" s="6"/>
      <c r="D44" s="6"/>
      <c r="E44" s="6"/>
      <c r="F44" s="6"/>
      <c r="G44" s="6"/>
      <c r="H44" s="6"/>
      <c r="I44" s="6"/>
      <c r="J44" s="6"/>
      <c r="K44" s="16"/>
      <c r="L44" s="16"/>
      <c r="M44" s="16"/>
      <c r="N44" s="16"/>
      <c r="O44" s="16"/>
      <c r="P44" s="6"/>
      <c r="Q44" s="6"/>
      <c r="R44" s="14"/>
      <c r="S44" s="5"/>
      <c r="T44" s="4" t="s">
        <v>0</v>
      </c>
      <c r="V44" s="1" t="e">
        <f t="shared" si="2"/>
        <v>#N/A</v>
      </c>
      <c r="W44" s="1" t="e">
        <f t="shared" si="3"/>
        <v>#N/A</v>
      </c>
      <c r="X44" s="1" t="e">
        <f t="shared" si="4"/>
        <v>#N/A</v>
      </c>
      <c r="Y44" s="1" t="e">
        <f t="shared" si="5"/>
        <v>#N/A</v>
      </c>
      <c r="Z44" s="1" t="e">
        <f t="shared" si="6"/>
        <v>#N/A</v>
      </c>
      <c r="AA44" s="1" t="e">
        <f t="shared" si="7"/>
        <v>#N/A</v>
      </c>
      <c r="AB44" s="1" t="e">
        <f t="shared" si="8"/>
        <v>#N/A</v>
      </c>
      <c r="AC44" s="1" t="e">
        <f t="shared" si="9"/>
        <v>#N/A</v>
      </c>
      <c r="AD44" s="1" t="e">
        <f t="shared" si="10"/>
        <v>#N/A</v>
      </c>
      <c r="AE44" s="1" t="e">
        <f t="shared" si="11"/>
        <v>#N/A</v>
      </c>
      <c r="AF44" s="1" t="e">
        <f t="shared" si="12"/>
        <v>#N/A</v>
      </c>
      <c r="AG44" s="1" t="e">
        <f t="shared" si="13"/>
        <v>#N/A</v>
      </c>
      <c r="AH44" s="1" t="e">
        <f t="shared" si="14"/>
        <v>#N/A</v>
      </c>
      <c r="AI44" s="1" t="e">
        <f t="shared" si="15"/>
        <v>#N/A</v>
      </c>
    </row>
    <row r="45" spans="1:35" x14ac:dyDescent="0.25">
      <c r="A45" s="11" t="s">
        <v>33</v>
      </c>
      <c r="B45" s="4" t="s">
        <v>79</v>
      </c>
      <c r="C45" s="6"/>
      <c r="D45" s="6"/>
      <c r="E45" s="6"/>
      <c r="F45" s="6"/>
      <c r="G45" s="6"/>
      <c r="H45" s="6"/>
      <c r="I45" s="6"/>
      <c r="J45" s="6"/>
      <c r="K45" s="16"/>
      <c r="L45" s="16"/>
      <c r="M45" s="16"/>
      <c r="N45" s="16"/>
      <c r="O45" s="16"/>
      <c r="P45" s="6"/>
      <c r="Q45" s="6"/>
      <c r="R45" s="14"/>
      <c r="S45" s="5"/>
      <c r="T45" s="4" t="s">
        <v>6</v>
      </c>
      <c r="V45" s="1" t="e">
        <f t="shared" si="2"/>
        <v>#N/A</v>
      </c>
      <c r="W45" s="1" t="e">
        <f t="shared" si="3"/>
        <v>#N/A</v>
      </c>
      <c r="X45" s="1" t="e">
        <f t="shared" si="4"/>
        <v>#N/A</v>
      </c>
      <c r="Y45" s="1" t="e">
        <f t="shared" si="5"/>
        <v>#N/A</v>
      </c>
      <c r="Z45" s="1" t="e">
        <f t="shared" si="6"/>
        <v>#N/A</v>
      </c>
      <c r="AA45" s="1" t="e">
        <f t="shared" si="7"/>
        <v>#N/A</v>
      </c>
      <c r="AB45" s="1" t="e">
        <f t="shared" si="8"/>
        <v>#N/A</v>
      </c>
      <c r="AC45" s="1" t="e">
        <f t="shared" si="9"/>
        <v>#N/A</v>
      </c>
      <c r="AD45" s="1" t="e">
        <f t="shared" si="10"/>
        <v>#N/A</v>
      </c>
      <c r="AE45" s="1" t="e">
        <f t="shared" si="11"/>
        <v>#N/A</v>
      </c>
      <c r="AF45" s="1" t="e">
        <f t="shared" si="12"/>
        <v>#N/A</v>
      </c>
      <c r="AG45" s="1" t="e">
        <f t="shared" si="13"/>
        <v>#N/A</v>
      </c>
      <c r="AH45" s="1" t="e">
        <f t="shared" si="14"/>
        <v>#N/A</v>
      </c>
      <c r="AI45" s="1" t="e">
        <f t="shared" si="15"/>
        <v>#N/A</v>
      </c>
    </row>
    <row r="46" spans="1:35" x14ac:dyDescent="0.25">
      <c r="A46" s="3" t="s">
        <v>33</v>
      </c>
      <c r="B46" s="2" t="s">
        <v>80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5"/>
      <c r="S46" s="3"/>
      <c r="T46" s="2" t="s">
        <v>1</v>
      </c>
      <c r="V46" s="1" t="e">
        <f t="shared" si="2"/>
        <v>#N/A</v>
      </c>
      <c r="W46" s="1" t="e">
        <f t="shared" si="3"/>
        <v>#N/A</v>
      </c>
      <c r="X46" s="1" t="e">
        <f t="shared" si="4"/>
        <v>#N/A</v>
      </c>
      <c r="Y46" s="1" t="e">
        <f t="shared" si="5"/>
        <v>#N/A</v>
      </c>
      <c r="Z46" s="1" t="e">
        <f t="shared" si="6"/>
        <v>#N/A</v>
      </c>
      <c r="AA46" s="1" t="e">
        <f t="shared" si="7"/>
        <v>#N/A</v>
      </c>
      <c r="AB46" s="1" t="e">
        <f t="shared" si="8"/>
        <v>#N/A</v>
      </c>
      <c r="AC46" s="1" t="e">
        <f t="shared" si="9"/>
        <v>#N/A</v>
      </c>
      <c r="AD46" s="1" t="e">
        <f t="shared" si="10"/>
        <v>#N/A</v>
      </c>
      <c r="AE46" s="1" t="e">
        <f t="shared" si="11"/>
        <v>#N/A</v>
      </c>
      <c r="AF46" s="1" t="e">
        <f t="shared" si="12"/>
        <v>#N/A</v>
      </c>
      <c r="AG46" s="1" t="e">
        <f t="shared" si="13"/>
        <v>#N/A</v>
      </c>
      <c r="AH46" s="1" t="e">
        <f t="shared" si="14"/>
        <v>#N/A</v>
      </c>
      <c r="AI46" s="1" t="e">
        <f t="shared" si="15"/>
        <v>#N/A</v>
      </c>
    </row>
    <row r="47" spans="1:35" x14ac:dyDescent="0.25">
      <c r="A47" s="7" t="s">
        <v>34</v>
      </c>
      <c r="B47" s="8" t="s">
        <v>81</v>
      </c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13">
        <v>1.7248523085973599</v>
      </c>
      <c r="S47" s="7" t="s">
        <v>17</v>
      </c>
      <c r="T47" s="8" t="s">
        <v>5</v>
      </c>
      <c r="V47" s="1" t="e">
        <f t="shared" si="2"/>
        <v>#N/A</v>
      </c>
      <c r="W47" s="1" t="e">
        <f t="shared" si="3"/>
        <v>#N/A</v>
      </c>
      <c r="X47" s="1" t="e">
        <f t="shared" si="4"/>
        <v>#N/A</v>
      </c>
      <c r="Y47" s="1" t="e">
        <f t="shared" si="5"/>
        <v>#N/A</v>
      </c>
      <c r="Z47" s="1" t="e">
        <f t="shared" si="6"/>
        <v>#N/A</v>
      </c>
      <c r="AA47" s="1" t="e">
        <f t="shared" si="7"/>
        <v>#N/A</v>
      </c>
      <c r="AB47" s="1" t="e">
        <f t="shared" si="8"/>
        <v>#N/A</v>
      </c>
      <c r="AC47" s="1" t="e">
        <f t="shared" si="9"/>
        <v>#N/A</v>
      </c>
      <c r="AD47" s="1" t="e">
        <f t="shared" si="10"/>
        <v>#N/A</v>
      </c>
      <c r="AE47" s="1" t="e">
        <f t="shared" si="11"/>
        <v>#N/A</v>
      </c>
      <c r="AF47" s="1" t="e">
        <f t="shared" si="12"/>
        <v>#N/A</v>
      </c>
      <c r="AG47" s="1" t="e">
        <f t="shared" si="13"/>
        <v>#N/A</v>
      </c>
      <c r="AH47" s="1" t="e">
        <f t="shared" si="14"/>
        <v>#N/A</v>
      </c>
      <c r="AI47" s="1" t="e">
        <f t="shared" si="15"/>
        <v>#N/A</v>
      </c>
    </row>
    <row r="48" spans="1:35" x14ac:dyDescent="0.25">
      <c r="A48" s="11" t="s">
        <v>34</v>
      </c>
      <c r="B48" s="4" t="s">
        <v>82</v>
      </c>
      <c r="C48" s="6"/>
      <c r="D48" s="6"/>
      <c r="E48" s="6"/>
      <c r="F48" s="6"/>
      <c r="G48" s="6"/>
      <c r="H48" s="6"/>
      <c r="I48" s="6"/>
      <c r="J48" s="6"/>
      <c r="K48" s="16"/>
      <c r="L48" s="16"/>
      <c r="M48" s="16"/>
      <c r="N48" s="16"/>
      <c r="O48" s="16"/>
      <c r="P48" s="6"/>
      <c r="Q48" s="6"/>
      <c r="R48" s="14"/>
      <c r="S48" s="5"/>
      <c r="T48" s="4" t="s">
        <v>0</v>
      </c>
      <c r="V48" s="1" t="e">
        <f t="shared" si="2"/>
        <v>#N/A</v>
      </c>
      <c r="W48" s="1" t="e">
        <f t="shared" si="3"/>
        <v>#N/A</v>
      </c>
      <c r="X48" s="1" t="e">
        <f t="shared" si="4"/>
        <v>#N/A</v>
      </c>
      <c r="Y48" s="1" t="e">
        <f t="shared" si="5"/>
        <v>#N/A</v>
      </c>
      <c r="Z48" s="1" t="e">
        <f t="shared" si="6"/>
        <v>#N/A</v>
      </c>
      <c r="AA48" s="1" t="e">
        <f t="shared" si="7"/>
        <v>#N/A</v>
      </c>
      <c r="AB48" s="1" t="e">
        <f t="shared" si="8"/>
        <v>#N/A</v>
      </c>
      <c r="AC48" s="1" t="e">
        <f t="shared" si="9"/>
        <v>#N/A</v>
      </c>
      <c r="AD48" s="1" t="e">
        <f t="shared" si="10"/>
        <v>#N/A</v>
      </c>
      <c r="AE48" s="1" t="e">
        <f t="shared" si="11"/>
        <v>#N/A</v>
      </c>
      <c r="AF48" s="1" t="e">
        <f t="shared" si="12"/>
        <v>#N/A</v>
      </c>
      <c r="AG48" s="1" t="e">
        <f t="shared" si="13"/>
        <v>#N/A</v>
      </c>
      <c r="AH48" s="1" t="e">
        <f t="shared" si="14"/>
        <v>#N/A</v>
      </c>
      <c r="AI48" s="1" t="e">
        <f t="shared" si="15"/>
        <v>#N/A</v>
      </c>
    </row>
    <row r="49" spans="1:35" x14ac:dyDescent="0.25">
      <c r="A49" s="11" t="s">
        <v>34</v>
      </c>
      <c r="B49" s="4" t="s">
        <v>83</v>
      </c>
      <c r="C49" s="6"/>
      <c r="D49" s="6"/>
      <c r="E49" s="6"/>
      <c r="F49" s="6"/>
      <c r="G49" s="6"/>
      <c r="H49" s="6"/>
      <c r="I49" s="6"/>
      <c r="J49" s="6"/>
      <c r="K49" s="16"/>
      <c r="L49" s="16"/>
      <c r="M49" s="16"/>
      <c r="N49" s="16"/>
      <c r="O49" s="16"/>
      <c r="P49" s="6"/>
      <c r="Q49" s="6"/>
      <c r="R49" s="14"/>
      <c r="S49" s="5"/>
      <c r="T49" s="4" t="s">
        <v>6</v>
      </c>
      <c r="V49" s="1" t="e">
        <f t="shared" si="2"/>
        <v>#N/A</v>
      </c>
      <c r="W49" s="1" t="e">
        <f t="shared" si="3"/>
        <v>#N/A</v>
      </c>
      <c r="X49" s="1" t="e">
        <f t="shared" si="4"/>
        <v>#N/A</v>
      </c>
      <c r="Y49" s="1" t="e">
        <f t="shared" si="5"/>
        <v>#N/A</v>
      </c>
      <c r="Z49" s="1" t="e">
        <f t="shared" si="6"/>
        <v>#N/A</v>
      </c>
      <c r="AA49" s="1" t="e">
        <f t="shared" si="7"/>
        <v>#N/A</v>
      </c>
      <c r="AB49" s="1" t="e">
        <f t="shared" si="8"/>
        <v>#N/A</v>
      </c>
      <c r="AC49" s="1" t="e">
        <f t="shared" si="9"/>
        <v>#N/A</v>
      </c>
      <c r="AD49" s="1" t="e">
        <f t="shared" si="10"/>
        <v>#N/A</v>
      </c>
      <c r="AE49" s="1" t="e">
        <f t="shared" si="11"/>
        <v>#N/A</v>
      </c>
      <c r="AF49" s="1" t="e">
        <f t="shared" si="12"/>
        <v>#N/A</v>
      </c>
      <c r="AG49" s="1" t="e">
        <f t="shared" si="13"/>
        <v>#N/A</v>
      </c>
      <c r="AH49" s="1" t="e">
        <f t="shared" si="14"/>
        <v>#N/A</v>
      </c>
      <c r="AI49" s="1" t="e">
        <f t="shared" si="15"/>
        <v>#N/A</v>
      </c>
    </row>
    <row r="50" spans="1:35" x14ac:dyDescent="0.25">
      <c r="A50" s="3" t="s">
        <v>34</v>
      </c>
      <c r="B50" s="2" t="s">
        <v>84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5"/>
      <c r="S50" s="3"/>
      <c r="T50" s="2" t="s">
        <v>1</v>
      </c>
      <c r="V50" s="1" t="e">
        <f t="shared" si="2"/>
        <v>#N/A</v>
      </c>
      <c r="W50" s="1" t="e">
        <f t="shared" si="3"/>
        <v>#N/A</v>
      </c>
      <c r="X50" s="1" t="e">
        <f t="shared" si="4"/>
        <v>#N/A</v>
      </c>
      <c r="Y50" s="1" t="e">
        <f t="shared" si="5"/>
        <v>#N/A</v>
      </c>
      <c r="Z50" s="1" t="e">
        <f t="shared" si="6"/>
        <v>#N/A</v>
      </c>
      <c r="AA50" s="1" t="e">
        <f t="shared" si="7"/>
        <v>#N/A</v>
      </c>
      <c r="AB50" s="1" t="e">
        <f t="shared" si="8"/>
        <v>#N/A</v>
      </c>
      <c r="AC50" s="1" t="e">
        <f t="shared" si="9"/>
        <v>#N/A</v>
      </c>
      <c r="AD50" s="1" t="e">
        <f t="shared" si="10"/>
        <v>#N/A</v>
      </c>
      <c r="AE50" s="1" t="e">
        <f t="shared" si="11"/>
        <v>#N/A</v>
      </c>
      <c r="AF50" s="1" t="e">
        <f t="shared" si="12"/>
        <v>#N/A</v>
      </c>
      <c r="AG50" s="1" t="e">
        <f t="shared" si="13"/>
        <v>#N/A</v>
      </c>
      <c r="AH50" s="1" t="e">
        <f t="shared" si="14"/>
        <v>#N/A</v>
      </c>
      <c r="AI50" s="1" t="e">
        <f t="shared" si="15"/>
        <v>#N/A</v>
      </c>
    </row>
    <row r="51" spans="1:35" x14ac:dyDescent="0.25">
      <c r="A51" s="7" t="s">
        <v>35</v>
      </c>
      <c r="B51" s="8" t="s">
        <v>85</v>
      </c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13">
        <v>359.20800000000003</v>
      </c>
      <c r="S51" s="7" t="s">
        <v>18</v>
      </c>
      <c r="T51" s="8" t="s">
        <v>5</v>
      </c>
      <c r="V51" s="1" t="e">
        <f t="shared" si="2"/>
        <v>#N/A</v>
      </c>
      <c r="W51" s="1" t="e">
        <f t="shared" si="3"/>
        <v>#N/A</v>
      </c>
      <c r="X51" s="1" t="e">
        <f t="shared" si="4"/>
        <v>#N/A</v>
      </c>
      <c r="Y51" s="1" t="e">
        <f t="shared" si="5"/>
        <v>#N/A</v>
      </c>
      <c r="Z51" s="1" t="e">
        <f t="shared" si="6"/>
        <v>#N/A</v>
      </c>
      <c r="AA51" s="1" t="e">
        <f t="shared" si="7"/>
        <v>#N/A</v>
      </c>
      <c r="AB51" s="1" t="e">
        <f t="shared" si="8"/>
        <v>#N/A</v>
      </c>
      <c r="AC51" s="1" t="e">
        <f t="shared" si="9"/>
        <v>#N/A</v>
      </c>
      <c r="AD51" s="1" t="e">
        <f t="shared" si="10"/>
        <v>#N/A</v>
      </c>
      <c r="AE51" s="1" t="e">
        <f t="shared" si="11"/>
        <v>#N/A</v>
      </c>
      <c r="AF51" s="1" t="e">
        <f t="shared" si="12"/>
        <v>#N/A</v>
      </c>
      <c r="AG51" s="1" t="e">
        <f t="shared" si="13"/>
        <v>#N/A</v>
      </c>
      <c r="AH51" s="1" t="e">
        <f t="shared" si="14"/>
        <v>#N/A</v>
      </c>
      <c r="AI51" s="1" t="e">
        <f t="shared" si="15"/>
        <v>#N/A</v>
      </c>
    </row>
    <row r="52" spans="1:35" x14ac:dyDescent="0.25">
      <c r="A52" s="11" t="s">
        <v>35</v>
      </c>
      <c r="B52" s="4" t="s">
        <v>86</v>
      </c>
      <c r="C52" s="6"/>
      <c r="D52" s="6"/>
      <c r="E52" s="6"/>
      <c r="F52" s="6"/>
      <c r="G52" s="6"/>
      <c r="H52" s="6"/>
      <c r="I52" s="6"/>
      <c r="J52" s="6"/>
      <c r="K52" s="16"/>
      <c r="L52" s="16"/>
      <c r="M52" s="16"/>
      <c r="N52" s="16"/>
      <c r="O52" s="16"/>
      <c r="P52" s="6"/>
      <c r="Q52" s="6"/>
      <c r="R52" s="14"/>
      <c r="S52" s="5"/>
      <c r="T52" s="4" t="s">
        <v>0</v>
      </c>
      <c r="V52" s="1" t="e">
        <f t="shared" si="2"/>
        <v>#N/A</v>
      </c>
      <c r="W52" s="1" t="e">
        <f t="shared" si="3"/>
        <v>#N/A</v>
      </c>
      <c r="X52" s="1" t="e">
        <f t="shared" si="4"/>
        <v>#N/A</v>
      </c>
      <c r="Y52" s="1" t="e">
        <f t="shared" si="5"/>
        <v>#N/A</v>
      </c>
      <c r="Z52" s="1" t="e">
        <f t="shared" si="6"/>
        <v>#N/A</v>
      </c>
      <c r="AA52" s="1" t="e">
        <f t="shared" si="7"/>
        <v>#N/A</v>
      </c>
      <c r="AB52" s="1" t="e">
        <f t="shared" si="8"/>
        <v>#N/A</v>
      </c>
      <c r="AC52" s="1" t="e">
        <f t="shared" si="9"/>
        <v>#N/A</v>
      </c>
      <c r="AD52" s="1" t="e">
        <f t="shared" si="10"/>
        <v>#N/A</v>
      </c>
      <c r="AE52" s="1" t="e">
        <f t="shared" si="11"/>
        <v>#N/A</v>
      </c>
      <c r="AF52" s="1" t="e">
        <f t="shared" si="12"/>
        <v>#N/A</v>
      </c>
      <c r="AG52" s="1" t="e">
        <f t="shared" si="13"/>
        <v>#N/A</v>
      </c>
      <c r="AH52" s="1" t="e">
        <f t="shared" si="14"/>
        <v>#N/A</v>
      </c>
      <c r="AI52" s="1" t="e">
        <f t="shared" si="15"/>
        <v>#N/A</v>
      </c>
    </row>
    <row r="53" spans="1:35" x14ac:dyDescent="0.25">
      <c r="A53" s="11" t="s">
        <v>35</v>
      </c>
      <c r="B53" s="4" t="s">
        <v>87</v>
      </c>
      <c r="C53" s="6"/>
      <c r="D53" s="6"/>
      <c r="E53" s="6"/>
      <c r="F53" s="6"/>
      <c r="G53" s="6"/>
      <c r="H53" s="6"/>
      <c r="I53" s="6"/>
      <c r="J53" s="6"/>
      <c r="K53" s="16"/>
      <c r="L53" s="16"/>
      <c r="M53" s="16"/>
      <c r="N53" s="16"/>
      <c r="O53" s="16"/>
      <c r="P53" s="6"/>
      <c r="Q53" s="6"/>
      <c r="R53" s="14"/>
      <c r="S53" s="5"/>
      <c r="T53" s="4" t="s">
        <v>6</v>
      </c>
      <c r="V53" s="1" t="e">
        <f t="shared" si="2"/>
        <v>#N/A</v>
      </c>
      <c r="W53" s="1" t="e">
        <f t="shared" si="3"/>
        <v>#N/A</v>
      </c>
      <c r="X53" s="1" t="e">
        <f t="shared" si="4"/>
        <v>#N/A</v>
      </c>
      <c r="Y53" s="1" t="e">
        <f t="shared" si="5"/>
        <v>#N/A</v>
      </c>
      <c r="Z53" s="1" t="e">
        <f t="shared" si="6"/>
        <v>#N/A</v>
      </c>
      <c r="AA53" s="1" t="e">
        <f t="shared" si="7"/>
        <v>#N/A</v>
      </c>
      <c r="AB53" s="1" t="e">
        <f t="shared" si="8"/>
        <v>#N/A</v>
      </c>
      <c r="AC53" s="1" t="e">
        <f t="shared" si="9"/>
        <v>#N/A</v>
      </c>
      <c r="AD53" s="1" t="e">
        <f t="shared" si="10"/>
        <v>#N/A</v>
      </c>
      <c r="AE53" s="1" t="e">
        <f t="shared" si="11"/>
        <v>#N/A</v>
      </c>
      <c r="AF53" s="1" t="e">
        <f t="shared" si="12"/>
        <v>#N/A</v>
      </c>
      <c r="AG53" s="1" t="e">
        <f t="shared" si="13"/>
        <v>#N/A</v>
      </c>
      <c r="AH53" s="1" t="e">
        <f t="shared" si="14"/>
        <v>#N/A</v>
      </c>
      <c r="AI53" s="1" t="e">
        <f t="shared" si="15"/>
        <v>#N/A</v>
      </c>
    </row>
    <row r="54" spans="1:35" x14ac:dyDescent="0.25">
      <c r="A54" s="3" t="s">
        <v>35</v>
      </c>
      <c r="B54" s="2" t="s">
        <v>88</v>
      </c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5"/>
      <c r="S54" s="5"/>
      <c r="T54" s="4" t="s">
        <v>1</v>
      </c>
      <c r="V54" s="1" t="e">
        <f t="shared" si="2"/>
        <v>#N/A</v>
      </c>
      <c r="W54" s="1" t="e">
        <f t="shared" si="3"/>
        <v>#N/A</v>
      </c>
      <c r="X54" s="1" t="e">
        <f t="shared" si="4"/>
        <v>#N/A</v>
      </c>
      <c r="Y54" s="1" t="e">
        <f t="shared" si="5"/>
        <v>#N/A</v>
      </c>
      <c r="Z54" s="1" t="e">
        <f t="shared" si="6"/>
        <v>#N/A</v>
      </c>
      <c r="AA54" s="1" t="e">
        <f t="shared" si="7"/>
        <v>#N/A</v>
      </c>
      <c r="AB54" s="1" t="e">
        <f t="shared" si="8"/>
        <v>#N/A</v>
      </c>
      <c r="AC54" s="1" t="e">
        <f t="shared" si="9"/>
        <v>#N/A</v>
      </c>
      <c r="AD54" s="1" t="e">
        <f t="shared" si="10"/>
        <v>#N/A</v>
      </c>
      <c r="AE54" s="1" t="e">
        <f t="shared" si="11"/>
        <v>#N/A</v>
      </c>
      <c r="AF54" s="1" t="e">
        <f t="shared" si="12"/>
        <v>#N/A</v>
      </c>
      <c r="AG54" s="1" t="e">
        <f t="shared" si="13"/>
        <v>#N/A</v>
      </c>
      <c r="AH54" s="1" t="e">
        <f t="shared" si="14"/>
        <v>#N/A</v>
      </c>
      <c r="AI54" s="1" t="e">
        <f t="shared" si="15"/>
        <v>#N/A</v>
      </c>
    </row>
    <row r="55" spans="1:35" ht="14.45" customHeight="1" x14ac:dyDescent="0.25">
      <c r="A55" s="19" t="s">
        <v>21</v>
      </c>
      <c r="B55" s="8" t="s">
        <v>5</v>
      </c>
      <c r="C55" s="8">
        <f>COUNTIFS($B$3:$B$54,$B$55,V3:V54,1)</f>
        <v>0</v>
      </c>
      <c r="D55" s="8">
        <f t="shared" ref="D55:Q55" si="16">COUNTIFS($B$3:$B$54,$B$55,W3:W54,1)</f>
        <v>0</v>
      </c>
      <c r="E55" s="8">
        <f t="shared" si="16"/>
        <v>0</v>
      </c>
      <c r="F55" s="8">
        <f t="shared" si="16"/>
        <v>0</v>
      </c>
      <c r="G55" s="8">
        <f t="shared" si="16"/>
        <v>0</v>
      </c>
      <c r="H55" s="8">
        <f t="shared" si="16"/>
        <v>0</v>
      </c>
      <c r="I55" s="8">
        <f t="shared" si="16"/>
        <v>0</v>
      </c>
      <c r="J55" s="8">
        <f t="shared" si="16"/>
        <v>0</v>
      </c>
      <c r="K55" s="8">
        <f t="shared" si="16"/>
        <v>0</v>
      </c>
      <c r="L55" s="8">
        <f t="shared" si="16"/>
        <v>0</v>
      </c>
      <c r="M55" s="8">
        <f t="shared" si="16"/>
        <v>0</v>
      </c>
      <c r="N55" s="8">
        <f t="shared" si="16"/>
        <v>0</v>
      </c>
      <c r="O55" s="8">
        <f t="shared" si="16"/>
        <v>0</v>
      </c>
      <c r="P55" s="8">
        <f t="shared" si="16"/>
        <v>0</v>
      </c>
      <c r="Q55" s="8">
        <f t="shared" si="16"/>
        <v>0</v>
      </c>
      <c r="R55" s="8"/>
    </row>
    <row r="56" spans="1:35" x14ac:dyDescent="0.25">
      <c r="A56" s="20"/>
      <c r="B56" s="4" t="s">
        <v>0</v>
      </c>
      <c r="C56" s="4">
        <f>COUNTIFS($B$3:$B$54,$B$56,V3:V54,1)</f>
        <v>0</v>
      </c>
      <c r="D56" s="4">
        <f t="shared" ref="D56:Q56" si="17">COUNTIFS($B$3:$B$54,$B$56,W3:W54,1)</f>
        <v>0</v>
      </c>
      <c r="E56" s="4">
        <f t="shared" si="17"/>
        <v>0</v>
      </c>
      <c r="F56" s="4">
        <f t="shared" si="17"/>
        <v>0</v>
      </c>
      <c r="G56" s="4">
        <f t="shared" si="17"/>
        <v>0</v>
      </c>
      <c r="H56" s="4">
        <f t="shared" si="17"/>
        <v>0</v>
      </c>
      <c r="I56" s="4">
        <f t="shared" si="17"/>
        <v>0</v>
      </c>
      <c r="J56" s="4">
        <f t="shared" si="17"/>
        <v>0</v>
      </c>
      <c r="K56" s="4">
        <f t="shared" si="17"/>
        <v>0</v>
      </c>
      <c r="L56" s="4">
        <f t="shared" si="17"/>
        <v>0</v>
      </c>
      <c r="M56" s="4">
        <f t="shared" si="17"/>
        <v>0</v>
      </c>
      <c r="N56" s="4">
        <f t="shared" si="17"/>
        <v>0</v>
      </c>
      <c r="O56" s="4">
        <f t="shared" si="17"/>
        <v>0</v>
      </c>
      <c r="P56" s="4">
        <f t="shared" si="17"/>
        <v>0</v>
      </c>
      <c r="Q56" s="4">
        <f t="shared" si="17"/>
        <v>0</v>
      </c>
      <c r="R56" s="4"/>
    </row>
    <row r="57" spans="1:35" x14ac:dyDescent="0.25">
      <c r="A57" s="21"/>
      <c r="B57" s="2" t="s">
        <v>6</v>
      </c>
      <c r="C57" s="2">
        <f>COUNTIFS($B$3:$B$54,$B$57,V3:V54,1)</f>
        <v>0</v>
      </c>
      <c r="D57" s="2">
        <f t="shared" ref="D57:Q57" si="18">COUNTIFS($B$3:$B$54,$B$57,W3:W54,1)</f>
        <v>0</v>
      </c>
      <c r="E57" s="2">
        <f t="shared" si="18"/>
        <v>0</v>
      </c>
      <c r="F57" s="2">
        <f t="shared" si="18"/>
        <v>0</v>
      </c>
      <c r="G57" s="2">
        <f t="shared" si="18"/>
        <v>0</v>
      </c>
      <c r="H57" s="2">
        <f t="shared" si="18"/>
        <v>0</v>
      </c>
      <c r="I57" s="2">
        <f t="shared" si="18"/>
        <v>0</v>
      </c>
      <c r="J57" s="2">
        <f t="shared" si="18"/>
        <v>0</v>
      </c>
      <c r="K57" s="2">
        <f t="shared" si="18"/>
        <v>0</v>
      </c>
      <c r="L57" s="2">
        <f t="shared" si="18"/>
        <v>0</v>
      </c>
      <c r="M57" s="2">
        <f t="shared" si="18"/>
        <v>0</v>
      </c>
      <c r="N57" s="2">
        <f t="shared" si="18"/>
        <v>0</v>
      </c>
      <c r="O57" s="2">
        <f t="shared" si="18"/>
        <v>0</v>
      </c>
      <c r="P57" s="2">
        <f t="shared" si="18"/>
        <v>0</v>
      </c>
      <c r="Q57" s="2">
        <f t="shared" si="18"/>
        <v>0</v>
      </c>
      <c r="R57" s="2"/>
    </row>
  </sheetData>
  <mergeCells count="15">
    <mergeCell ref="A1:R1"/>
    <mergeCell ref="A55:A57"/>
    <mergeCell ref="R3:R6"/>
    <mergeCell ref="R11:R14"/>
    <mergeCell ref="R7:R10"/>
    <mergeCell ref="R51:R54"/>
    <mergeCell ref="R47:R50"/>
    <mergeCell ref="R43:R46"/>
    <mergeCell ref="R39:R42"/>
    <mergeCell ref="R35:R38"/>
    <mergeCell ref="R31:R34"/>
    <mergeCell ref="R27:R30"/>
    <mergeCell ref="R23:R26"/>
    <mergeCell ref="R19:R22"/>
    <mergeCell ref="R15:R18"/>
  </mergeCells>
  <phoneticPr fontId="2" type="noConversion"/>
  <conditionalFormatting sqref="C3:Q3">
    <cfRule type="top10" dxfId="38" priority="154" bottom="1" rank="1"/>
  </conditionalFormatting>
  <conditionalFormatting sqref="C4:Q4">
    <cfRule type="top10" dxfId="37" priority="156" bottom="1" rank="1"/>
  </conditionalFormatting>
  <conditionalFormatting sqref="C5:Q5">
    <cfRule type="top10" dxfId="36" priority="158" bottom="1" rank="1"/>
  </conditionalFormatting>
  <conditionalFormatting sqref="C7:Q7">
    <cfRule type="top10" dxfId="35" priority="160" bottom="1" rank="1"/>
  </conditionalFormatting>
  <conditionalFormatting sqref="C8:Q8">
    <cfRule type="top10" dxfId="34" priority="162" bottom="1" rank="1"/>
  </conditionalFormatting>
  <conditionalFormatting sqref="C9:Q9">
    <cfRule type="top10" dxfId="33" priority="164" bottom="1" rank="1"/>
  </conditionalFormatting>
  <conditionalFormatting sqref="C11:Q11">
    <cfRule type="top10" dxfId="32" priority="166" bottom="1" rank="1"/>
  </conditionalFormatting>
  <conditionalFormatting sqref="C12:Q12">
    <cfRule type="top10" dxfId="31" priority="168" bottom="1" rank="1"/>
  </conditionalFormatting>
  <conditionalFormatting sqref="C13:Q13">
    <cfRule type="top10" dxfId="30" priority="170" bottom="1" rank="1"/>
  </conditionalFormatting>
  <conditionalFormatting sqref="C15:Q15">
    <cfRule type="top10" dxfId="29" priority="172" bottom="1" rank="1"/>
  </conditionalFormatting>
  <conditionalFormatting sqref="C16:Q16">
    <cfRule type="top10" dxfId="28" priority="174" bottom="1" rank="1"/>
  </conditionalFormatting>
  <conditionalFormatting sqref="C17:Q17">
    <cfRule type="top10" dxfId="27" priority="176" bottom="1" rank="1"/>
  </conditionalFormatting>
  <conditionalFormatting sqref="C19:Q19">
    <cfRule type="top10" dxfId="26" priority="178" bottom="1" rank="1"/>
  </conditionalFormatting>
  <conditionalFormatting sqref="C20:Q20">
    <cfRule type="top10" dxfId="25" priority="180" bottom="1" rank="1"/>
  </conditionalFormatting>
  <conditionalFormatting sqref="C21:Q21">
    <cfRule type="top10" dxfId="24" priority="182" bottom="1" rank="1"/>
  </conditionalFormatting>
  <conditionalFormatting sqref="C23:Q23">
    <cfRule type="top10" dxfId="23" priority="184" bottom="1" rank="1"/>
  </conditionalFormatting>
  <conditionalFormatting sqref="C24:Q24">
    <cfRule type="top10" dxfId="22" priority="186" bottom="1" rank="1"/>
  </conditionalFormatting>
  <conditionalFormatting sqref="C25:Q25">
    <cfRule type="top10" dxfId="21" priority="188" bottom="1" rank="1"/>
  </conditionalFormatting>
  <conditionalFormatting sqref="C27:Q27">
    <cfRule type="top10" dxfId="20" priority="190" bottom="1" rank="1"/>
  </conditionalFormatting>
  <conditionalFormatting sqref="C28:Q28">
    <cfRule type="top10" dxfId="19" priority="192" bottom="1" rank="1"/>
  </conditionalFormatting>
  <conditionalFormatting sqref="C29:Q29">
    <cfRule type="top10" dxfId="18" priority="194" bottom="1" rank="1"/>
  </conditionalFormatting>
  <conditionalFormatting sqref="C31:Q31">
    <cfRule type="top10" dxfId="17" priority="196" bottom="1" rank="1"/>
  </conditionalFormatting>
  <conditionalFormatting sqref="C32:Q32">
    <cfRule type="top10" dxfId="16" priority="198" bottom="1" rank="1"/>
  </conditionalFormatting>
  <conditionalFormatting sqref="C33:Q33">
    <cfRule type="top10" dxfId="15" priority="200" bottom="1" rank="1"/>
  </conditionalFormatting>
  <conditionalFormatting sqref="C35:Q35">
    <cfRule type="top10" dxfId="14" priority="202" bottom="1" rank="1"/>
  </conditionalFormatting>
  <conditionalFormatting sqref="C36:Q36">
    <cfRule type="top10" dxfId="13" priority="204" bottom="1" rank="1"/>
  </conditionalFormatting>
  <conditionalFormatting sqref="C37:Q37">
    <cfRule type="top10" dxfId="12" priority="206" bottom="1" rank="1"/>
  </conditionalFormatting>
  <conditionalFormatting sqref="C39:Q39">
    <cfRule type="top10" dxfId="11" priority="208" bottom="1" rank="1"/>
  </conditionalFormatting>
  <conditionalFormatting sqref="C40:Q40">
    <cfRule type="top10" dxfId="10" priority="210" bottom="1" rank="1"/>
  </conditionalFormatting>
  <conditionalFormatting sqref="C41:Q41">
    <cfRule type="top10" dxfId="9" priority="212" bottom="1" rank="1"/>
  </conditionalFormatting>
  <conditionalFormatting sqref="C43:Q43">
    <cfRule type="top10" dxfId="8" priority="214" bottom="1" rank="1"/>
  </conditionalFormatting>
  <conditionalFormatting sqref="C44:Q44">
    <cfRule type="top10" dxfId="7" priority="216" bottom="1" rank="1"/>
  </conditionalFormatting>
  <conditionalFormatting sqref="C45:Q45">
    <cfRule type="top10" dxfId="6" priority="218" bottom="1" rank="1"/>
  </conditionalFormatting>
  <conditionalFormatting sqref="C47:Q47">
    <cfRule type="top10" dxfId="5" priority="220" bottom="1" rank="1"/>
  </conditionalFormatting>
  <conditionalFormatting sqref="C48:Q48">
    <cfRule type="top10" dxfId="4" priority="222" bottom="1" rank="1"/>
  </conditionalFormatting>
  <conditionalFormatting sqref="C49:Q49">
    <cfRule type="top10" dxfId="3" priority="224" bottom="1" rank="1"/>
  </conditionalFormatting>
  <conditionalFormatting sqref="C51:Q51">
    <cfRule type="top10" dxfId="2" priority="226" bottom="1" rank="1"/>
  </conditionalFormatting>
  <conditionalFormatting sqref="C52:Q52">
    <cfRule type="top10" dxfId="1" priority="228" bottom="1" rank="1"/>
  </conditionalFormatting>
  <conditionalFormatting sqref="C53:Q53">
    <cfRule type="top10" dxfId="0" priority="230" bottom="1" rank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Conclusions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2025-12-29T20:16:19Z</dcterms:modified>
</cp:coreProperties>
</file>