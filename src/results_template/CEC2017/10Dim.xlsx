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tiHub\Repositories\Base-Optimization-Framework\src\results_template\CEC2017\"/>
    </mc:Choice>
  </mc:AlternateContent>
  <xr:revisionPtr revIDLastSave="0" documentId="13_ncr:1_{36BB5701-4D09-433D-8C95-A9D03E3B76FE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90" i="2" l="1" a="1"/>
  <c r="AJ90" i="2" s="1"/>
  <c r="AI90" i="2" a="1"/>
  <c r="AI90" i="2" s="1"/>
  <c r="AH90" i="2" a="1"/>
  <c r="AH90" i="2" s="1"/>
  <c r="AG90" i="2"/>
  <c r="AG90" i="2" a="1"/>
  <c r="AF90" i="2" a="1"/>
  <c r="AF90" i="2" s="1"/>
  <c r="AE90" i="2" a="1"/>
  <c r="AE90" i="2" s="1"/>
  <c r="AD90" i="2" a="1"/>
  <c r="AD90" i="2" s="1"/>
  <c r="AC90" i="2" a="1"/>
  <c r="AC90" i="2" s="1"/>
  <c r="AB90" i="2" a="1"/>
  <c r="AB90" i="2" s="1"/>
  <c r="AA90" i="2" a="1"/>
  <c r="AA90" i="2" s="1"/>
  <c r="Z90" i="2" a="1"/>
  <c r="Z90" i="2" s="1"/>
  <c r="Y90" i="2"/>
  <c r="Y90" i="2" a="1"/>
  <c r="X90" i="2" a="1"/>
  <c r="X90" i="2" s="1"/>
  <c r="W90" i="2" a="1"/>
  <c r="W90" i="2" s="1"/>
  <c r="V90" i="2" a="1"/>
  <c r="V90" i="2" s="1"/>
  <c r="AJ87" i="2"/>
  <c r="AJ87" i="2" a="1"/>
  <c r="AI87" i="2" a="1"/>
  <c r="AI87" i="2" s="1"/>
  <c r="AH87" i="2" a="1"/>
  <c r="AH87" i="2" s="1"/>
  <c r="AG87" i="2" a="1"/>
  <c r="AG87" i="2" s="1"/>
  <c r="AF87" i="2" a="1"/>
  <c r="AF87" i="2" s="1"/>
  <c r="AE87" i="2" a="1"/>
  <c r="AE87" i="2" s="1"/>
  <c r="AD87" i="2" a="1"/>
  <c r="AD87" i="2" s="1"/>
  <c r="AC87" i="2"/>
  <c r="AC87" i="2" a="1"/>
  <c r="AB87" i="2" a="1"/>
  <c r="AB87" i="2" s="1"/>
  <c r="AA87" i="2" a="1"/>
  <c r="AA87" i="2" s="1"/>
  <c r="Z87" i="2" a="1"/>
  <c r="Z87" i="2" s="1"/>
  <c r="Y87" i="2"/>
  <c r="Y87" i="2" a="1"/>
  <c r="X87" i="2" a="1"/>
  <c r="X87" i="2" s="1"/>
  <c r="W87" i="2" a="1"/>
  <c r="W87" i="2" s="1"/>
  <c r="V87" i="2" a="1"/>
  <c r="V87" i="2" s="1"/>
  <c r="AJ84" i="2" a="1"/>
  <c r="AJ84" i="2" s="1"/>
  <c r="AI84" i="2" a="1"/>
  <c r="AI84" i="2" s="1"/>
  <c r="AH84" i="2" a="1"/>
  <c r="AH84" i="2" s="1"/>
  <c r="AG84" i="2" a="1"/>
  <c r="AG84" i="2" s="1"/>
  <c r="AF84" i="2" a="1"/>
  <c r="AF84" i="2" s="1"/>
  <c r="AE84" i="2" a="1"/>
  <c r="AE84" i="2" s="1"/>
  <c r="AD84" i="2" a="1"/>
  <c r="AD84" i="2" s="1"/>
  <c r="AC84" i="2" a="1"/>
  <c r="AC84" i="2" s="1"/>
  <c r="AB84" i="2" a="1"/>
  <c r="AB84" i="2" s="1"/>
  <c r="AA84" i="2" a="1"/>
  <c r="AA84" i="2" s="1"/>
  <c r="Z84" i="2" a="1"/>
  <c r="Z84" i="2" s="1"/>
  <c r="Y84" i="2" a="1"/>
  <c r="Y84" i="2" s="1"/>
  <c r="X84" i="2" a="1"/>
  <c r="X84" i="2" s="1"/>
  <c r="W84" i="2" a="1"/>
  <c r="W84" i="2" s="1"/>
  <c r="V84" i="2" a="1"/>
  <c r="V84" i="2" s="1"/>
  <c r="AJ81" i="2" a="1"/>
  <c r="AJ81" i="2" s="1"/>
  <c r="AI81" i="2" a="1"/>
  <c r="AI81" i="2" s="1"/>
  <c r="AH81" i="2" a="1"/>
  <c r="AH81" i="2" s="1"/>
  <c r="AG81" i="2" a="1"/>
  <c r="AG81" i="2" s="1"/>
  <c r="AF81" i="2" a="1"/>
  <c r="AF81" i="2" s="1"/>
  <c r="AE81" i="2" a="1"/>
  <c r="AE81" i="2" s="1"/>
  <c r="AD81" i="2" a="1"/>
  <c r="AD81" i="2" s="1"/>
  <c r="AC81" i="2" a="1"/>
  <c r="AC81" i="2" s="1"/>
  <c r="AB81" i="2" a="1"/>
  <c r="AB81" i="2" s="1"/>
  <c r="AA81" i="2" a="1"/>
  <c r="AA81" i="2" s="1"/>
  <c r="Z81" i="2" a="1"/>
  <c r="Z81" i="2" s="1"/>
  <c r="Y81" i="2" a="1"/>
  <c r="Y81" i="2" s="1"/>
  <c r="X81" i="2" a="1"/>
  <c r="X81" i="2" s="1"/>
  <c r="W81" i="2"/>
  <c r="W81" i="2" a="1"/>
  <c r="V81" i="2" a="1"/>
  <c r="V81" i="2" s="1"/>
  <c r="AJ78" i="2" a="1"/>
  <c r="AJ78" i="2" s="1"/>
  <c r="AI78" i="2" a="1"/>
  <c r="AI78" i="2" s="1"/>
  <c r="AH78" i="2" a="1"/>
  <c r="AH78" i="2" s="1"/>
  <c r="AG78" i="2" a="1"/>
  <c r="AG78" i="2" s="1"/>
  <c r="AF78" i="2" a="1"/>
  <c r="AF78" i="2" s="1"/>
  <c r="AE78" i="2" a="1"/>
  <c r="AE78" i="2" s="1"/>
  <c r="AD78" i="2" a="1"/>
  <c r="AD78" i="2" s="1"/>
  <c r="AC78" i="2" a="1"/>
  <c r="AC78" i="2" s="1"/>
  <c r="AB78" i="2" a="1"/>
  <c r="AB78" i="2" s="1"/>
  <c r="AA78" i="2" a="1"/>
  <c r="AA78" i="2" s="1"/>
  <c r="Z78" i="2" a="1"/>
  <c r="Z78" i="2" s="1"/>
  <c r="Y78" i="2" a="1"/>
  <c r="Y78" i="2" s="1"/>
  <c r="X78" i="2" a="1"/>
  <c r="X78" i="2" s="1"/>
  <c r="W78" i="2" a="1"/>
  <c r="W78" i="2" s="1"/>
  <c r="V78" i="2"/>
  <c r="V78" i="2" a="1"/>
  <c r="AJ75" i="2" a="1"/>
  <c r="AJ75" i="2" s="1"/>
  <c r="AI75" i="2" a="1"/>
  <c r="AI75" i="2" s="1"/>
  <c r="AH75" i="2" a="1"/>
  <c r="AH75" i="2" s="1"/>
  <c r="AG75" i="2" a="1"/>
  <c r="AG75" i="2" s="1"/>
  <c r="AF75" i="2"/>
  <c r="AF75" i="2" a="1"/>
  <c r="AE75" i="2" a="1"/>
  <c r="AE75" i="2" s="1"/>
  <c r="AD75" i="2" a="1"/>
  <c r="AD75" i="2" s="1"/>
  <c r="AC75" i="2" a="1"/>
  <c r="AC75" i="2" s="1"/>
  <c r="AB75" i="2" a="1"/>
  <c r="AB75" i="2" s="1"/>
  <c r="AA75" i="2" a="1"/>
  <c r="AA75" i="2" s="1"/>
  <c r="Z75" i="2" a="1"/>
  <c r="Z75" i="2" s="1"/>
  <c r="Y75" i="2" a="1"/>
  <c r="Y75" i="2" s="1"/>
  <c r="X75" i="2" a="1"/>
  <c r="X75" i="2" s="1"/>
  <c r="W75" i="2" a="1"/>
  <c r="W75" i="2" s="1"/>
  <c r="V75" i="2" a="1"/>
  <c r="V75" i="2" s="1"/>
  <c r="AJ72" i="2" a="1"/>
  <c r="AJ72" i="2" s="1"/>
  <c r="AI72" i="2" a="1"/>
  <c r="AI72" i="2" s="1"/>
  <c r="AH72" i="2" a="1"/>
  <c r="AH72" i="2" s="1"/>
  <c r="AG72" i="2" a="1"/>
  <c r="AG72" i="2" s="1"/>
  <c r="AF72" i="2" a="1"/>
  <c r="AF72" i="2" s="1"/>
  <c r="AE72" i="2" a="1"/>
  <c r="AE72" i="2" s="1"/>
  <c r="AD72" i="2" a="1"/>
  <c r="AD72" i="2" s="1"/>
  <c r="AC72" i="2" a="1"/>
  <c r="AC72" i="2" s="1"/>
  <c r="AB72" i="2" a="1"/>
  <c r="AB72" i="2" s="1"/>
  <c r="AA72" i="2" a="1"/>
  <c r="AA72" i="2" s="1"/>
  <c r="Z72" i="2" a="1"/>
  <c r="Z72" i="2" s="1"/>
  <c r="Y72" i="2" a="1"/>
  <c r="Y72" i="2" s="1"/>
  <c r="X72" i="2" a="1"/>
  <c r="X72" i="2" s="1"/>
  <c r="W72" i="2" a="1"/>
  <c r="W72" i="2" s="1"/>
  <c r="V72" i="2" a="1"/>
  <c r="V72" i="2" s="1"/>
  <c r="AJ69" i="2" a="1"/>
  <c r="AJ69" i="2" s="1"/>
  <c r="AI69" i="2" a="1"/>
  <c r="AI69" i="2" s="1"/>
  <c r="AH69" i="2" a="1"/>
  <c r="AH69" i="2" s="1"/>
  <c r="AG69" i="2" a="1"/>
  <c r="AG69" i="2" s="1"/>
  <c r="AF69" i="2" a="1"/>
  <c r="AF69" i="2" s="1"/>
  <c r="AE69" i="2" a="1"/>
  <c r="AE69" i="2" s="1"/>
  <c r="AD69" i="2" a="1"/>
  <c r="AD69" i="2" s="1"/>
  <c r="AC69" i="2" a="1"/>
  <c r="AC69" i="2" s="1"/>
  <c r="AB69" i="2" a="1"/>
  <c r="AB69" i="2" s="1"/>
  <c r="AA69" i="2"/>
  <c r="AA69" i="2" a="1"/>
  <c r="Z69" i="2" a="1"/>
  <c r="Z69" i="2" s="1"/>
  <c r="Y69" i="2" a="1"/>
  <c r="Y69" i="2" s="1"/>
  <c r="X69" i="2" a="1"/>
  <c r="X69" i="2" s="1"/>
  <c r="W69" i="2" a="1"/>
  <c r="W69" i="2" s="1"/>
  <c r="V69" i="2" a="1"/>
  <c r="V69" i="2" s="1"/>
  <c r="AJ66" i="2"/>
  <c r="AJ66" i="2" a="1"/>
  <c r="AI66" i="2" a="1"/>
  <c r="AI66" i="2" s="1"/>
  <c r="AH66" i="2" a="1"/>
  <c r="AH66" i="2" s="1"/>
  <c r="AG66" i="2"/>
  <c r="AG66" i="2" a="1"/>
  <c r="AF66" i="2" a="1"/>
  <c r="AF66" i="2" s="1"/>
  <c r="AE66" i="2" a="1"/>
  <c r="AE66" i="2" s="1"/>
  <c r="AD66" i="2" a="1"/>
  <c r="AD66" i="2" s="1"/>
  <c r="AC66" i="2" a="1"/>
  <c r="AC66" i="2" s="1"/>
  <c r="AB66" i="2" a="1"/>
  <c r="AB66" i="2" s="1"/>
  <c r="AA66" i="2" a="1"/>
  <c r="AA66" i="2" s="1"/>
  <c r="Z66" i="2"/>
  <c r="Z66" i="2" a="1"/>
  <c r="Y66" i="2" a="1"/>
  <c r="Y66" i="2" s="1"/>
  <c r="X66" i="2" a="1"/>
  <c r="X66" i="2" s="1"/>
  <c r="W66" i="2" a="1"/>
  <c r="W66" i="2" s="1"/>
  <c r="V66" i="2" a="1"/>
  <c r="V66" i="2" s="1"/>
  <c r="AJ63" i="2" a="1"/>
  <c r="AJ63" i="2" s="1"/>
  <c r="AI63" i="2" a="1"/>
  <c r="AI63" i="2" s="1"/>
  <c r="AH63" i="2" a="1"/>
  <c r="AH63" i="2" s="1"/>
  <c r="AG63" i="2" a="1"/>
  <c r="AG63" i="2" s="1"/>
  <c r="AF63" i="2"/>
  <c r="AF63" i="2" a="1"/>
  <c r="AE63" i="2" a="1"/>
  <c r="AE63" i="2" s="1"/>
  <c r="AD63" i="2" a="1"/>
  <c r="AD63" i="2" s="1"/>
  <c r="AC63" i="2" a="1"/>
  <c r="AC63" i="2" s="1"/>
  <c r="AB63" i="2"/>
  <c r="AB63" i="2" a="1"/>
  <c r="AA63" i="2" a="1"/>
  <c r="AA63" i="2" s="1"/>
  <c r="Z63" i="2" a="1"/>
  <c r="Z63" i="2" s="1"/>
  <c r="Y63" i="2" a="1"/>
  <c r="Y63" i="2" s="1"/>
  <c r="X63" i="2" a="1"/>
  <c r="X63" i="2" s="1"/>
  <c r="W63" i="2" a="1"/>
  <c r="W63" i="2" s="1"/>
  <c r="V63" i="2" a="1"/>
  <c r="V63" i="2" s="1"/>
  <c r="AJ60" i="2" a="1"/>
  <c r="AJ60" i="2" s="1"/>
  <c r="AI60" i="2" a="1"/>
  <c r="AI60" i="2" s="1"/>
  <c r="AH60" i="2" a="1"/>
  <c r="AH60" i="2" s="1"/>
  <c r="AG60" i="2" a="1"/>
  <c r="AG60" i="2" s="1"/>
  <c r="AF60" i="2" a="1"/>
  <c r="AF60" i="2" s="1"/>
  <c r="AE60" i="2" a="1"/>
  <c r="AE60" i="2" s="1"/>
  <c r="AD60" i="2" a="1"/>
  <c r="AD60" i="2" s="1"/>
  <c r="AC60" i="2" a="1"/>
  <c r="AC60" i="2" s="1"/>
  <c r="AB60" i="2" a="1"/>
  <c r="AB60" i="2" s="1"/>
  <c r="AA60" i="2" a="1"/>
  <c r="AA60" i="2" s="1"/>
  <c r="Z60" i="2" a="1"/>
  <c r="Z60" i="2" s="1"/>
  <c r="Y60" i="2" a="1"/>
  <c r="Y60" i="2" s="1"/>
  <c r="X60" i="2" a="1"/>
  <c r="X60" i="2" s="1"/>
  <c r="W60" i="2" a="1"/>
  <c r="W60" i="2" s="1"/>
  <c r="V60" i="2"/>
  <c r="V60" i="2" a="1"/>
  <c r="AJ57" i="2" a="1"/>
  <c r="AJ57" i="2" s="1"/>
  <c r="AI57" i="2"/>
  <c r="AI57" i="2" a="1"/>
  <c r="AH57" i="2" a="1"/>
  <c r="AH57" i="2" s="1"/>
  <c r="AG57" i="2" a="1"/>
  <c r="AG57" i="2" s="1"/>
  <c r="AF57" i="2" a="1"/>
  <c r="AF57" i="2" s="1"/>
  <c r="AE57" i="2" a="1"/>
  <c r="AE57" i="2" s="1"/>
  <c r="AD57" i="2" a="1"/>
  <c r="AD57" i="2" s="1"/>
  <c r="AC57" i="2"/>
  <c r="AC57" i="2" a="1"/>
  <c r="AB57" i="2" a="1"/>
  <c r="AB57" i="2" s="1"/>
  <c r="AA57" i="2" a="1"/>
  <c r="AA57" i="2" s="1"/>
  <c r="Z57" i="2" a="1"/>
  <c r="Z57" i="2" s="1"/>
  <c r="Y57" i="2" a="1"/>
  <c r="Y57" i="2" s="1"/>
  <c r="X57" i="2" a="1"/>
  <c r="X57" i="2" s="1"/>
  <c r="W57" i="2"/>
  <c r="W57" i="2" a="1"/>
  <c r="V57" i="2" a="1"/>
  <c r="V57" i="2" s="1"/>
  <c r="AJ54" i="2" a="1"/>
  <c r="AJ54" i="2" s="1"/>
  <c r="AI54" i="2" a="1"/>
  <c r="AI54" i="2" s="1"/>
  <c r="AH54" i="2" a="1"/>
  <c r="AH54" i="2" s="1"/>
  <c r="AG54" i="2" a="1"/>
  <c r="AG54" i="2" s="1"/>
  <c r="AF54" i="2"/>
  <c r="AF54" i="2" a="1"/>
  <c r="AE54" i="2" a="1"/>
  <c r="AE54" i="2" s="1"/>
  <c r="AD54" i="2" a="1"/>
  <c r="AD54" i="2" s="1"/>
  <c r="AC54" i="2"/>
  <c r="AC54" i="2" a="1"/>
  <c r="AB54" i="2" a="1"/>
  <c r="AB54" i="2" s="1"/>
  <c r="AA54" i="2" a="1"/>
  <c r="AA54" i="2" s="1"/>
  <c r="Z54" i="2" a="1"/>
  <c r="Z54" i="2" s="1"/>
  <c r="Y54" i="2" a="1"/>
  <c r="Y54" i="2" s="1"/>
  <c r="X54" i="2" a="1"/>
  <c r="X54" i="2" s="1"/>
  <c r="W54" i="2" a="1"/>
  <c r="W54" i="2" s="1"/>
  <c r="V54" i="2"/>
  <c r="V54" i="2" a="1"/>
  <c r="AJ51" i="2" a="1"/>
  <c r="AJ51" i="2" s="1"/>
  <c r="AI51" i="2" a="1"/>
  <c r="AI51" i="2" s="1"/>
  <c r="AH51" i="2" a="1"/>
  <c r="AH51" i="2" s="1"/>
  <c r="AG51" i="2" a="1"/>
  <c r="AG51" i="2" s="1"/>
  <c r="AF51" i="2" a="1"/>
  <c r="AF51" i="2" s="1"/>
  <c r="AE51" i="2" a="1"/>
  <c r="AE51" i="2" s="1"/>
  <c r="AD51" i="2" a="1"/>
  <c r="AD51" i="2" s="1"/>
  <c r="AC51" i="2" a="1"/>
  <c r="AC51" i="2" s="1"/>
  <c r="AB51" i="2"/>
  <c r="AB51" i="2" a="1"/>
  <c r="AA51" i="2" a="1"/>
  <c r="AA51" i="2" s="1"/>
  <c r="Z51" i="2" a="1"/>
  <c r="Z51" i="2" s="1"/>
  <c r="Y51" i="2" a="1"/>
  <c r="Y51" i="2" s="1"/>
  <c r="X51" i="2"/>
  <c r="X51" i="2" a="1"/>
  <c r="W51" i="2" a="1"/>
  <c r="W51" i="2" s="1"/>
  <c r="V51" i="2" a="1"/>
  <c r="V51" i="2" s="1"/>
  <c r="AJ48" i="2" a="1"/>
  <c r="AJ48" i="2" s="1"/>
  <c r="AI48" i="2" a="1"/>
  <c r="AI48" i="2" s="1"/>
  <c r="AH48" i="2" a="1"/>
  <c r="AH48" i="2" s="1"/>
  <c r="AG48" i="2" a="1"/>
  <c r="AG48" i="2" s="1"/>
  <c r="AF48" i="2" a="1"/>
  <c r="AF48" i="2" s="1"/>
  <c r="AE48" i="2" a="1"/>
  <c r="AE48" i="2" s="1"/>
  <c r="AD48" i="2" a="1"/>
  <c r="AD48" i="2" s="1"/>
  <c r="AC48" i="2" a="1"/>
  <c r="AC48" i="2" s="1"/>
  <c r="AB48" i="2" a="1"/>
  <c r="AB48" i="2" s="1"/>
  <c r="AA48" i="2" a="1"/>
  <c r="AA48" i="2" s="1"/>
  <c r="Z48" i="2" a="1"/>
  <c r="Z48" i="2" s="1"/>
  <c r="Y48" i="2" a="1"/>
  <c r="Y48" i="2" s="1"/>
  <c r="X48" i="2" a="1"/>
  <c r="X48" i="2" s="1"/>
  <c r="W48" i="2" a="1"/>
  <c r="W48" i="2" s="1"/>
  <c r="V48" i="2" a="1"/>
  <c r="V48" i="2" s="1"/>
  <c r="AJ45" i="2" a="1"/>
  <c r="AJ45" i="2" s="1"/>
  <c r="AI45" i="2" a="1"/>
  <c r="AI45" i="2" s="1"/>
  <c r="AH45" i="2" a="1"/>
  <c r="AH45" i="2" s="1"/>
  <c r="AG45" i="2"/>
  <c r="AG45" i="2" a="1"/>
  <c r="AF45" i="2" a="1"/>
  <c r="AF45" i="2" s="1"/>
  <c r="AE45" i="2"/>
  <c r="AE45" i="2" a="1"/>
  <c r="AD45" i="2" a="1"/>
  <c r="AD45" i="2" s="1"/>
  <c r="AC45" i="2" a="1"/>
  <c r="AC45" i="2" s="1"/>
  <c r="AB45" i="2" a="1"/>
  <c r="AB45" i="2" s="1"/>
  <c r="AA45" i="2" a="1"/>
  <c r="AA45" i="2" s="1"/>
  <c r="Z45" i="2" a="1"/>
  <c r="Z45" i="2" s="1"/>
  <c r="Y45" i="2"/>
  <c r="Y45" i="2" a="1"/>
  <c r="X45" i="2" a="1"/>
  <c r="X45" i="2" s="1"/>
  <c r="W45" i="2" a="1"/>
  <c r="W45" i="2" s="1"/>
  <c r="V45" i="2" a="1"/>
  <c r="V45" i="2" s="1"/>
  <c r="AJ42" i="2" a="1"/>
  <c r="AJ42" i="2" s="1"/>
  <c r="AI42" i="2" a="1"/>
  <c r="AI42" i="2" s="1"/>
  <c r="AH42" i="2"/>
  <c r="AH42" i="2" a="1"/>
  <c r="AG42" i="2" a="1"/>
  <c r="AG42" i="2" s="1"/>
  <c r="AF42" i="2" a="1"/>
  <c r="AF42" i="2" s="1"/>
  <c r="AE42" i="2" a="1"/>
  <c r="AE42" i="2" s="1"/>
  <c r="AD42" i="2" a="1"/>
  <c r="AD42" i="2" s="1"/>
  <c r="AC42" i="2" a="1"/>
  <c r="AC42" i="2" s="1"/>
  <c r="AB42" i="2"/>
  <c r="AB42" i="2" a="1"/>
  <c r="AA42" i="2" a="1"/>
  <c r="AA42" i="2" s="1"/>
  <c r="Z42" i="2" a="1"/>
  <c r="Z42" i="2" s="1"/>
  <c r="Y42" i="2"/>
  <c r="Y42" i="2" a="1"/>
  <c r="X42" i="2" a="1"/>
  <c r="X42" i="2" s="1"/>
  <c r="W42" i="2" a="1"/>
  <c r="W42" i="2" s="1"/>
  <c r="V42" i="2" a="1"/>
  <c r="V42" i="2" s="1"/>
  <c r="AJ39" i="2" a="1"/>
  <c r="AJ39" i="2" s="1"/>
  <c r="AI39" i="2" a="1"/>
  <c r="AI39" i="2" s="1"/>
  <c r="AH39" i="2" a="1"/>
  <c r="AH39" i="2" s="1"/>
  <c r="AG39" i="2"/>
  <c r="AG39" i="2" a="1"/>
  <c r="AF39" i="2" a="1"/>
  <c r="AF39" i="2" s="1"/>
  <c r="AE39" i="2" a="1"/>
  <c r="AE39" i="2" s="1"/>
  <c r="AD39" i="2" a="1"/>
  <c r="AD39" i="2" s="1"/>
  <c r="AC39" i="2" a="1"/>
  <c r="AC39" i="2" s="1"/>
  <c r="AB39" i="2" a="1"/>
  <c r="AB39" i="2" s="1"/>
  <c r="AA39" i="2" a="1"/>
  <c r="AA39" i="2" s="1"/>
  <c r="Z39" i="2" a="1"/>
  <c r="Z39" i="2" s="1"/>
  <c r="Y39" i="2" a="1"/>
  <c r="Y39" i="2" s="1"/>
  <c r="X39" i="2"/>
  <c r="X39" i="2" a="1"/>
  <c r="W39" i="2" a="1"/>
  <c r="W39" i="2" s="1"/>
  <c r="V39" i="2" a="1"/>
  <c r="V39" i="2" s="1"/>
  <c r="AJ36" i="2" a="1"/>
  <c r="AJ36" i="2" s="1"/>
  <c r="AI36" i="2"/>
  <c r="AI36" i="2" a="1"/>
  <c r="AH36" i="2" a="1"/>
  <c r="AH36" i="2" s="1"/>
  <c r="AG36" i="2" a="1"/>
  <c r="AG36" i="2" s="1"/>
  <c r="AF36" i="2" a="1"/>
  <c r="AF36" i="2" s="1"/>
  <c r="AE36" i="2" a="1"/>
  <c r="AE36" i="2" s="1"/>
  <c r="AD36" i="2" a="1"/>
  <c r="AD36" i="2" s="1"/>
  <c r="AC36" i="2" a="1"/>
  <c r="AC36" i="2" s="1"/>
  <c r="AB36" i="2" a="1"/>
  <c r="AB36" i="2" s="1"/>
  <c r="AA36" i="2" a="1"/>
  <c r="AA36" i="2" s="1"/>
  <c r="Z36" i="2" a="1"/>
  <c r="Z36" i="2" s="1"/>
  <c r="Y36" i="2" a="1"/>
  <c r="Y36" i="2" s="1"/>
  <c r="X36" i="2" a="1"/>
  <c r="X36" i="2" s="1"/>
  <c r="W36" i="2" a="1"/>
  <c r="W36" i="2" s="1"/>
  <c r="V36" i="2" a="1"/>
  <c r="V36" i="2" s="1"/>
  <c r="AJ33" i="2" a="1"/>
  <c r="AJ33" i="2" s="1"/>
  <c r="AI33" i="2" a="1"/>
  <c r="AI33" i="2" s="1"/>
  <c r="AH33" i="2" a="1"/>
  <c r="AH33" i="2" s="1"/>
  <c r="AG33" i="2" a="1"/>
  <c r="AG33" i="2" s="1"/>
  <c r="AF33" i="2" a="1"/>
  <c r="AF33" i="2" s="1"/>
  <c r="AE33" i="2" a="1"/>
  <c r="AE33" i="2" s="1"/>
  <c r="AD33" i="2" a="1"/>
  <c r="AD33" i="2" s="1"/>
  <c r="AC33" i="2"/>
  <c r="AC33" i="2" a="1"/>
  <c r="AB33" i="2" a="1"/>
  <c r="AB33" i="2" s="1"/>
  <c r="AA33" i="2"/>
  <c r="AA33" i="2" a="1"/>
  <c r="Z33" i="2" a="1"/>
  <c r="Z33" i="2" s="1"/>
  <c r="Y33" i="2" a="1"/>
  <c r="Y33" i="2" s="1"/>
  <c r="X33" i="2" a="1"/>
  <c r="X33" i="2" s="1"/>
  <c r="W33" i="2" a="1"/>
  <c r="W33" i="2" s="1"/>
  <c r="V33" i="2" a="1"/>
  <c r="V33" i="2" s="1"/>
  <c r="AJ30" i="2"/>
  <c r="AJ30" i="2" a="1"/>
  <c r="AI30" i="2" a="1"/>
  <c r="AI30" i="2" s="1"/>
  <c r="AH30" i="2" a="1"/>
  <c r="AH30" i="2" s="1"/>
  <c r="AG30" i="2" a="1"/>
  <c r="AG30" i="2" s="1"/>
  <c r="AF30" i="2" a="1"/>
  <c r="AF30" i="2" s="1"/>
  <c r="AE30" i="2" a="1"/>
  <c r="AE30" i="2" s="1"/>
  <c r="AD30" i="2"/>
  <c r="AD30" i="2" a="1"/>
  <c r="AC30" i="2" a="1"/>
  <c r="AC30" i="2" s="1"/>
  <c r="AB30" i="2" a="1"/>
  <c r="AB30" i="2" s="1"/>
  <c r="AA30" i="2" a="1"/>
  <c r="AA30" i="2" s="1"/>
  <c r="Z30" i="2" a="1"/>
  <c r="Z30" i="2" s="1"/>
  <c r="Y30" i="2" a="1"/>
  <c r="Y30" i="2" s="1"/>
  <c r="X30" i="2"/>
  <c r="X30" i="2" a="1"/>
  <c r="W30" i="2" a="1"/>
  <c r="W30" i="2" s="1"/>
  <c r="V30" i="2" a="1"/>
  <c r="V30" i="2" s="1"/>
  <c r="AJ27" i="2"/>
  <c r="AJ27" i="2" a="1"/>
  <c r="AI27" i="2" a="1"/>
  <c r="AI27" i="2" s="1"/>
  <c r="AH27" i="2" a="1"/>
  <c r="AH27" i="2" s="1"/>
  <c r="AG27" i="2" a="1"/>
  <c r="AG27" i="2" s="1"/>
  <c r="AF27" i="2" a="1"/>
  <c r="AF27" i="2" s="1"/>
  <c r="AE27" i="2" a="1"/>
  <c r="AE27" i="2" s="1"/>
  <c r="AD27" i="2" a="1"/>
  <c r="AD27" i="2" s="1"/>
  <c r="AC27" i="2"/>
  <c r="AC27" i="2" a="1"/>
  <c r="AB27" i="2" a="1"/>
  <c r="AB27" i="2" s="1"/>
  <c r="AA27" i="2" a="1"/>
  <c r="AA27" i="2" s="1"/>
  <c r="Z27" i="2" a="1"/>
  <c r="Z27" i="2" s="1"/>
  <c r="Y27" i="2" a="1"/>
  <c r="Y27" i="2" s="1"/>
  <c r="X27" i="2" a="1"/>
  <c r="X27" i="2" s="1"/>
  <c r="W27" i="2" a="1"/>
  <c r="W27" i="2" s="1"/>
  <c r="V27" i="2" a="1"/>
  <c r="V27" i="2" s="1"/>
  <c r="AJ24" i="2" a="1"/>
  <c r="AJ24" i="2" s="1"/>
  <c r="AI24" i="2" a="1"/>
  <c r="AI24" i="2" s="1"/>
  <c r="AH24" i="2" a="1"/>
  <c r="AH24" i="2" s="1"/>
  <c r="AG24" i="2" a="1"/>
  <c r="AG24" i="2" s="1"/>
  <c r="AF24" i="2" a="1"/>
  <c r="AF24" i="2" s="1"/>
  <c r="AE24" i="2" a="1"/>
  <c r="AE24" i="2" s="1"/>
  <c r="AD24" i="2" a="1"/>
  <c r="AD24" i="2" s="1"/>
  <c r="AC24" i="2" a="1"/>
  <c r="AC24" i="2" s="1"/>
  <c r="AB24" i="2" a="1"/>
  <c r="AB24" i="2" s="1"/>
  <c r="AA24" i="2" a="1"/>
  <c r="AA24" i="2" s="1"/>
  <c r="Z24" i="2"/>
  <c r="Z24" i="2" a="1"/>
  <c r="Y24" i="2" a="1"/>
  <c r="Y24" i="2" s="1"/>
  <c r="X24" i="2" a="1"/>
  <c r="X24" i="2" s="1"/>
  <c r="W24" i="2" a="1"/>
  <c r="W24" i="2" s="1"/>
  <c r="V24" i="2" a="1"/>
  <c r="V24" i="2" s="1"/>
  <c r="AJ21" i="2" a="1"/>
  <c r="AJ21" i="2" s="1"/>
  <c r="AI21" i="2" a="1"/>
  <c r="AI21" i="2" s="1"/>
  <c r="AH21" i="2" a="1"/>
  <c r="AH21" i="2" s="1"/>
  <c r="AG21" i="2" a="1"/>
  <c r="AG21" i="2" s="1"/>
  <c r="AF21" i="2" a="1"/>
  <c r="AF21" i="2" s="1"/>
  <c r="AE21" i="2" a="1"/>
  <c r="AE21" i="2" s="1"/>
  <c r="AD21" i="2" a="1"/>
  <c r="AD21" i="2" s="1"/>
  <c r="AC21" i="2" a="1"/>
  <c r="AC21" i="2" s="1"/>
  <c r="AB21" i="2" a="1"/>
  <c r="AB21" i="2" s="1"/>
  <c r="AA21" i="2" a="1"/>
  <c r="AA21" i="2" s="1"/>
  <c r="Z21" i="2" a="1"/>
  <c r="Z21" i="2" s="1"/>
  <c r="Y21" i="2" a="1"/>
  <c r="Y21" i="2" s="1"/>
  <c r="X21" i="2" a="1"/>
  <c r="X21" i="2" s="1"/>
  <c r="W21" i="2" a="1"/>
  <c r="W21" i="2" s="1"/>
  <c r="V21" i="2" a="1"/>
  <c r="V21" i="2" s="1"/>
  <c r="AJ18" i="2" a="1"/>
  <c r="AJ18" i="2" s="1"/>
  <c r="AI18" i="2" a="1"/>
  <c r="AI18" i="2" s="1"/>
  <c r="AH18" i="2" a="1"/>
  <c r="AH18" i="2" s="1"/>
  <c r="AG18" i="2" a="1"/>
  <c r="AG18" i="2" s="1"/>
  <c r="AF18" i="2" a="1"/>
  <c r="AF18" i="2" s="1"/>
  <c r="AE18" i="2" a="1"/>
  <c r="AE18" i="2" s="1"/>
  <c r="AD18" i="2" a="1"/>
  <c r="AD18" i="2" s="1"/>
  <c r="AC18" i="2" a="1"/>
  <c r="AC18" i="2" s="1"/>
  <c r="AB18" i="2" a="1"/>
  <c r="AB18" i="2" s="1"/>
  <c r="AA18" i="2" a="1"/>
  <c r="AA18" i="2" s="1"/>
  <c r="Z18" i="2" a="1"/>
  <c r="Z18" i="2" s="1"/>
  <c r="Y18" i="2" a="1"/>
  <c r="Y18" i="2" s="1"/>
  <c r="X18" i="2" a="1"/>
  <c r="X18" i="2" s="1"/>
  <c r="W18" i="2" a="1"/>
  <c r="W18" i="2" s="1"/>
  <c r="V18" i="2" a="1"/>
  <c r="V18" i="2" s="1"/>
  <c r="AJ15" i="2" a="1"/>
  <c r="AJ15" i="2" s="1"/>
  <c r="AI15" i="2" a="1"/>
  <c r="AI15" i="2" s="1"/>
  <c r="AH15" i="2" a="1"/>
  <c r="AH15" i="2" s="1"/>
  <c r="AG15" i="2" a="1"/>
  <c r="AG15" i="2" s="1"/>
  <c r="AF15" i="2" a="1"/>
  <c r="AF15" i="2" s="1"/>
  <c r="AE15" i="2" a="1"/>
  <c r="AE15" i="2" s="1"/>
  <c r="AD15" i="2" a="1"/>
  <c r="AD15" i="2" s="1"/>
  <c r="AC15" i="2" a="1"/>
  <c r="AC15" i="2" s="1"/>
  <c r="AB15" i="2" a="1"/>
  <c r="AB15" i="2" s="1"/>
  <c r="AA15" i="2" a="1"/>
  <c r="AA15" i="2" s="1"/>
  <c r="Z15" i="2" a="1"/>
  <c r="Z15" i="2" s="1"/>
  <c r="Y15" i="2" a="1"/>
  <c r="Y15" i="2" s="1"/>
  <c r="X15" i="2" a="1"/>
  <c r="X15" i="2" s="1"/>
  <c r="W15" i="2" a="1"/>
  <c r="W15" i="2" s="1"/>
  <c r="V15" i="2" a="1"/>
  <c r="V15" i="2" s="1"/>
  <c r="AJ12" i="2" a="1"/>
  <c r="AJ12" i="2" s="1"/>
  <c r="AI12" i="2" a="1"/>
  <c r="AI12" i="2" s="1"/>
  <c r="AH12" i="2" a="1"/>
  <c r="AH12" i="2" s="1"/>
  <c r="AG12" i="2" a="1"/>
  <c r="AG12" i="2" s="1"/>
  <c r="AF12" i="2" a="1"/>
  <c r="AF12" i="2" s="1"/>
  <c r="AE12" i="2" a="1"/>
  <c r="AE12" i="2" s="1"/>
  <c r="AD12" i="2" a="1"/>
  <c r="AD12" i="2" s="1"/>
  <c r="AC12" i="2" a="1"/>
  <c r="AC12" i="2" s="1"/>
  <c r="AB12" i="2" a="1"/>
  <c r="AB12" i="2" s="1"/>
  <c r="AA12" i="2" a="1"/>
  <c r="AA12" i="2" s="1"/>
  <c r="Z12" i="2" a="1"/>
  <c r="Z12" i="2" s="1"/>
  <c r="Y12" i="2" a="1"/>
  <c r="Y12" i="2" s="1"/>
  <c r="X12" i="2" a="1"/>
  <c r="X12" i="2" s="1"/>
  <c r="W12" i="2" a="1"/>
  <c r="W12" i="2" s="1"/>
  <c r="V12" i="2" a="1"/>
  <c r="V12" i="2" s="1"/>
  <c r="AJ9" i="2" a="1"/>
  <c r="AJ9" i="2" s="1"/>
  <c r="AI9" i="2" a="1"/>
  <c r="AI9" i="2" s="1"/>
  <c r="AH9" i="2" a="1"/>
  <c r="AH9" i="2" s="1"/>
  <c r="AG9" i="2" a="1"/>
  <c r="AG9" i="2" s="1"/>
  <c r="AF9" i="2" a="1"/>
  <c r="AF9" i="2" s="1"/>
  <c r="AE9" i="2" a="1"/>
  <c r="AE9" i="2" s="1"/>
  <c r="AD9" i="2" a="1"/>
  <c r="AD9" i="2" s="1"/>
  <c r="AC9" i="2" a="1"/>
  <c r="AC9" i="2" s="1"/>
  <c r="AB9" i="2" a="1"/>
  <c r="AB9" i="2" s="1"/>
  <c r="AA9" i="2" a="1"/>
  <c r="AA9" i="2" s="1"/>
  <c r="Z9" i="2" a="1"/>
  <c r="Z9" i="2" s="1"/>
  <c r="Y9" i="2" a="1"/>
  <c r="Y9" i="2" s="1"/>
  <c r="X9" i="2" a="1"/>
  <c r="X9" i="2" s="1"/>
  <c r="W9" i="2" a="1"/>
  <c r="W9" i="2" s="1"/>
  <c r="V9" i="2" a="1"/>
  <c r="V9" i="2" s="1"/>
  <c r="AJ3" i="2" a="1"/>
  <c r="AJ3" i="2" s="1"/>
  <c r="AI3" i="2" a="1"/>
  <c r="AI3" i="2" s="1"/>
  <c r="AH3" i="2" a="1"/>
  <c r="AH3" i="2" s="1"/>
  <c r="AG3" i="2" a="1"/>
  <c r="AG3" i="2" s="1"/>
  <c r="AF3" i="2" a="1"/>
  <c r="AF3" i="2" s="1"/>
  <c r="AE3" i="2" a="1"/>
  <c r="AE3" i="2" s="1"/>
  <c r="AD3" i="2" a="1"/>
  <c r="AD3" i="2" s="1"/>
  <c r="AC3" i="2" a="1"/>
  <c r="AC3" i="2" s="1"/>
  <c r="AB3" i="2" a="1"/>
  <c r="AB3" i="2" s="1"/>
  <c r="AA3" i="2" a="1"/>
  <c r="AA3" i="2" s="1"/>
  <c r="Z3" i="2" a="1"/>
  <c r="Z3" i="2" s="1"/>
  <c r="Y3" i="2" a="1"/>
  <c r="Y3" i="2" s="1"/>
  <c r="X3" i="2" a="1"/>
  <c r="X3" i="2" s="1"/>
  <c r="W3" i="2" a="1"/>
  <c r="W3" i="2" s="1"/>
  <c r="V3" i="2" a="1"/>
  <c r="V3" i="2" s="1"/>
  <c r="W2" i="2" l="1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V2" i="2"/>
  <c r="R95" i="2" l="1"/>
  <c r="R96" i="2" s="1"/>
  <c r="Q95" i="2"/>
  <c r="Q96" i="2" s="1"/>
  <c r="P95" i="2"/>
  <c r="P96" i="2" s="1"/>
  <c r="H95" i="2"/>
  <c r="I95" i="2" l="1"/>
  <c r="K95" i="2"/>
  <c r="H93" i="2"/>
  <c r="L93" i="2"/>
  <c r="I93" i="2"/>
  <c r="Q93" i="2"/>
  <c r="J95" i="2"/>
  <c r="R93" i="2"/>
  <c r="D95" i="2"/>
  <c r="E93" i="2"/>
  <c r="F93" i="2"/>
  <c r="N93" i="2"/>
  <c r="P93" i="2"/>
  <c r="M93" i="2"/>
  <c r="G93" i="2"/>
  <c r="O93" i="2"/>
  <c r="L95" i="2"/>
  <c r="K93" i="2"/>
  <c r="M95" i="2"/>
  <c r="D93" i="2"/>
  <c r="F95" i="2"/>
  <c r="N95" i="2"/>
  <c r="N96" i="2" s="1"/>
  <c r="J93" i="2"/>
  <c r="E95" i="2"/>
  <c r="I96" i="2" s="1"/>
  <c r="G95" i="2"/>
  <c r="O95" i="2"/>
  <c r="O96" i="2" s="1"/>
  <c r="J94" i="2" l="1"/>
  <c r="F96" i="2"/>
  <c r="L94" i="2"/>
  <c r="G94" i="2"/>
  <c r="K96" i="2"/>
  <c r="Q94" i="2"/>
  <c r="M96" i="2"/>
  <c r="F94" i="2"/>
  <c r="D94" i="2"/>
  <c r="D96" i="2"/>
  <c r="J96" i="2"/>
  <c r="E94" i="2"/>
  <c r="H96" i="2"/>
  <c r="N94" i="2"/>
  <c r="I94" i="2"/>
  <c r="G96" i="2"/>
  <c r="L96" i="2"/>
  <c r="P94" i="2"/>
  <c r="M94" i="2"/>
  <c r="K94" i="2"/>
  <c r="E96" i="2"/>
  <c r="O94" i="2"/>
  <c r="R94" i="2"/>
  <c r="H9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<sst xmlns="http://schemas.openxmlformats.org/spreadsheetml/2006/main" count="558" uniqueCount="358">
  <si>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</si>
  <si>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</si>
  <si>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</si>
  <si>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</si>
  <si>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</si>
  <si>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</si>
  <si>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</si>
  <si>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</si>
  <si>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</si>
  <si>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</si>
  <si>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</si>
  <si>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</si>
  <si>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</si>
  <si>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</si>
  <si>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</si>
  <si>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</si>
  <si>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</si>
  <si>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</si>
  <si>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</si>
  <si>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</si>
  <si>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</si>
  <si>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</si>
  <si>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</si>
  <si>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</si>
  <si>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</si>
  <si>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</si>
  <si>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</si>
  <si>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</si>
  <si>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</si>
  <si>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</si>
  <si>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</si>
  <si>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</si>
  <si>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Unimodal
Functions</t>
  </si>
  <si>
    <t>Simple
Multimodal
Functions</t>
  </si>
  <si>
    <t>Composition
Functions</t>
  </si>
  <si>
    <t>Functions</t>
  </si>
  <si>
    <t>Column1</t>
  </si>
  <si>
    <t>Column2</t>
  </si>
  <si>
    <t>Hybrid
Function</t>
  </si>
  <si>
    <t>Total number of 
best answers</t>
  </si>
  <si>
    <t>Rank by total number of 
best answers</t>
  </si>
  <si>
    <t>Average rating in the set</t>
  </si>
  <si>
    <t>Rank based on 
the average in the set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</si>
  <si>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</si>
  <si>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</si>
  <si>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</si>
  <si>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</si>
  <si>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</si>
  <si>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</si>
  <si>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</si>
  <si>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</si>
  <si>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</si>
  <si>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</si>
  <si>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</si>
  <si>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</si>
  <si>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</si>
  <si>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</si>
  <si>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</si>
  <si>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</si>
  <si>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</si>
  <si>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</si>
  <si>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</si>
  <si>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</si>
  <si>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</si>
  <si>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</si>
  <si>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</si>
  <si>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</si>
  <si>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</si>
  <si>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</si>
  <si>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</si>
  <si>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</si>
  <si>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</si>
  <si>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</si>
  <si>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</si>
  <si>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</si>
  <si>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</si>
  <si>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</si>
  <si>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</si>
  <si>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</si>
  <si>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</si>
  <si>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</si>
  <si>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</si>
  <si>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</si>
  <si>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</si>
  <si>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</si>
  <si>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</si>
  <si>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</si>
  <si>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</si>
  <si>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</si>
  <si>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</si>
  <si>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</si>
  <si>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</si>
  <si>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</si>
  <si>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</si>
  <si>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</si>
  <si>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</si>
  <si>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</si>
  <si>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</si>
  <si>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</si>
  <si>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</si>
  <si>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</si>
  <si>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</si>
  <si>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</si>
  <si>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</si>
  <si>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</si>
  <si>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</si>
  <si>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</si>
  <si>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</si>
  <si>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</si>
  <si>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</si>
  <si>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</si>
  <si>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</si>
  <si>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</si>
  <si>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</si>
  <si>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</si>
  <si>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</si>
  <si>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</si>
  <si>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</si>
  <si>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</si>
  <si>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</si>
  <si>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</si>
  <si>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</si>
  <si>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</si>
  <si>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</si>
  <si>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</si>
  <si>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</si>
  <si>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</si>
  <si>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</si>
  <si>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</si>
  <si>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</si>
  <si>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</si>
  <si>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</si>
  <si>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</si>
  <si>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</si>
  <si>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</si>
  <si>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</si>
  <si>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</si>
  <si>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</si>
  <si>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</si>
  <si>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</si>
  <si>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</si>
  <si>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</si>
  <si>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</si>
  <si>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</si>
  <si>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</si>
  <si>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</si>
  <si>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</si>
  <si>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</si>
  <si>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</si>
  <si>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</si>
  <si>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</si>
  <si>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</si>
  <si>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</si>
  <si>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</si>
  <si>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</si>
  <si>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</si>
  <si>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</si>
  <si>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</si>
  <si>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</si>
  <si>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</si>
  <si>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</si>
  <si>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</si>
  <si>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</si>
  <si>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</si>
  <si>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</si>
  <si>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</si>
  <si>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</si>
  <si>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</si>
  <si>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</si>
  <si>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</si>
  <si>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</si>
  <si>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</si>
  <si>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</si>
  <si>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</si>
  <si>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</si>
  <si>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</si>
  <si>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</si>
  <si>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</si>
  <si>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</si>
  <si>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</si>
  <si>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</si>
  <si>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</si>
  <si>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</si>
  <si>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</si>
  <si>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</si>
  <si>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</si>
  <si>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</si>
  <si>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</si>
  <si>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</si>
  <si>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</si>
  <si>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</si>
  <si>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</si>
  <si>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</si>
  <si>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</si>
  <si>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</si>
  <si>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</si>
  <si>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</si>
  <si>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</si>
  <si>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</si>
  <si>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</si>
  <si>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</si>
  <si>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</si>
  <si>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</si>
  <si>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</si>
  <si>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</si>
  <si>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</si>
  <si>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</si>
  <si>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</si>
  <si>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</si>
  <si>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</si>
  <si>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</si>
  <si>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</si>
  <si>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</si>
  <si>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</si>
  <si>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</si>
  <si>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</si>
  <si>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</si>
  <si>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</si>
  <si>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</si>
  <si>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</si>
  <si>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</si>
  <si>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</si>
  <si>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</si>
  <si>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</si>
  <si>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</si>
  <si>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</si>
  <si>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</si>
  <si>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</si>
  <si>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</si>
  <si>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</si>
  <si>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</si>
  <si>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</si>
  <si>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</si>
  <si>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</si>
  <si>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</si>
  <si>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</si>
  <si>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</si>
  <si>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</si>
  <si>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</si>
  <si>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</si>
  <si>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</si>
  <si>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</si>
  <si>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</si>
  <si>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</si>
  <si>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</si>
  <si>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</si>
  <si>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</si>
  <si>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</si>
  <si>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</si>
  <si>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</si>
  <si>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</si>
  <si>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</si>
  <si>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</si>
  <si>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</si>
  <si>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</si>
  <si>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</si>
  <si>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</si>
  <si>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</si>
  <si>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</si>
  <si>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</si>
  <si>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</si>
  <si>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</si>
  <si>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</si>
  <si>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</si>
  <si>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</si>
  <si>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</si>
  <si>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</si>
  <si>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</si>
  <si>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</si>
  <si>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</si>
  <si>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</si>
  <si>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</si>
  <si>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</si>
  <si>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</si>
  <si>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</si>
  <si>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</si>
  <si>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</si>
  <si>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</si>
  <si>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</si>
  <si>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</si>
  <si>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</si>
  <si>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</si>
  <si>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</si>
  <si>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</si>
  <si>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</si>
  <si>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</si>
  <si>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</si>
  <si>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</si>
  <si>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</si>
  <si>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</si>
  <si>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</si>
  <si>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</si>
  <si>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</si>
  <si>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</si>
  <si>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</si>
  <si>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</si>
  <si>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</si>
  <si>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</si>
  <si>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</si>
  <si>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</si>
  <si>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</si>
  <si>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</si>
  <si>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</si>
  <si>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</si>
  <si>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</si>
  <si>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</si>
  <si>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</si>
  <si>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</si>
  <si>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</si>
  <si>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</si>
  <si>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</si>
  <si>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</si>
  <si>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</si>
  <si>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</si>
  <si>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</si>
  <si>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</si>
  <si>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</si>
  <si>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</si>
  <si>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</si>
  <si>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</si>
  <si>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</si>
  <si>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</si>
  <si>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</si>
  <si>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</si>
  <si>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</si>
  <si>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</si>
  <si>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</si>
  <si>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</si>
  <si>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</si>
  <si>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</si>
  <si>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</si>
  <si>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</si>
  <si>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</si>
  <si>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</si>
  <si>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</si>
  <si>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</si>
  <si>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</si>
  <si>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</si>
  <si>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</si>
  <si>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</si>
  <si>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</si>
  <si>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</si>
  <si>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</si>
  <si>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</si>
  <si>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</si>
  <si>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</si>
  <si>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</si>
  <si>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</si>
  <si>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</si>
  <si>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</si>
  <si>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</si>
  <si>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</si>
  <si>
    <t>Comparison of optimization results for the CEC benchmark functions 2017 (10 Dim)</t>
  </si>
  <si>
    <t>P-value of the T-test analysis for the CEC benchmark functions 2017 (10 Dim)</t>
  </si>
  <si>
    <t>H-value of the T-test analysis for the CEC benchmark functions 2017 (10 Dim)</t>
  </si>
  <si>
    <t>P-value of the Wilcoxon analysis for the CEC benchmark functions 2017 (10 Dim)</t>
  </si>
  <si>
    <t>H-value of the Wilcoxon analysis for the CEC benchmark functions 2017 (10 Dim)</t>
  </si>
  <si>
    <t>State of the Wilcoxon analysis for the CEC benchmark functions 2017 (10 Dim)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</si>
</sst>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 applyAlignment="1">
      <alignment horizontal="left" vertical="top"/>
    </xf>
    <xf numFmtId="11" fontId="0" fillId="0" borderId="2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4" fontId="0" fillId="0" borderId="3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1" fontId="0" fillId="0" borderId="3" xfId="0" applyNumberFormat="1" applyBorder="1" applyAlignment="1">
      <alignment horizontal="left" vertical="top"/>
    </xf>
    <xf numFmtId="0" fontId="0" fillId="0" borderId="3" xfId="0" applyBorder="1"/>
    <xf numFmtId="0" fontId="0" fillId="0" borderId="2" xfId="0" applyBorder="1"/>
    <xf numFmtId="2" fontId="0" fillId="0" borderId="4" xfId="0" applyNumberForma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0" borderId="4" xfId="0" applyBorder="1"/>
    <xf numFmtId="1" fontId="0" fillId="0" borderId="2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" fontId="0" fillId="0" borderId="3" xfId="0" applyNumberForma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1" fontId="2" fillId="0" borderId="1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69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S2:T92" totalsRowShown="0" headerRowDxfId="0" dataDxfId="1" tableBorderDxfId="68">
  <autoFilter ref="S2:T92" xr:uid="{00000000-0009-0000-0100-000001000000}"/>
  <tableColumns count="2">
    <tableColumn id="1" xr3:uid="{00000000-0010-0000-0000-000001000000}" name="Column1" dataDxfId="3"/>
    <tableColumn id="2" xr3:uid="{00000000-0010-0000-0000-000002000000}" name="Column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6"/>
  <sheetViews>
    <sheetView tabSelected="1" zoomScaleNormal="100" workbookViewId="0">
      <selection activeCell="G8" sqref="G8"/>
    </sheetView>
  </sheetViews>
  <sheetFormatPr defaultColWidth="8.85546875" defaultRowHeight="15" x14ac:dyDescent="0.25"/>
  <cols>
    <col min="1" max="1" width="11.28515625" style="5" bestFit="1" customWidth="1"/>
    <col min="2" max="2" width="4" style="5" bestFit="1" customWidth="1"/>
    <col min="3" max="3" width="6" style="5" bestFit="1" customWidth="1"/>
    <col min="4" max="12" width="11.28515625" style="5" bestFit="1" customWidth="1"/>
    <col min="13" max="18" width="12.28515625" style="5" bestFit="1" customWidth="1"/>
    <col min="19" max="20" width="11.140625" style="5" bestFit="1" customWidth="1"/>
    <col min="21" max="21" width="8.85546875" style="5"/>
    <col min="22" max="30" width="11.28515625" bestFit="1" customWidth="1"/>
    <col min="31" max="32" width="12.28515625" bestFit="1" customWidth="1"/>
    <col min="33" max="36" width="12.28515625" style="5" bestFit="1" customWidth="1"/>
    <col min="37" max="16384" width="8.85546875" style="5"/>
  </cols>
  <sheetData>
    <row r="1" spans="1:36" ht="15.75" thickBot="1" x14ac:dyDescent="0.3">
      <c r="A1" s="21" t="s">
        <v>352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36" x14ac:dyDescent="0.25">
      <c r="A2" s="12" t="s">
        <v>35</v>
      </c>
      <c r="B2" s="12"/>
      <c r="C2" s="12"/>
      <c r="D2" s="12" t="s">
        <v>43</v>
      </c>
      <c r="E2" s="12" t="s">
        <v>44</v>
      </c>
      <c r="F2" s="12" t="s">
        <v>45</v>
      </c>
      <c r="G2" s="12" t="s">
        <v>46</v>
      </c>
      <c r="H2" s="12" t="s">
        <v>47</v>
      </c>
      <c r="I2" s="12" t="s">
        <v>48</v>
      </c>
      <c r="J2" s="12" t="s">
        <v>49</v>
      </c>
      <c r="K2" s="12" t="s">
        <v>50</v>
      </c>
      <c r="L2" s="12" t="s">
        <v>51</v>
      </c>
      <c r="M2" s="12" t="s">
        <v>52</v>
      </c>
      <c r="N2" s="12" t="s">
        <v>53</v>
      </c>
      <c r="O2" s="12" t="s">
        <v>54</v>
      </c>
      <c r="P2" s="12" t="s">
        <v>55</v>
      </c>
      <c r="Q2" s="12" t="s">
        <v>56</v>
      </c>
      <c r="R2" s="12" t="s">
        <v>57</v>
      </c>
      <c r="S2" s="18" t="s">
        <v>36</v>
      </c>
      <c r="T2" s="18" t="s">
        <v>37</v>
      </c>
      <c r="V2" s="12" t="str">
        <f>D2</f>
        <v>Algorithm 1</v>
      </c>
      <c r="W2" s="12" t="str">
        <f t="shared" ref="W2:AJ2" si="0">E2</f>
        <v>Algorithm 2</v>
      </c>
      <c r="X2" s="12" t="str">
        <f t="shared" si="0"/>
        <v>Algorithm 3</v>
      </c>
      <c r="Y2" s="12" t="str">
        <f t="shared" si="0"/>
        <v>Algorithm 4</v>
      </c>
      <c r="Z2" s="12" t="str">
        <f t="shared" si="0"/>
        <v>Algorithm 5</v>
      </c>
      <c r="AA2" s="12" t="str">
        <f t="shared" si="0"/>
        <v>Algorithm 6</v>
      </c>
      <c r="AB2" s="12" t="str">
        <f t="shared" si="0"/>
        <v>Algorithm 7</v>
      </c>
      <c r="AC2" s="12" t="str">
        <f t="shared" si="0"/>
        <v>Algorithm 8</v>
      </c>
      <c r="AD2" s="12" t="str">
        <f t="shared" si="0"/>
        <v>Algorithm 9</v>
      </c>
      <c r="AE2" s="12" t="str">
        <f t="shared" si="0"/>
        <v>Algorithm 10</v>
      </c>
      <c r="AF2" s="12" t="str">
        <f t="shared" si="0"/>
        <v>Algorithm 11</v>
      </c>
      <c r="AG2" s="12" t="str">
        <f t="shared" si="0"/>
        <v>Algorithm 12</v>
      </c>
      <c r="AH2" s="12" t="str">
        <f t="shared" si="0"/>
        <v>Algorithm 13</v>
      </c>
      <c r="AI2" s="12" t="str">
        <f t="shared" si="0"/>
        <v>Algorithm 14</v>
      </c>
      <c r="AJ2" s="12" t="str">
        <f t="shared" si="0"/>
        <v>Algorithm 15</v>
      </c>
    </row>
    <row r="3" spans="1:36" ht="14.45" customHeight="1" x14ac:dyDescent="0.25">
      <c r="A3" s="27" t="s">
        <v>32</v>
      </c>
      <c r="B3" s="20" t="s">
        <v>58</v>
      </c>
      <c r="C3" s="20" t="s">
        <v>88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0" t="s">
        <v>0</v>
      </c>
      <c r="T3" s="20" t="s">
        <v>29</v>
      </c>
      <c r="V3" s="5" t="e" cm="1">
        <f t="array" ref="V3">SUMPRODUCT(--(ROUND($D3:$R3,2-INT(LOG10(ABS($D3:$R3))))&lt;ROUND(D3,2-INT(LOG10(ABS(D3))))))+1</f>
        <v>#NUM!</v>
      </c>
      <c r="W3" s="5" t="e" cm="1">
        <f t="array" ref="W3">SUMPRODUCT(--(ROUND($D3:$R3,2-INT(LOG10(ABS($D3:$R3))))&lt;ROUND(E3,2-INT(LOG10(ABS(E3))))))+1</f>
        <v>#NUM!</v>
      </c>
      <c r="X3" s="5" t="e" cm="1">
        <f t="array" ref="X3">SUMPRODUCT(--(ROUND($D3:$R3,2-INT(LOG10(ABS($D3:$R3))))&lt;ROUND(F3,2-INT(LOG10(ABS(F3))))))+1</f>
        <v>#NUM!</v>
      </c>
      <c r="Y3" s="5" t="e" cm="1">
        <f t="array" ref="Y3">SUMPRODUCT(--(ROUND($D3:$R3,2-INT(LOG10(ABS($D3:$R3))))&lt;ROUND(G3,2-INT(LOG10(ABS(G3))))))+1</f>
        <v>#NUM!</v>
      </c>
      <c r="Z3" s="5" t="e" cm="1">
        <f t="array" ref="Z3">SUMPRODUCT(--(ROUND($D3:$R3,2-INT(LOG10(ABS($D3:$R3))))&lt;ROUND(H3,2-INT(LOG10(ABS(H3))))))+1</f>
        <v>#NUM!</v>
      </c>
      <c r="AA3" s="5" t="e" cm="1">
        <f t="array" ref="AA3">SUMPRODUCT(--(ROUND($D3:$R3,2-INT(LOG10(ABS($D3:$R3))))&lt;ROUND(I3,2-INT(LOG10(ABS(I3))))))+1</f>
        <v>#NUM!</v>
      </c>
      <c r="AB3" s="5" t="e" cm="1">
        <f t="array" ref="AB3">SUMPRODUCT(--(ROUND($D3:$R3,2-INT(LOG10(ABS($D3:$R3))))&lt;ROUND(J3,2-INT(LOG10(ABS(J3))))))+1</f>
        <v>#NUM!</v>
      </c>
      <c r="AC3" s="5" t="e" cm="1">
        <f t="array" ref="AC3">SUMPRODUCT(--(ROUND($D3:$R3,2-INT(LOG10(ABS($D3:$R3))))&lt;ROUND(K3,2-INT(LOG10(ABS(K3))))))+1</f>
        <v>#NUM!</v>
      </c>
      <c r="AD3" s="5" t="e" cm="1">
        <f t="array" ref="AD3">SUMPRODUCT(--(ROUND($D3:$R3,2-INT(LOG10(ABS($D3:$R3))))&lt;ROUND(L3,2-INT(LOG10(ABS(L3))))))+1</f>
        <v>#NUM!</v>
      </c>
      <c r="AE3" s="5" t="e" cm="1">
        <f t="array" ref="AE3">SUMPRODUCT(--(ROUND($D3:$R3,2-INT(LOG10(ABS($D3:$R3))))&lt;ROUND(M3,2-INT(LOG10(ABS(M3))))))+1</f>
        <v>#NUM!</v>
      </c>
      <c r="AF3" s="5" t="e" cm="1">
        <f t="array" ref="AF3">SUMPRODUCT(--(ROUND($D3:$R3,2-INT(LOG10(ABS($D3:$R3))))&lt;ROUND(N3,2-INT(LOG10(ABS(N3))))))+1</f>
        <v>#NUM!</v>
      </c>
      <c r="AG3" s="5" t="e" cm="1">
        <f t="array" ref="AG3">SUMPRODUCT(--(ROUND($D3:$R3,2-INT(LOG10(ABS($D3:$R3))))&lt;ROUND(O3,2-INT(LOG10(ABS(O3))))))+1</f>
        <v>#NUM!</v>
      </c>
      <c r="AH3" s="5" t="e" cm="1">
        <f t="array" ref="AH3">SUMPRODUCT(--(ROUND($D3:$R3,2-INT(LOG10(ABS($D3:$R3))))&lt;ROUND(P3,2-INT(LOG10(ABS(P3))))))+1</f>
        <v>#NUM!</v>
      </c>
      <c r="AI3" s="5" t="e" cm="1">
        <f t="array" ref="AI3">SUMPRODUCT(--(ROUND($D3:$R3,2-INT(LOG10(ABS($D3:$R3))))&lt;ROUND(Q3,2-INT(LOG10(ABS(Q3))))))+1</f>
        <v>#NUM!</v>
      </c>
      <c r="AJ3" s="5" t="e" cm="1">
        <f t="array" ref="AJ3">SUMPRODUCT(--(ROUND($D3:$R3,2-INT(LOG10(ABS($D3:$R3))))&lt;ROUND(R3,2-INT(LOG10(ABS(R3))))))+1</f>
        <v>#NUM!</v>
      </c>
    </row>
    <row r="4" spans="1:36" x14ac:dyDescent="0.25">
      <c r="A4" s="22"/>
      <c r="B4" s="18" t="s">
        <v>58</v>
      </c>
      <c r="C4" s="18" t="s">
        <v>89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18"/>
      <c r="T4" s="18" t="s">
        <v>30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6" x14ac:dyDescent="0.25">
      <c r="A5" s="22"/>
      <c r="B5" s="19" t="s">
        <v>58</v>
      </c>
      <c r="C5" s="19" t="s">
        <v>90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19"/>
      <c r="T5" s="19" t="s">
        <v>31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6" x14ac:dyDescent="0.25">
      <c r="A6" s="17"/>
      <c r="B6" s="18" t="s">
        <v>59</v>
      </c>
      <c r="C6" s="18" t="s">
        <v>91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18"/>
      <c r="T6" s="18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6" x14ac:dyDescent="0.25">
      <c r="A7" s="17"/>
      <c r="B7" s="18" t="s">
        <v>59</v>
      </c>
      <c r="C7" s="18" t="s">
        <v>92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18"/>
      <c r="T7" s="18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6" x14ac:dyDescent="0.25">
      <c r="A8" s="17"/>
      <c r="B8" s="18" t="s">
        <v>59</v>
      </c>
      <c r="C8" s="18" t="s">
        <v>93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18"/>
      <c r="T8" s="18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6" x14ac:dyDescent="0.25">
      <c r="A9" s="27" t="s">
        <v>33</v>
      </c>
      <c r="B9" s="20" t="s">
        <v>60</v>
      </c>
      <c r="C9" s="20" t="s">
        <v>94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0" t="s">
        <v>1</v>
      </c>
      <c r="T9" s="20" t="s">
        <v>29</v>
      </c>
      <c r="V9" s="5" t="e" cm="1">
        <f t="array" ref="V9">SUMPRODUCT(--(ROUND($D9:$R9,2-INT(LOG10(ABS($D9:$R9))))&lt;ROUND(D9,2-INT(LOG10(ABS(D9))))))+1</f>
        <v>#NUM!</v>
      </c>
      <c r="W9" s="5" t="e" cm="1">
        <f t="array" ref="W9">SUMPRODUCT(--(ROUND($D9:$R9,2-INT(LOG10(ABS($D9:$R9))))&lt;ROUND(E9,2-INT(LOG10(ABS(E9))))))+1</f>
        <v>#NUM!</v>
      </c>
      <c r="X9" s="5" t="e" cm="1">
        <f t="array" ref="X9">SUMPRODUCT(--(ROUND($D9:$R9,2-INT(LOG10(ABS($D9:$R9))))&lt;ROUND(F9,2-INT(LOG10(ABS(F9))))))+1</f>
        <v>#NUM!</v>
      </c>
      <c r="Y9" s="5" t="e" cm="1">
        <f t="array" ref="Y9">SUMPRODUCT(--(ROUND($D9:$R9,2-INT(LOG10(ABS($D9:$R9))))&lt;ROUND(G9,2-INT(LOG10(ABS(G9))))))+1</f>
        <v>#NUM!</v>
      </c>
      <c r="Z9" s="5" t="e" cm="1">
        <f t="array" ref="Z9">SUMPRODUCT(--(ROUND($D9:$R9,2-INT(LOG10(ABS($D9:$R9))))&lt;ROUND(H9,2-INT(LOG10(ABS(H9))))))+1</f>
        <v>#NUM!</v>
      </c>
      <c r="AA9" s="5" t="e" cm="1">
        <f t="array" ref="AA9">SUMPRODUCT(--(ROUND($D9:$R9,2-INT(LOG10(ABS($D9:$R9))))&lt;ROUND(I9,2-INT(LOG10(ABS(I9))))))+1</f>
        <v>#NUM!</v>
      </c>
      <c r="AB9" s="5" t="e" cm="1">
        <f t="array" ref="AB9">SUMPRODUCT(--(ROUND($D9:$R9,2-INT(LOG10(ABS($D9:$R9))))&lt;ROUND(J9,2-INT(LOG10(ABS(J9))))))+1</f>
        <v>#NUM!</v>
      </c>
      <c r="AC9" s="5" t="e" cm="1">
        <f t="array" ref="AC9">SUMPRODUCT(--(ROUND($D9:$R9,2-INT(LOG10(ABS($D9:$R9))))&lt;ROUND(K9,2-INT(LOG10(ABS(K9))))))+1</f>
        <v>#NUM!</v>
      </c>
      <c r="AD9" s="5" t="e" cm="1">
        <f t="array" ref="AD9">SUMPRODUCT(--(ROUND($D9:$R9,2-INT(LOG10(ABS($D9:$R9))))&lt;ROUND(L9,2-INT(LOG10(ABS(L9))))))+1</f>
        <v>#NUM!</v>
      </c>
      <c r="AE9" s="5" t="e" cm="1">
        <f t="array" ref="AE9">SUMPRODUCT(--(ROUND($D9:$R9,2-INT(LOG10(ABS($D9:$R9))))&lt;ROUND(M9,2-INT(LOG10(ABS(M9))))))+1</f>
        <v>#NUM!</v>
      </c>
      <c r="AF9" s="5" t="e" cm="1">
        <f t="array" ref="AF9">SUMPRODUCT(--(ROUND($D9:$R9,2-INT(LOG10(ABS($D9:$R9))))&lt;ROUND(N9,2-INT(LOG10(ABS(N9))))))+1</f>
        <v>#NUM!</v>
      </c>
      <c r="AG9" s="5" t="e" cm="1">
        <f t="array" ref="AG9">SUMPRODUCT(--(ROUND($D9:$R9,2-INT(LOG10(ABS($D9:$R9))))&lt;ROUND(O9,2-INT(LOG10(ABS(O9))))))+1</f>
        <v>#NUM!</v>
      </c>
      <c r="AH9" s="5" t="e" cm="1">
        <f t="array" ref="AH9">SUMPRODUCT(--(ROUND($D9:$R9,2-INT(LOG10(ABS($D9:$R9))))&lt;ROUND(P9,2-INT(LOG10(ABS(P9))))))+1</f>
        <v>#NUM!</v>
      </c>
      <c r="AI9" s="5" t="e" cm="1">
        <f t="array" ref="AI9">SUMPRODUCT(--(ROUND($D9:$R9,2-INT(LOG10(ABS($D9:$R9))))&lt;ROUND(Q9,2-INT(LOG10(ABS(Q9))))))+1</f>
        <v>#NUM!</v>
      </c>
      <c r="AJ9" s="5" t="e" cm="1">
        <f t="array" ref="AJ9">SUMPRODUCT(--(ROUND($D9:$R9,2-INT(LOG10(ABS($D9:$R9))))&lt;ROUND(R9,2-INT(LOG10(ABS(R9))))))+1</f>
        <v>#NUM!</v>
      </c>
    </row>
    <row r="10" spans="1:36" x14ac:dyDescent="0.25">
      <c r="A10" s="22"/>
      <c r="B10" s="18" t="s">
        <v>60</v>
      </c>
      <c r="C10" s="18" t="s">
        <v>95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8"/>
      <c r="T10" s="18" t="s">
        <v>30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6" x14ac:dyDescent="0.25">
      <c r="A11" s="22"/>
      <c r="B11" s="19" t="s">
        <v>60</v>
      </c>
      <c r="C11" s="19" t="s">
        <v>96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19"/>
      <c r="T11" s="19" t="s">
        <v>31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6" ht="14.45" customHeight="1" x14ac:dyDescent="0.25">
      <c r="A12" s="22"/>
      <c r="B12" s="20" t="s">
        <v>61</v>
      </c>
      <c r="C12" s="20" t="s">
        <v>97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0" t="s">
        <v>2</v>
      </c>
      <c r="T12" s="20" t="s">
        <v>29</v>
      </c>
      <c r="V12" s="5" t="e" cm="1">
        <f t="array" ref="V12">SUMPRODUCT(--(ROUND($D12:$R12,2-INT(LOG10(ABS($D12:$R12))))&lt;ROUND(D12,2-INT(LOG10(ABS(D12))))))+1</f>
        <v>#NUM!</v>
      </c>
      <c r="W12" s="5" t="e" cm="1">
        <f t="array" ref="W12">SUMPRODUCT(--(ROUND($D12:$R12,2-INT(LOG10(ABS($D12:$R12))))&lt;ROUND(E12,2-INT(LOG10(ABS(E12))))))+1</f>
        <v>#NUM!</v>
      </c>
      <c r="X12" s="5" t="e" cm="1">
        <f t="array" ref="X12">SUMPRODUCT(--(ROUND($D12:$R12,2-INT(LOG10(ABS($D12:$R12))))&lt;ROUND(F12,2-INT(LOG10(ABS(F12))))))+1</f>
        <v>#NUM!</v>
      </c>
      <c r="Y12" s="5" t="e" cm="1">
        <f t="array" ref="Y12">SUMPRODUCT(--(ROUND($D12:$R12,2-INT(LOG10(ABS($D12:$R12))))&lt;ROUND(G12,2-INT(LOG10(ABS(G12))))))+1</f>
        <v>#NUM!</v>
      </c>
      <c r="Z12" s="5" t="e" cm="1">
        <f t="array" ref="Z12">SUMPRODUCT(--(ROUND($D12:$R12,2-INT(LOG10(ABS($D12:$R12))))&lt;ROUND(H12,2-INT(LOG10(ABS(H12))))))+1</f>
        <v>#NUM!</v>
      </c>
      <c r="AA12" s="5" t="e" cm="1">
        <f t="array" ref="AA12">SUMPRODUCT(--(ROUND($D12:$R12,2-INT(LOG10(ABS($D12:$R12))))&lt;ROUND(I12,2-INT(LOG10(ABS(I12))))))+1</f>
        <v>#NUM!</v>
      </c>
      <c r="AB12" s="5" t="e" cm="1">
        <f t="array" ref="AB12">SUMPRODUCT(--(ROUND($D12:$R12,2-INT(LOG10(ABS($D12:$R12))))&lt;ROUND(J12,2-INT(LOG10(ABS(J12))))))+1</f>
        <v>#NUM!</v>
      </c>
      <c r="AC12" s="5" t="e" cm="1">
        <f t="array" ref="AC12">SUMPRODUCT(--(ROUND($D12:$R12,2-INT(LOG10(ABS($D12:$R12))))&lt;ROUND(K12,2-INT(LOG10(ABS(K12))))))+1</f>
        <v>#NUM!</v>
      </c>
      <c r="AD12" s="5" t="e" cm="1">
        <f t="array" ref="AD12">SUMPRODUCT(--(ROUND($D12:$R12,2-INT(LOG10(ABS($D12:$R12))))&lt;ROUND(L12,2-INT(LOG10(ABS(L12))))))+1</f>
        <v>#NUM!</v>
      </c>
      <c r="AE12" s="5" t="e" cm="1">
        <f t="array" ref="AE12">SUMPRODUCT(--(ROUND($D12:$R12,2-INT(LOG10(ABS($D12:$R12))))&lt;ROUND(M12,2-INT(LOG10(ABS(M12))))))+1</f>
        <v>#NUM!</v>
      </c>
      <c r="AF12" s="5" t="e" cm="1">
        <f t="array" ref="AF12">SUMPRODUCT(--(ROUND($D12:$R12,2-INT(LOG10(ABS($D12:$R12))))&lt;ROUND(N12,2-INT(LOG10(ABS(N12))))))+1</f>
        <v>#NUM!</v>
      </c>
      <c r="AG12" s="5" t="e" cm="1">
        <f t="array" ref="AG12">SUMPRODUCT(--(ROUND($D12:$R12,2-INT(LOG10(ABS($D12:$R12))))&lt;ROUND(O12,2-INT(LOG10(ABS(O12))))))+1</f>
        <v>#NUM!</v>
      </c>
      <c r="AH12" s="5" t="e" cm="1">
        <f t="array" ref="AH12">SUMPRODUCT(--(ROUND($D12:$R12,2-INT(LOG10(ABS($D12:$R12))))&lt;ROUND(P12,2-INT(LOG10(ABS(P12))))))+1</f>
        <v>#NUM!</v>
      </c>
      <c r="AI12" s="5" t="e" cm="1">
        <f t="array" ref="AI12">SUMPRODUCT(--(ROUND($D12:$R12,2-INT(LOG10(ABS($D12:$R12))))&lt;ROUND(Q12,2-INT(LOG10(ABS(Q12))))))+1</f>
        <v>#NUM!</v>
      </c>
      <c r="AJ12" s="5" t="e" cm="1">
        <f t="array" ref="AJ12">SUMPRODUCT(--(ROUND($D12:$R12,2-INT(LOG10(ABS($D12:$R12))))&lt;ROUND(R12,2-INT(LOG10(ABS(R12))))))+1</f>
        <v>#NUM!</v>
      </c>
    </row>
    <row r="13" spans="1:36" x14ac:dyDescent="0.25">
      <c r="A13" s="22"/>
      <c r="B13" s="18" t="s">
        <v>61</v>
      </c>
      <c r="C13" s="18" t="s">
        <v>98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18"/>
      <c r="T13" s="18" t="s">
        <v>30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6" x14ac:dyDescent="0.25">
      <c r="A14" s="22"/>
      <c r="B14" s="19" t="s">
        <v>61</v>
      </c>
      <c r="C14" s="19" t="s">
        <v>99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19"/>
      <c r="T14" s="19" t="s">
        <v>31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6" x14ac:dyDescent="0.25">
      <c r="A15" s="22"/>
      <c r="B15" s="20" t="s">
        <v>62</v>
      </c>
      <c r="C15" s="20" t="s">
        <v>100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0" t="s">
        <v>3</v>
      </c>
      <c r="T15" s="20" t="s">
        <v>29</v>
      </c>
      <c r="V15" s="5" t="e" cm="1">
        <f t="array" ref="V15">SUMPRODUCT(--(ROUND($D15:$R15,2-INT(LOG10(ABS($D15:$R15))))&lt;ROUND(D15,2-INT(LOG10(ABS(D15))))))+1</f>
        <v>#NUM!</v>
      </c>
      <c r="W15" s="5" t="e" cm="1">
        <f t="array" ref="W15">SUMPRODUCT(--(ROUND($D15:$R15,2-INT(LOG10(ABS($D15:$R15))))&lt;ROUND(E15,2-INT(LOG10(ABS(E15))))))+1</f>
        <v>#NUM!</v>
      </c>
      <c r="X15" s="5" t="e" cm="1">
        <f t="array" ref="X15">SUMPRODUCT(--(ROUND($D15:$R15,2-INT(LOG10(ABS($D15:$R15))))&lt;ROUND(F15,2-INT(LOG10(ABS(F15))))))+1</f>
        <v>#NUM!</v>
      </c>
      <c r="Y15" s="5" t="e" cm="1">
        <f t="array" ref="Y15">SUMPRODUCT(--(ROUND($D15:$R15,2-INT(LOG10(ABS($D15:$R15))))&lt;ROUND(G15,2-INT(LOG10(ABS(G15))))))+1</f>
        <v>#NUM!</v>
      </c>
      <c r="Z15" s="5" t="e" cm="1">
        <f t="array" ref="Z15">SUMPRODUCT(--(ROUND($D15:$R15,2-INT(LOG10(ABS($D15:$R15))))&lt;ROUND(H15,2-INT(LOG10(ABS(H15))))))+1</f>
        <v>#NUM!</v>
      </c>
      <c r="AA15" s="5" t="e" cm="1">
        <f t="array" ref="AA15">SUMPRODUCT(--(ROUND($D15:$R15,2-INT(LOG10(ABS($D15:$R15))))&lt;ROUND(I15,2-INT(LOG10(ABS(I15))))))+1</f>
        <v>#NUM!</v>
      </c>
      <c r="AB15" s="5" t="e" cm="1">
        <f t="array" ref="AB15">SUMPRODUCT(--(ROUND($D15:$R15,2-INT(LOG10(ABS($D15:$R15))))&lt;ROUND(J15,2-INT(LOG10(ABS(J15))))))+1</f>
        <v>#NUM!</v>
      </c>
      <c r="AC15" s="5" t="e" cm="1">
        <f t="array" ref="AC15">SUMPRODUCT(--(ROUND($D15:$R15,2-INT(LOG10(ABS($D15:$R15))))&lt;ROUND(K15,2-INT(LOG10(ABS(K15))))))+1</f>
        <v>#NUM!</v>
      </c>
      <c r="AD15" s="5" t="e" cm="1">
        <f t="array" ref="AD15">SUMPRODUCT(--(ROUND($D15:$R15,2-INT(LOG10(ABS($D15:$R15))))&lt;ROUND(L15,2-INT(LOG10(ABS(L15))))))+1</f>
        <v>#NUM!</v>
      </c>
      <c r="AE15" s="5" t="e" cm="1">
        <f t="array" ref="AE15">SUMPRODUCT(--(ROUND($D15:$R15,2-INT(LOG10(ABS($D15:$R15))))&lt;ROUND(M15,2-INT(LOG10(ABS(M15))))))+1</f>
        <v>#NUM!</v>
      </c>
      <c r="AF15" s="5" t="e" cm="1">
        <f t="array" ref="AF15">SUMPRODUCT(--(ROUND($D15:$R15,2-INT(LOG10(ABS($D15:$R15))))&lt;ROUND(N15,2-INT(LOG10(ABS(N15))))))+1</f>
        <v>#NUM!</v>
      </c>
      <c r="AG15" s="5" t="e" cm="1">
        <f t="array" ref="AG15">SUMPRODUCT(--(ROUND($D15:$R15,2-INT(LOG10(ABS($D15:$R15))))&lt;ROUND(O15,2-INT(LOG10(ABS(O15))))))+1</f>
        <v>#NUM!</v>
      </c>
      <c r="AH15" s="5" t="e" cm="1">
        <f t="array" ref="AH15">SUMPRODUCT(--(ROUND($D15:$R15,2-INT(LOG10(ABS($D15:$R15))))&lt;ROUND(P15,2-INT(LOG10(ABS(P15))))))+1</f>
        <v>#NUM!</v>
      </c>
      <c r="AI15" s="5" t="e" cm="1">
        <f t="array" ref="AI15">SUMPRODUCT(--(ROUND($D15:$R15,2-INT(LOG10(ABS($D15:$R15))))&lt;ROUND(Q15,2-INT(LOG10(ABS(Q15))))))+1</f>
        <v>#NUM!</v>
      </c>
      <c r="AJ15" s="5" t="e" cm="1">
        <f t="array" ref="AJ15">SUMPRODUCT(--(ROUND($D15:$R15,2-INT(LOG10(ABS($D15:$R15))))&lt;ROUND(R15,2-INT(LOG10(ABS(R15))))))+1</f>
        <v>#NUM!</v>
      </c>
    </row>
    <row r="16" spans="1:36" x14ac:dyDescent="0.25">
      <c r="A16" s="22"/>
      <c r="B16" s="18" t="s">
        <v>62</v>
      </c>
      <c r="C16" s="18" t="s">
        <v>101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18"/>
      <c r="T16" s="18" t="s">
        <v>30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6" x14ac:dyDescent="0.25">
      <c r="A17" s="22"/>
      <c r="B17" s="19" t="s">
        <v>62</v>
      </c>
      <c r="C17" s="19" t="s">
        <v>102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19"/>
      <c r="T17" s="19" t="s">
        <v>31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6" x14ac:dyDescent="0.25">
      <c r="A18" s="22"/>
      <c r="B18" s="20" t="s">
        <v>63</v>
      </c>
      <c r="C18" s="20" t="s">
        <v>103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0" t="s">
        <v>4</v>
      </c>
      <c r="T18" s="20" t="s">
        <v>29</v>
      </c>
      <c r="V18" s="5" t="e" cm="1">
        <f t="array" ref="V18">SUMPRODUCT(--(ROUND($D18:$R18,2-INT(LOG10(ABS($D18:$R18))))&lt;ROUND(D18,2-INT(LOG10(ABS(D18))))))+1</f>
        <v>#NUM!</v>
      </c>
      <c r="W18" s="5" t="e" cm="1">
        <f t="array" ref="W18">SUMPRODUCT(--(ROUND($D18:$R18,2-INT(LOG10(ABS($D18:$R18))))&lt;ROUND(E18,2-INT(LOG10(ABS(E18))))))+1</f>
        <v>#NUM!</v>
      </c>
      <c r="X18" s="5" t="e" cm="1">
        <f t="array" ref="X18">SUMPRODUCT(--(ROUND($D18:$R18,2-INT(LOG10(ABS($D18:$R18))))&lt;ROUND(F18,2-INT(LOG10(ABS(F18))))))+1</f>
        <v>#NUM!</v>
      </c>
      <c r="Y18" s="5" t="e" cm="1">
        <f t="array" ref="Y18">SUMPRODUCT(--(ROUND($D18:$R18,2-INT(LOG10(ABS($D18:$R18))))&lt;ROUND(G18,2-INT(LOG10(ABS(G18))))))+1</f>
        <v>#NUM!</v>
      </c>
      <c r="Z18" s="5" t="e" cm="1">
        <f t="array" ref="Z18">SUMPRODUCT(--(ROUND($D18:$R18,2-INT(LOG10(ABS($D18:$R18))))&lt;ROUND(H18,2-INT(LOG10(ABS(H18))))))+1</f>
        <v>#NUM!</v>
      </c>
      <c r="AA18" s="5" t="e" cm="1">
        <f t="array" ref="AA18">SUMPRODUCT(--(ROUND($D18:$R18,2-INT(LOG10(ABS($D18:$R18))))&lt;ROUND(I18,2-INT(LOG10(ABS(I18))))))+1</f>
        <v>#NUM!</v>
      </c>
      <c r="AB18" s="5" t="e" cm="1">
        <f t="array" ref="AB18">SUMPRODUCT(--(ROUND($D18:$R18,2-INT(LOG10(ABS($D18:$R18))))&lt;ROUND(J18,2-INT(LOG10(ABS(J18))))))+1</f>
        <v>#NUM!</v>
      </c>
      <c r="AC18" s="5" t="e" cm="1">
        <f t="array" ref="AC18">SUMPRODUCT(--(ROUND($D18:$R18,2-INT(LOG10(ABS($D18:$R18))))&lt;ROUND(K18,2-INT(LOG10(ABS(K18))))))+1</f>
        <v>#NUM!</v>
      </c>
      <c r="AD18" s="5" t="e" cm="1">
        <f t="array" ref="AD18">SUMPRODUCT(--(ROUND($D18:$R18,2-INT(LOG10(ABS($D18:$R18))))&lt;ROUND(L18,2-INT(LOG10(ABS(L18))))))+1</f>
        <v>#NUM!</v>
      </c>
      <c r="AE18" s="5" t="e" cm="1">
        <f t="array" ref="AE18">SUMPRODUCT(--(ROUND($D18:$R18,2-INT(LOG10(ABS($D18:$R18))))&lt;ROUND(M18,2-INT(LOG10(ABS(M18))))))+1</f>
        <v>#NUM!</v>
      </c>
      <c r="AF18" s="5" t="e" cm="1">
        <f t="array" ref="AF18">SUMPRODUCT(--(ROUND($D18:$R18,2-INT(LOG10(ABS($D18:$R18))))&lt;ROUND(N18,2-INT(LOG10(ABS(N18))))))+1</f>
        <v>#NUM!</v>
      </c>
      <c r="AG18" s="5" t="e" cm="1">
        <f t="array" ref="AG18">SUMPRODUCT(--(ROUND($D18:$R18,2-INT(LOG10(ABS($D18:$R18))))&lt;ROUND(O18,2-INT(LOG10(ABS(O18))))))+1</f>
        <v>#NUM!</v>
      </c>
      <c r="AH18" s="5" t="e" cm="1">
        <f t="array" ref="AH18">SUMPRODUCT(--(ROUND($D18:$R18,2-INT(LOG10(ABS($D18:$R18))))&lt;ROUND(P18,2-INT(LOG10(ABS(P18))))))+1</f>
        <v>#NUM!</v>
      </c>
      <c r="AI18" s="5" t="e" cm="1">
        <f t="array" ref="AI18">SUMPRODUCT(--(ROUND($D18:$R18,2-INT(LOG10(ABS($D18:$R18))))&lt;ROUND(Q18,2-INT(LOG10(ABS(Q18))))))+1</f>
        <v>#NUM!</v>
      </c>
      <c r="AJ18" s="5" t="e" cm="1">
        <f t="array" ref="AJ18">SUMPRODUCT(--(ROUND($D18:$R18,2-INT(LOG10(ABS($D18:$R18))))&lt;ROUND(R18,2-INT(LOG10(ABS(R18))))))+1</f>
        <v>#NUM!</v>
      </c>
    </row>
    <row r="19" spans="1:36" x14ac:dyDescent="0.25">
      <c r="A19" s="22"/>
      <c r="B19" s="18" t="s">
        <v>63</v>
      </c>
      <c r="C19" s="18" t="s">
        <v>104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18"/>
      <c r="T19" s="18" t="s">
        <v>30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6" x14ac:dyDescent="0.25">
      <c r="A20" s="22"/>
      <c r="B20" s="19" t="s">
        <v>63</v>
      </c>
      <c r="C20" s="19" t="s">
        <v>105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19"/>
      <c r="T20" s="19" t="s">
        <v>31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6" x14ac:dyDescent="0.25">
      <c r="A21" s="22"/>
      <c r="B21" s="20" t="s">
        <v>64</v>
      </c>
      <c r="C21" s="20" t="s">
        <v>106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0" t="s">
        <v>5</v>
      </c>
      <c r="T21" s="20" t="s">
        <v>29</v>
      </c>
      <c r="V21" s="5" t="e" cm="1">
        <f t="array" ref="V21">SUMPRODUCT(--(ROUND($D21:$R21,2-INT(LOG10(ABS($D21:$R21))))&lt;ROUND(D21,2-INT(LOG10(ABS(D21))))))+1</f>
        <v>#NUM!</v>
      </c>
      <c r="W21" s="5" t="e" cm="1">
        <f t="array" ref="W21">SUMPRODUCT(--(ROUND($D21:$R21,2-INT(LOG10(ABS($D21:$R21))))&lt;ROUND(E21,2-INT(LOG10(ABS(E21))))))+1</f>
        <v>#NUM!</v>
      </c>
      <c r="X21" s="5" t="e" cm="1">
        <f t="array" ref="X21">SUMPRODUCT(--(ROUND($D21:$R21,2-INT(LOG10(ABS($D21:$R21))))&lt;ROUND(F21,2-INT(LOG10(ABS(F21))))))+1</f>
        <v>#NUM!</v>
      </c>
      <c r="Y21" s="5" t="e" cm="1">
        <f t="array" ref="Y21">SUMPRODUCT(--(ROUND($D21:$R21,2-INT(LOG10(ABS($D21:$R21))))&lt;ROUND(G21,2-INT(LOG10(ABS(G21))))))+1</f>
        <v>#NUM!</v>
      </c>
      <c r="Z21" s="5" t="e" cm="1">
        <f t="array" ref="Z21">SUMPRODUCT(--(ROUND($D21:$R21,2-INT(LOG10(ABS($D21:$R21))))&lt;ROUND(H21,2-INT(LOG10(ABS(H21))))))+1</f>
        <v>#NUM!</v>
      </c>
      <c r="AA21" s="5" t="e" cm="1">
        <f t="array" ref="AA21">SUMPRODUCT(--(ROUND($D21:$R21,2-INT(LOG10(ABS($D21:$R21))))&lt;ROUND(I21,2-INT(LOG10(ABS(I21))))))+1</f>
        <v>#NUM!</v>
      </c>
      <c r="AB21" s="5" t="e" cm="1">
        <f t="array" ref="AB21">SUMPRODUCT(--(ROUND($D21:$R21,2-INT(LOG10(ABS($D21:$R21))))&lt;ROUND(J21,2-INT(LOG10(ABS(J21))))))+1</f>
        <v>#NUM!</v>
      </c>
      <c r="AC21" s="5" t="e" cm="1">
        <f t="array" ref="AC21">SUMPRODUCT(--(ROUND($D21:$R21,2-INT(LOG10(ABS($D21:$R21))))&lt;ROUND(K21,2-INT(LOG10(ABS(K21))))))+1</f>
        <v>#NUM!</v>
      </c>
      <c r="AD21" s="5" t="e" cm="1">
        <f t="array" ref="AD21">SUMPRODUCT(--(ROUND($D21:$R21,2-INT(LOG10(ABS($D21:$R21))))&lt;ROUND(L21,2-INT(LOG10(ABS(L21))))))+1</f>
        <v>#NUM!</v>
      </c>
      <c r="AE21" s="5" t="e" cm="1">
        <f t="array" ref="AE21">SUMPRODUCT(--(ROUND($D21:$R21,2-INT(LOG10(ABS($D21:$R21))))&lt;ROUND(M21,2-INT(LOG10(ABS(M21))))))+1</f>
        <v>#NUM!</v>
      </c>
      <c r="AF21" s="5" t="e" cm="1">
        <f t="array" ref="AF21">SUMPRODUCT(--(ROUND($D21:$R21,2-INT(LOG10(ABS($D21:$R21))))&lt;ROUND(N21,2-INT(LOG10(ABS(N21))))))+1</f>
        <v>#NUM!</v>
      </c>
      <c r="AG21" s="5" t="e" cm="1">
        <f t="array" ref="AG21">SUMPRODUCT(--(ROUND($D21:$R21,2-INT(LOG10(ABS($D21:$R21))))&lt;ROUND(O21,2-INT(LOG10(ABS(O21))))))+1</f>
        <v>#NUM!</v>
      </c>
      <c r="AH21" s="5" t="e" cm="1">
        <f t="array" ref="AH21">SUMPRODUCT(--(ROUND($D21:$R21,2-INT(LOG10(ABS($D21:$R21))))&lt;ROUND(P21,2-INT(LOG10(ABS(P21))))))+1</f>
        <v>#NUM!</v>
      </c>
      <c r="AI21" s="5" t="e" cm="1">
        <f t="array" ref="AI21">SUMPRODUCT(--(ROUND($D21:$R21,2-INT(LOG10(ABS($D21:$R21))))&lt;ROUND(Q21,2-INT(LOG10(ABS(Q21))))))+1</f>
        <v>#NUM!</v>
      </c>
      <c r="AJ21" s="5" t="e" cm="1">
        <f t="array" ref="AJ21">SUMPRODUCT(--(ROUND($D21:$R21,2-INT(LOG10(ABS($D21:$R21))))&lt;ROUND(R21,2-INT(LOG10(ABS(R21))))))+1</f>
        <v>#NUM!</v>
      </c>
    </row>
    <row r="22" spans="1:36" x14ac:dyDescent="0.25">
      <c r="A22" s="22"/>
      <c r="B22" s="18" t="s">
        <v>64</v>
      </c>
      <c r="C22" s="18" t="s">
        <v>107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18"/>
      <c r="T22" s="18" t="s">
        <v>30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6" x14ac:dyDescent="0.25">
      <c r="A23" s="22"/>
      <c r="B23" s="19" t="s">
        <v>64</v>
      </c>
      <c r="C23" s="19" t="s">
        <v>108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19"/>
      <c r="T23" s="19" t="s">
        <v>31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6" x14ac:dyDescent="0.25">
      <c r="A24" s="22"/>
      <c r="B24" s="20" t="s">
        <v>65</v>
      </c>
      <c r="C24" s="20" t="s">
        <v>109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0" t="s">
        <v>6</v>
      </c>
      <c r="T24" s="20" t="s">
        <v>29</v>
      </c>
      <c r="V24" s="5" t="e" cm="1">
        <f t="array" ref="V24">SUMPRODUCT(--(ROUND($D24:$R24,2-INT(LOG10(ABS($D24:$R24))))&lt;ROUND(D24,2-INT(LOG10(ABS(D24))))))+1</f>
        <v>#NUM!</v>
      </c>
      <c r="W24" s="5" t="e" cm="1">
        <f t="array" ref="W24">SUMPRODUCT(--(ROUND($D24:$R24,2-INT(LOG10(ABS($D24:$R24))))&lt;ROUND(E24,2-INT(LOG10(ABS(E24))))))+1</f>
        <v>#NUM!</v>
      </c>
      <c r="X24" s="5" t="e" cm="1">
        <f t="array" ref="X24">SUMPRODUCT(--(ROUND($D24:$R24,2-INT(LOG10(ABS($D24:$R24))))&lt;ROUND(F24,2-INT(LOG10(ABS(F24))))))+1</f>
        <v>#NUM!</v>
      </c>
      <c r="Y24" s="5" t="e" cm="1">
        <f t="array" ref="Y24">SUMPRODUCT(--(ROUND($D24:$R24,2-INT(LOG10(ABS($D24:$R24))))&lt;ROUND(G24,2-INT(LOG10(ABS(G24))))))+1</f>
        <v>#NUM!</v>
      </c>
      <c r="Z24" s="5" t="e" cm="1">
        <f t="array" ref="Z24">SUMPRODUCT(--(ROUND($D24:$R24,2-INT(LOG10(ABS($D24:$R24))))&lt;ROUND(H24,2-INT(LOG10(ABS(H24))))))+1</f>
        <v>#NUM!</v>
      </c>
      <c r="AA24" s="5" t="e" cm="1">
        <f t="array" ref="AA24">SUMPRODUCT(--(ROUND($D24:$R24,2-INT(LOG10(ABS($D24:$R24))))&lt;ROUND(I24,2-INT(LOG10(ABS(I24))))))+1</f>
        <v>#NUM!</v>
      </c>
      <c r="AB24" s="5" t="e" cm="1">
        <f t="array" ref="AB24">SUMPRODUCT(--(ROUND($D24:$R24,2-INT(LOG10(ABS($D24:$R24))))&lt;ROUND(J24,2-INT(LOG10(ABS(J24))))))+1</f>
        <v>#NUM!</v>
      </c>
      <c r="AC24" s="5" t="e" cm="1">
        <f t="array" ref="AC24">SUMPRODUCT(--(ROUND($D24:$R24,2-INT(LOG10(ABS($D24:$R24))))&lt;ROUND(K24,2-INT(LOG10(ABS(K24))))))+1</f>
        <v>#NUM!</v>
      </c>
      <c r="AD24" s="5" t="e" cm="1">
        <f t="array" ref="AD24">SUMPRODUCT(--(ROUND($D24:$R24,2-INT(LOG10(ABS($D24:$R24))))&lt;ROUND(L24,2-INT(LOG10(ABS(L24))))))+1</f>
        <v>#NUM!</v>
      </c>
      <c r="AE24" s="5" t="e" cm="1">
        <f t="array" ref="AE24">SUMPRODUCT(--(ROUND($D24:$R24,2-INT(LOG10(ABS($D24:$R24))))&lt;ROUND(M24,2-INT(LOG10(ABS(M24))))))+1</f>
        <v>#NUM!</v>
      </c>
      <c r="AF24" s="5" t="e" cm="1">
        <f t="array" ref="AF24">SUMPRODUCT(--(ROUND($D24:$R24,2-INT(LOG10(ABS($D24:$R24))))&lt;ROUND(N24,2-INT(LOG10(ABS(N24))))))+1</f>
        <v>#NUM!</v>
      </c>
      <c r="AG24" s="5" t="e" cm="1">
        <f t="array" ref="AG24">SUMPRODUCT(--(ROUND($D24:$R24,2-INT(LOG10(ABS($D24:$R24))))&lt;ROUND(O24,2-INT(LOG10(ABS(O24))))))+1</f>
        <v>#NUM!</v>
      </c>
      <c r="AH24" s="5" t="e" cm="1">
        <f t="array" ref="AH24">SUMPRODUCT(--(ROUND($D24:$R24,2-INT(LOG10(ABS($D24:$R24))))&lt;ROUND(P24,2-INT(LOG10(ABS(P24))))))+1</f>
        <v>#NUM!</v>
      </c>
      <c r="AI24" s="5" t="e" cm="1">
        <f t="array" ref="AI24">SUMPRODUCT(--(ROUND($D24:$R24,2-INT(LOG10(ABS($D24:$R24))))&lt;ROUND(Q24,2-INT(LOG10(ABS(Q24))))))+1</f>
        <v>#NUM!</v>
      </c>
      <c r="AJ24" s="5" t="e" cm="1">
        <f t="array" ref="AJ24">SUMPRODUCT(--(ROUND($D24:$R24,2-INT(LOG10(ABS($D24:$R24))))&lt;ROUND(R24,2-INT(LOG10(ABS(R24))))))+1</f>
        <v>#NUM!</v>
      </c>
    </row>
    <row r="25" spans="1:36" x14ac:dyDescent="0.25">
      <c r="A25" s="22"/>
      <c r="B25" s="18" t="s">
        <v>65</v>
      </c>
      <c r="C25" s="18" t="s">
        <v>110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18"/>
      <c r="T25" s="18" t="s">
        <v>30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6" x14ac:dyDescent="0.25">
      <c r="A26" s="22"/>
      <c r="B26" s="19" t="s">
        <v>65</v>
      </c>
      <c r="C26" s="19" t="s">
        <v>111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19"/>
      <c r="T26" s="19" t="s">
        <v>31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6" x14ac:dyDescent="0.25">
      <c r="A27" s="22"/>
      <c r="B27" s="20" t="s">
        <v>66</v>
      </c>
      <c r="C27" s="20" t="s">
        <v>112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0" t="s">
        <v>7</v>
      </c>
      <c r="T27" s="20" t="s">
        <v>29</v>
      </c>
      <c r="V27" s="5" t="e" cm="1">
        <f t="array" ref="V27">SUMPRODUCT(--(ROUND($D27:$R27,2-INT(LOG10(ABS($D27:$R27))))&lt;ROUND(D27,2-INT(LOG10(ABS(D27))))))+1</f>
        <v>#NUM!</v>
      </c>
      <c r="W27" s="5" t="e" cm="1">
        <f t="array" ref="W27">SUMPRODUCT(--(ROUND($D27:$R27,2-INT(LOG10(ABS($D27:$R27))))&lt;ROUND(E27,2-INT(LOG10(ABS(E27))))))+1</f>
        <v>#NUM!</v>
      </c>
      <c r="X27" s="5" t="e" cm="1">
        <f t="array" ref="X27">SUMPRODUCT(--(ROUND($D27:$R27,2-INT(LOG10(ABS($D27:$R27))))&lt;ROUND(F27,2-INT(LOG10(ABS(F27))))))+1</f>
        <v>#NUM!</v>
      </c>
      <c r="Y27" s="5" t="e" cm="1">
        <f t="array" ref="Y27">SUMPRODUCT(--(ROUND($D27:$R27,2-INT(LOG10(ABS($D27:$R27))))&lt;ROUND(G27,2-INT(LOG10(ABS(G27))))))+1</f>
        <v>#NUM!</v>
      </c>
      <c r="Z27" s="5" t="e" cm="1">
        <f t="array" ref="Z27">SUMPRODUCT(--(ROUND($D27:$R27,2-INT(LOG10(ABS($D27:$R27))))&lt;ROUND(H27,2-INT(LOG10(ABS(H27))))))+1</f>
        <v>#NUM!</v>
      </c>
      <c r="AA27" s="5" t="e" cm="1">
        <f t="array" ref="AA27">SUMPRODUCT(--(ROUND($D27:$R27,2-INT(LOG10(ABS($D27:$R27))))&lt;ROUND(I27,2-INT(LOG10(ABS(I27))))))+1</f>
        <v>#NUM!</v>
      </c>
      <c r="AB27" s="5" t="e" cm="1">
        <f t="array" ref="AB27">SUMPRODUCT(--(ROUND($D27:$R27,2-INT(LOG10(ABS($D27:$R27))))&lt;ROUND(J27,2-INT(LOG10(ABS(J27))))))+1</f>
        <v>#NUM!</v>
      </c>
      <c r="AC27" s="5" t="e" cm="1">
        <f t="array" ref="AC27">SUMPRODUCT(--(ROUND($D27:$R27,2-INT(LOG10(ABS($D27:$R27))))&lt;ROUND(K27,2-INT(LOG10(ABS(K27))))))+1</f>
        <v>#NUM!</v>
      </c>
      <c r="AD27" s="5" t="e" cm="1">
        <f t="array" ref="AD27">SUMPRODUCT(--(ROUND($D27:$R27,2-INT(LOG10(ABS($D27:$R27))))&lt;ROUND(L27,2-INT(LOG10(ABS(L27))))))+1</f>
        <v>#NUM!</v>
      </c>
      <c r="AE27" s="5" t="e" cm="1">
        <f t="array" ref="AE27">SUMPRODUCT(--(ROUND($D27:$R27,2-INT(LOG10(ABS($D27:$R27))))&lt;ROUND(M27,2-INT(LOG10(ABS(M27))))))+1</f>
        <v>#NUM!</v>
      </c>
      <c r="AF27" s="5" t="e" cm="1">
        <f t="array" ref="AF27">SUMPRODUCT(--(ROUND($D27:$R27,2-INT(LOG10(ABS($D27:$R27))))&lt;ROUND(N27,2-INT(LOG10(ABS(N27))))))+1</f>
        <v>#NUM!</v>
      </c>
      <c r="AG27" s="5" t="e" cm="1">
        <f t="array" ref="AG27">SUMPRODUCT(--(ROUND($D27:$R27,2-INT(LOG10(ABS($D27:$R27))))&lt;ROUND(O27,2-INT(LOG10(ABS(O27))))))+1</f>
        <v>#NUM!</v>
      </c>
      <c r="AH27" s="5" t="e" cm="1">
        <f t="array" ref="AH27">SUMPRODUCT(--(ROUND($D27:$R27,2-INT(LOG10(ABS($D27:$R27))))&lt;ROUND(P27,2-INT(LOG10(ABS(P27))))))+1</f>
        <v>#NUM!</v>
      </c>
      <c r="AI27" s="5" t="e" cm="1">
        <f t="array" ref="AI27">SUMPRODUCT(--(ROUND($D27:$R27,2-INT(LOG10(ABS($D27:$R27))))&lt;ROUND(Q27,2-INT(LOG10(ABS(Q27))))))+1</f>
        <v>#NUM!</v>
      </c>
      <c r="AJ27" s="5" t="e" cm="1">
        <f t="array" ref="AJ27">SUMPRODUCT(--(ROUND($D27:$R27,2-INT(LOG10(ABS($D27:$R27))))&lt;ROUND(R27,2-INT(LOG10(ABS(R27))))))+1</f>
        <v>#NUM!</v>
      </c>
    </row>
    <row r="28" spans="1:36" x14ac:dyDescent="0.25">
      <c r="A28" s="22"/>
      <c r="B28" s="18" t="s">
        <v>66</v>
      </c>
      <c r="C28" s="18" t="s">
        <v>113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18"/>
      <c r="T28" s="18" t="s">
        <v>30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6" x14ac:dyDescent="0.25">
      <c r="A29" s="25"/>
      <c r="B29" s="19" t="s">
        <v>66</v>
      </c>
      <c r="C29" s="19" t="s">
        <v>114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19"/>
      <c r="T29" s="19" t="s">
        <v>31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6" x14ac:dyDescent="0.25">
      <c r="A30" s="27" t="s">
        <v>38</v>
      </c>
      <c r="B30" s="20" t="s">
        <v>67</v>
      </c>
      <c r="C30" s="20" t="s">
        <v>115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0" t="s">
        <v>8</v>
      </c>
      <c r="T30" s="20" t="s">
        <v>29</v>
      </c>
      <c r="V30" s="5" t="e" cm="1">
        <f t="array" ref="V30">SUMPRODUCT(--(ROUND($D30:$R30,2-INT(LOG10(ABS($D30:$R30))))&lt;ROUND(D30,2-INT(LOG10(ABS(D30))))))+1</f>
        <v>#NUM!</v>
      </c>
      <c r="W30" s="5" t="e" cm="1">
        <f t="array" ref="W30">SUMPRODUCT(--(ROUND($D30:$R30,2-INT(LOG10(ABS($D30:$R30))))&lt;ROUND(E30,2-INT(LOG10(ABS(E30))))))+1</f>
        <v>#NUM!</v>
      </c>
      <c r="X30" s="5" t="e" cm="1">
        <f t="array" ref="X30">SUMPRODUCT(--(ROUND($D30:$R30,2-INT(LOG10(ABS($D30:$R30))))&lt;ROUND(F30,2-INT(LOG10(ABS(F30))))))+1</f>
        <v>#NUM!</v>
      </c>
      <c r="Y30" s="5" t="e" cm="1">
        <f t="array" ref="Y30">SUMPRODUCT(--(ROUND($D30:$R30,2-INT(LOG10(ABS($D30:$R30))))&lt;ROUND(G30,2-INT(LOG10(ABS(G30))))))+1</f>
        <v>#NUM!</v>
      </c>
      <c r="Z30" s="5" t="e" cm="1">
        <f t="array" ref="Z30">SUMPRODUCT(--(ROUND($D30:$R30,2-INT(LOG10(ABS($D30:$R30))))&lt;ROUND(H30,2-INT(LOG10(ABS(H30))))))+1</f>
        <v>#NUM!</v>
      </c>
      <c r="AA30" s="5" t="e" cm="1">
        <f t="array" ref="AA30">SUMPRODUCT(--(ROUND($D30:$R30,2-INT(LOG10(ABS($D30:$R30))))&lt;ROUND(I30,2-INT(LOG10(ABS(I30))))))+1</f>
        <v>#NUM!</v>
      </c>
      <c r="AB30" s="5" t="e" cm="1">
        <f t="array" ref="AB30">SUMPRODUCT(--(ROUND($D30:$R30,2-INT(LOG10(ABS($D30:$R30))))&lt;ROUND(J30,2-INT(LOG10(ABS(J30))))))+1</f>
        <v>#NUM!</v>
      </c>
      <c r="AC30" s="5" t="e" cm="1">
        <f t="array" ref="AC30">SUMPRODUCT(--(ROUND($D30:$R30,2-INT(LOG10(ABS($D30:$R30))))&lt;ROUND(K30,2-INT(LOG10(ABS(K30))))))+1</f>
        <v>#NUM!</v>
      </c>
      <c r="AD30" s="5" t="e" cm="1">
        <f t="array" ref="AD30">SUMPRODUCT(--(ROUND($D30:$R30,2-INT(LOG10(ABS($D30:$R30))))&lt;ROUND(L30,2-INT(LOG10(ABS(L30))))))+1</f>
        <v>#NUM!</v>
      </c>
      <c r="AE30" s="5" t="e" cm="1">
        <f t="array" ref="AE30">SUMPRODUCT(--(ROUND($D30:$R30,2-INT(LOG10(ABS($D30:$R30))))&lt;ROUND(M30,2-INT(LOG10(ABS(M30))))))+1</f>
        <v>#NUM!</v>
      </c>
      <c r="AF30" s="5" t="e" cm="1">
        <f t="array" ref="AF30">SUMPRODUCT(--(ROUND($D30:$R30,2-INT(LOG10(ABS($D30:$R30))))&lt;ROUND(N30,2-INT(LOG10(ABS(N30))))))+1</f>
        <v>#NUM!</v>
      </c>
      <c r="AG30" s="5" t="e" cm="1">
        <f t="array" ref="AG30">SUMPRODUCT(--(ROUND($D30:$R30,2-INT(LOG10(ABS($D30:$R30))))&lt;ROUND(O30,2-INT(LOG10(ABS(O30))))))+1</f>
        <v>#NUM!</v>
      </c>
      <c r="AH30" s="5" t="e" cm="1">
        <f t="array" ref="AH30">SUMPRODUCT(--(ROUND($D30:$R30,2-INT(LOG10(ABS($D30:$R30))))&lt;ROUND(P30,2-INT(LOG10(ABS(P30))))))+1</f>
        <v>#NUM!</v>
      </c>
      <c r="AI30" s="5" t="e" cm="1">
        <f t="array" ref="AI30">SUMPRODUCT(--(ROUND($D30:$R30,2-INT(LOG10(ABS($D30:$R30))))&lt;ROUND(Q30,2-INT(LOG10(ABS(Q30))))))+1</f>
        <v>#NUM!</v>
      </c>
      <c r="AJ30" s="5" t="e" cm="1">
        <f t="array" ref="AJ30">SUMPRODUCT(--(ROUND($D30:$R30,2-INT(LOG10(ABS($D30:$R30))))&lt;ROUND(R30,2-INT(LOG10(ABS(R30))))))+1</f>
        <v>#NUM!</v>
      </c>
    </row>
    <row r="31" spans="1:36" x14ac:dyDescent="0.25">
      <c r="A31" s="22"/>
      <c r="B31" s="18" t="s">
        <v>67</v>
      </c>
      <c r="C31" s="18" t="s">
        <v>116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18"/>
      <c r="T31" s="18" t="s">
        <v>30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6" x14ac:dyDescent="0.25">
      <c r="A32" s="22"/>
      <c r="B32" s="19" t="s">
        <v>67</v>
      </c>
      <c r="C32" s="19" t="s">
        <v>117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19"/>
      <c r="T32" s="19" t="s">
        <v>31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6" x14ac:dyDescent="0.25">
      <c r="A33" s="22"/>
      <c r="B33" s="20" t="s">
        <v>68</v>
      </c>
      <c r="C33" s="20" t="s">
        <v>118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0" t="s">
        <v>9</v>
      </c>
      <c r="T33" s="20" t="s">
        <v>29</v>
      </c>
      <c r="V33" s="5" t="e" cm="1">
        <f t="array" ref="V33">SUMPRODUCT(--(ROUND($D33:$R33,2-INT(LOG10(ABS($D33:$R33))))&lt;ROUND(D33,2-INT(LOG10(ABS(D33))))))+1</f>
        <v>#NUM!</v>
      </c>
      <c r="W33" s="5" t="e" cm="1">
        <f t="array" ref="W33">SUMPRODUCT(--(ROUND($D33:$R33,2-INT(LOG10(ABS($D33:$R33))))&lt;ROUND(E33,2-INT(LOG10(ABS(E33))))))+1</f>
        <v>#NUM!</v>
      </c>
      <c r="X33" s="5" t="e" cm="1">
        <f t="array" ref="X33">SUMPRODUCT(--(ROUND($D33:$R33,2-INT(LOG10(ABS($D33:$R33))))&lt;ROUND(F33,2-INT(LOG10(ABS(F33))))))+1</f>
        <v>#NUM!</v>
      </c>
      <c r="Y33" s="5" t="e" cm="1">
        <f t="array" ref="Y33">SUMPRODUCT(--(ROUND($D33:$R33,2-INT(LOG10(ABS($D33:$R33))))&lt;ROUND(G33,2-INT(LOG10(ABS(G33))))))+1</f>
        <v>#NUM!</v>
      </c>
      <c r="Z33" s="5" t="e" cm="1">
        <f t="array" ref="Z33">SUMPRODUCT(--(ROUND($D33:$R33,2-INT(LOG10(ABS($D33:$R33))))&lt;ROUND(H33,2-INT(LOG10(ABS(H33))))))+1</f>
        <v>#NUM!</v>
      </c>
      <c r="AA33" s="5" t="e" cm="1">
        <f t="array" ref="AA33">SUMPRODUCT(--(ROUND($D33:$R33,2-INT(LOG10(ABS($D33:$R33))))&lt;ROUND(I33,2-INT(LOG10(ABS(I33))))))+1</f>
        <v>#NUM!</v>
      </c>
      <c r="AB33" s="5" t="e" cm="1">
        <f t="array" ref="AB33">SUMPRODUCT(--(ROUND($D33:$R33,2-INT(LOG10(ABS($D33:$R33))))&lt;ROUND(J33,2-INT(LOG10(ABS(J33))))))+1</f>
        <v>#NUM!</v>
      </c>
      <c r="AC33" s="5" t="e" cm="1">
        <f t="array" ref="AC33">SUMPRODUCT(--(ROUND($D33:$R33,2-INT(LOG10(ABS($D33:$R33))))&lt;ROUND(K33,2-INT(LOG10(ABS(K33))))))+1</f>
        <v>#NUM!</v>
      </c>
      <c r="AD33" s="5" t="e" cm="1">
        <f t="array" ref="AD33">SUMPRODUCT(--(ROUND($D33:$R33,2-INT(LOG10(ABS($D33:$R33))))&lt;ROUND(L33,2-INT(LOG10(ABS(L33))))))+1</f>
        <v>#NUM!</v>
      </c>
      <c r="AE33" s="5" t="e" cm="1">
        <f t="array" ref="AE33">SUMPRODUCT(--(ROUND($D33:$R33,2-INT(LOG10(ABS($D33:$R33))))&lt;ROUND(M33,2-INT(LOG10(ABS(M33))))))+1</f>
        <v>#NUM!</v>
      </c>
      <c r="AF33" s="5" t="e" cm="1">
        <f t="array" ref="AF33">SUMPRODUCT(--(ROUND($D33:$R33,2-INT(LOG10(ABS($D33:$R33))))&lt;ROUND(N33,2-INT(LOG10(ABS(N33))))))+1</f>
        <v>#NUM!</v>
      </c>
      <c r="AG33" s="5" t="e" cm="1">
        <f t="array" ref="AG33">SUMPRODUCT(--(ROUND($D33:$R33,2-INT(LOG10(ABS($D33:$R33))))&lt;ROUND(O33,2-INT(LOG10(ABS(O33))))))+1</f>
        <v>#NUM!</v>
      </c>
      <c r="AH33" s="5" t="e" cm="1">
        <f t="array" ref="AH33">SUMPRODUCT(--(ROUND($D33:$R33,2-INT(LOG10(ABS($D33:$R33))))&lt;ROUND(P33,2-INT(LOG10(ABS(P33))))))+1</f>
        <v>#NUM!</v>
      </c>
      <c r="AI33" s="5" t="e" cm="1">
        <f t="array" ref="AI33">SUMPRODUCT(--(ROUND($D33:$R33,2-INT(LOG10(ABS($D33:$R33))))&lt;ROUND(Q33,2-INT(LOG10(ABS(Q33))))))+1</f>
        <v>#NUM!</v>
      </c>
      <c r="AJ33" s="5" t="e" cm="1">
        <f t="array" ref="AJ33">SUMPRODUCT(--(ROUND($D33:$R33,2-INT(LOG10(ABS($D33:$R33))))&lt;ROUND(R33,2-INT(LOG10(ABS(R33))))))+1</f>
        <v>#NUM!</v>
      </c>
    </row>
    <row r="34" spans="1:36" x14ac:dyDescent="0.25">
      <c r="A34" s="22"/>
      <c r="B34" s="18" t="s">
        <v>68</v>
      </c>
      <c r="C34" s="18" t="s">
        <v>119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18"/>
      <c r="T34" s="18" t="s">
        <v>30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6" x14ac:dyDescent="0.25">
      <c r="A35" s="22"/>
      <c r="B35" s="19" t="s">
        <v>68</v>
      </c>
      <c r="C35" s="19" t="s">
        <v>120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19"/>
      <c r="T35" s="19" t="s">
        <v>31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spans="1:36" x14ac:dyDescent="0.25">
      <c r="A36" s="22"/>
      <c r="B36" s="20" t="s">
        <v>69</v>
      </c>
      <c r="C36" s="20" t="s">
        <v>121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0" t="s">
        <v>10</v>
      </c>
      <c r="T36" s="20" t="s">
        <v>29</v>
      </c>
      <c r="V36" s="5" t="e" cm="1">
        <f t="array" ref="V36">SUMPRODUCT(--(ROUND($D36:$R36,2-INT(LOG10(ABS($D36:$R36))))&lt;ROUND(D36,2-INT(LOG10(ABS(D36))))))+1</f>
        <v>#NUM!</v>
      </c>
      <c r="W36" s="5" t="e" cm="1">
        <f t="array" ref="W36">SUMPRODUCT(--(ROUND($D36:$R36,2-INT(LOG10(ABS($D36:$R36))))&lt;ROUND(E36,2-INT(LOG10(ABS(E36))))))+1</f>
        <v>#NUM!</v>
      </c>
      <c r="X36" s="5" t="e" cm="1">
        <f t="array" ref="X36">SUMPRODUCT(--(ROUND($D36:$R36,2-INT(LOG10(ABS($D36:$R36))))&lt;ROUND(F36,2-INT(LOG10(ABS(F36))))))+1</f>
        <v>#NUM!</v>
      </c>
      <c r="Y36" s="5" t="e" cm="1">
        <f t="array" ref="Y36">SUMPRODUCT(--(ROUND($D36:$R36,2-INT(LOG10(ABS($D36:$R36))))&lt;ROUND(G36,2-INT(LOG10(ABS(G36))))))+1</f>
        <v>#NUM!</v>
      </c>
      <c r="Z36" s="5" t="e" cm="1">
        <f t="array" ref="Z36">SUMPRODUCT(--(ROUND($D36:$R36,2-INT(LOG10(ABS($D36:$R36))))&lt;ROUND(H36,2-INT(LOG10(ABS(H36))))))+1</f>
        <v>#NUM!</v>
      </c>
      <c r="AA36" s="5" t="e" cm="1">
        <f t="array" ref="AA36">SUMPRODUCT(--(ROUND($D36:$R36,2-INT(LOG10(ABS($D36:$R36))))&lt;ROUND(I36,2-INT(LOG10(ABS(I36))))))+1</f>
        <v>#NUM!</v>
      </c>
      <c r="AB36" s="5" t="e" cm="1">
        <f t="array" ref="AB36">SUMPRODUCT(--(ROUND($D36:$R36,2-INT(LOG10(ABS($D36:$R36))))&lt;ROUND(J36,2-INT(LOG10(ABS(J36))))))+1</f>
        <v>#NUM!</v>
      </c>
      <c r="AC36" s="5" t="e" cm="1">
        <f t="array" ref="AC36">SUMPRODUCT(--(ROUND($D36:$R36,2-INT(LOG10(ABS($D36:$R36))))&lt;ROUND(K36,2-INT(LOG10(ABS(K36))))))+1</f>
        <v>#NUM!</v>
      </c>
      <c r="AD36" s="5" t="e" cm="1">
        <f t="array" ref="AD36">SUMPRODUCT(--(ROUND($D36:$R36,2-INT(LOG10(ABS($D36:$R36))))&lt;ROUND(L36,2-INT(LOG10(ABS(L36))))))+1</f>
        <v>#NUM!</v>
      </c>
      <c r="AE36" s="5" t="e" cm="1">
        <f t="array" ref="AE36">SUMPRODUCT(--(ROUND($D36:$R36,2-INT(LOG10(ABS($D36:$R36))))&lt;ROUND(M36,2-INT(LOG10(ABS(M36))))))+1</f>
        <v>#NUM!</v>
      </c>
      <c r="AF36" s="5" t="e" cm="1">
        <f t="array" ref="AF36">SUMPRODUCT(--(ROUND($D36:$R36,2-INT(LOG10(ABS($D36:$R36))))&lt;ROUND(N36,2-INT(LOG10(ABS(N36))))))+1</f>
        <v>#NUM!</v>
      </c>
      <c r="AG36" s="5" t="e" cm="1">
        <f t="array" ref="AG36">SUMPRODUCT(--(ROUND($D36:$R36,2-INT(LOG10(ABS($D36:$R36))))&lt;ROUND(O36,2-INT(LOG10(ABS(O36))))))+1</f>
        <v>#NUM!</v>
      </c>
      <c r="AH36" s="5" t="e" cm="1">
        <f t="array" ref="AH36">SUMPRODUCT(--(ROUND($D36:$R36,2-INT(LOG10(ABS($D36:$R36))))&lt;ROUND(P36,2-INT(LOG10(ABS(P36))))))+1</f>
        <v>#NUM!</v>
      </c>
      <c r="AI36" s="5" t="e" cm="1">
        <f t="array" ref="AI36">SUMPRODUCT(--(ROUND($D36:$R36,2-INT(LOG10(ABS($D36:$R36))))&lt;ROUND(Q36,2-INT(LOG10(ABS(Q36))))))+1</f>
        <v>#NUM!</v>
      </c>
      <c r="AJ36" s="5" t="e" cm="1">
        <f t="array" ref="AJ36">SUMPRODUCT(--(ROUND($D36:$R36,2-INT(LOG10(ABS($D36:$R36))))&lt;ROUND(R36,2-INT(LOG10(ABS(R36))))))+1</f>
        <v>#NUM!</v>
      </c>
    </row>
    <row r="37" spans="1:36" x14ac:dyDescent="0.25">
      <c r="A37" s="22"/>
      <c r="B37" s="18" t="s">
        <v>69</v>
      </c>
      <c r="C37" s="18" t="s">
        <v>122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18"/>
      <c r="T37" s="18" t="s">
        <v>30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spans="1:36" x14ac:dyDescent="0.25">
      <c r="A38" s="22"/>
      <c r="B38" s="19" t="s">
        <v>69</v>
      </c>
      <c r="C38" s="19" t="s">
        <v>123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9"/>
      <c r="T38" s="19" t="s">
        <v>31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6" x14ac:dyDescent="0.25">
      <c r="A39" s="22"/>
      <c r="B39" s="20" t="s">
        <v>70</v>
      </c>
      <c r="C39" s="20" t="s">
        <v>124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0" t="s">
        <v>11</v>
      </c>
      <c r="T39" s="20" t="s">
        <v>29</v>
      </c>
      <c r="V39" s="5" t="e" cm="1">
        <f t="array" ref="V39">SUMPRODUCT(--(ROUND($D39:$R39,2-INT(LOG10(ABS($D39:$R39))))&lt;ROUND(D39,2-INT(LOG10(ABS(D39))))))+1</f>
        <v>#NUM!</v>
      </c>
      <c r="W39" s="5" t="e" cm="1">
        <f t="array" ref="W39">SUMPRODUCT(--(ROUND($D39:$R39,2-INT(LOG10(ABS($D39:$R39))))&lt;ROUND(E39,2-INT(LOG10(ABS(E39))))))+1</f>
        <v>#NUM!</v>
      </c>
      <c r="X39" s="5" t="e" cm="1">
        <f t="array" ref="X39">SUMPRODUCT(--(ROUND($D39:$R39,2-INT(LOG10(ABS($D39:$R39))))&lt;ROUND(F39,2-INT(LOG10(ABS(F39))))))+1</f>
        <v>#NUM!</v>
      </c>
      <c r="Y39" s="5" t="e" cm="1">
        <f t="array" ref="Y39">SUMPRODUCT(--(ROUND($D39:$R39,2-INT(LOG10(ABS($D39:$R39))))&lt;ROUND(G39,2-INT(LOG10(ABS(G39))))))+1</f>
        <v>#NUM!</v>
      </c>
      <c r="Z39" s="5" t="e" cm="1">
        <f t="array" ref="Z39">SUMPRODUCT(--(ROUND($D39:$R39,2-INT(LOG10(ABS($D39:$R39))))&lt;ROUND(H39,2-INT(LOG10(ABS(H39))))))+1</f>
        <v>#NUM!</v>
      </c>
      <c r="AA39" s="5" t="e" cm="1">
        <f t="array" ref="AA39">SUMPRODUCT(--(ROUND($D39:$R39,2-INT(LOG10(ABS($D39:$R39))))&lt;ROUND(I39,2-INT(LOG10(ABS(I39))))))+1</f>
        <v>#NUM!</v>
      </c>
      <c r="AB39" s="5" t="e" cm="1">
        <f t="array" ref="AB39">SUMPRODUCT(--(ROUND($D39:$R39,2-INT(LOG10(ABS($D39:$R39))))&lt;ROUND(J39,2-INT(LOG10(ABS(J39))))))+1</f>
        <v>#NUM!</v>
      </c>
      <c r="AC39" s="5" t="e" cm="1">
        <f t="array" ref="AC39">SUMPRODUCT(--(ROUND($D39:$R39,2-INT(LOG10(ABS($D39:$R39))))&lt;ROUND(K39,2-INT(LOG10(ABS(K39))))))+1</f>
        <v>#NUM!</v>
      </c>
      <c r="AD39" s="5" t="e" cm="1">
        <f t="array" ref="AD39">SUMPRODUCT(--(ROUND($D39:$R39,2-INT(LOG10(ABS($D39:$R39))))&lt;ROUND(L39,2-INT(LOG10(ABS(L39))))))+1</f>
        <v>#NUM!</v>
      </c>
      <c r="AE39" s="5" t="e" cm="1">
        <f t="array" ref="AE39">SUMPRODUCT(--(ROUND($D39:$R39,2-INT(LOG10(ABS($D39:$R39))))&lt;ROUND(M39,2-INT(LOG10(ABS(M39))))))+1</f>
        <v>#NUM!</v>
      </c>
      <c r="AF39" s="5" t="e" cm="1">
        <f t="array" ref="AF39">SUMPRODUCT(--(ROUND($D39:$R39,2-INT(LOG10(ABS($D39:$R39))))&lt;ROUND(N39,2-INT(LOG10(ABS(N39))))))+1</f>
        <v>#NUM!</v>
      </c>
      <c r="AG39" s="5" t="e" cm="1">
        <f t="array" ref="AG39">SUMPRODUCT(--(ROUND($D39:$R39,2-INT(LOG10(ABS($D39:$R39))))&lt;ROUND(O39,2-INT(LOG10(ABS(O39))))))+1</f>
        <v>#NUM!</v>
      </c>
      <c r="AH39" s="5" t="e" cm="1">
        <f t="array" ref="AH39">SUMPRODUCT(--(ROUND($D39:$R39,2-INT(LOG10(ABS($D39:$R39))))&lt;ROUND(P39,2-INT(LOG10(ABS(P39))))))+1</f>
        <v>#NUM!</v>
      </c>
      <c r="AI39" s="5" t="e" cm="1">
        <f t="array" ref="AI39">SUMPRODUCT(--(ROUND($D39:$R39,2-INT(LOG10(ABS($D39:$R39))))&lt;ROUND(Q39,2-INT(LOG10(ABS(Q39))))))+1</f>
        <v>#NUM!</v>
      </c>
      <c r="AJ39" s="5" t="e" cm="1">
        <f t="array" ref="AJ39">SUMPRODUCT(--(ROUND($D39:$R39,2-INT(LOG10(ABS($D39:$R39))))&lt;ROUND(R39,2-INT(LOG10(ABS(R39))))))+1</f>
        <v>#NUM!</v>
      </c>
    </row>
    <row r="40" spans="1:36" x14ac:dyDescent="0.25">
      <c r="A40" s="22"/>
      <c r="B40" s="18" t="s">
        <v>70</v>
      </c>
      <c r="C40" s="18" t="s">
        <v>125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18"/>
      <c r="T40" s="18" t="s">
        <v>30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6" x14ac:dyDescent="0.25">
      <c r="A41" s="22"/>
      <c r="B41" s="19" t="s">
        <v>70</v>
      </c>
      <c r="C41" s="19" t="s">
        <v>126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19"/>
      <c r="T41" s="19" t="s">
        <v>31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36" x14ac:dyDescent="0.25">
      <c r="A42" s="22"/>
      <c r="B42" s="20" t="s">
        <v>71</v>
      </c>
      <c r="C42" s="20" t="s">
        <v>127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0" t="s">
        <v>12</v>
      </c>
      <c r="T42" s="20" t="s">
        <v>29</v>
      </c>
      <c r="V42" s="5" t="e" cm="1">
        <f t="array" ref="V42">SUMPRODUCT(--(ROUND($D42:$R42,2-INT(LOG10(ABS($D42:$R42))))&lt;ROUND(D42,2-INT(LOG10(ABS(D42))))))+1</f>
        <v>#NUM!</v>
      </c>
      <c r="W42" s="5" t="e" cm="1">
        <f t="array" ref="W42">SUMPRODUCT(--(ROUND($D42:$R42,2-INT(LOG10(ABS($D42:$R42))))&lt;ROUND(E42,2-INT(LOG10(ABS(E42))))))+1</f>
        <v>#NUM!</v>
      </c>
      <c r="X42" s="5" t="e" cm="1">
        <f t="array" ref="X42">SUMPRODUCT(--(ROUND($D42:$R42,2-INT(LOG10(ABS($D42:$R42))))&lt;ROUND(F42,2-INT(LOG10(ABS(F42))))))+1</f>
        <v>#NUM!</v>
      </c>
      <c r="Y42" s="5" t="e" cm="1">
        <f t="array" ref="Y42">SUMPRODUCT(--(ROUND($D42:$R42,2-INT(LOG10(ABS($D42:$R42))))&lt;ROUND(G42,2-INT(LOG10(ABS(G42))))))+1</f>
        <v>#NUM!</v>
      </c>
      <c r="Z42" s="5" t="e" cm="1">
        <f t="array" ref="Z42">SUMPRODUCT(--(ROUND($D42:$R42,2-INT(LOG10(ABS($D42:$R42))))&lt;ROUND(H42,2-INT(LOG10(ABS(H42))))))+1</f>
        <v>#NUM!</v>
      </c>
      <c r="AA42" s="5" t="e" cm="1">
        <f t="array" ref="AA42">SUMPRODUCT(--(ROUND($D42:$R42,2-INT(LOG10(ABS($D42:$R42))))&lt;ROUND(I42,2-INT(LOG10(ABS(I42))))))+1</f>
        <v>#NUM!</v>
      </c>
      <c r="AB42" s="5" t="e" cm="1">
        <f t="array" ref="AB42">SUMPRODUCT(--(ROUND($D42:$R42,2-INT(LOG10(ABS($D42:$R42))))&lt;ROUND(J42,2-INT(LOG10(ABS(J42))))))+1</f>
        <v>#NUM!</v>
      </c>
      <c r="AC42" s="5" t="e" cm="1">
        <f t="array" ref="AC42">SUMPRODUCT(--(ROUND($D42:$R42,2-INT(LOG10(ABS($D42:$R42))))&lt;ROUND(K42,2-INT(LOG10(ABS(K42))))))+1</f>
        <v>#NUM!</v>
      </c>
      <c r="AD42" s="5" t="e" cm="1">
        <f t="array" ref="AD42">SUMPRODUCT(--(ROUND($D42:$R42,2-INT(LOG10(ABS($D42:$R42))))&lt;ROUND(L42,2-INT(LOG10(ABS(L42))))))+1</f>
        <v>#NUM!</v>
      </c>
      <c r="AE42" s="5" t="e" cm="1">
        <f t="array" ref="AE42">SUMPRODUCT(--(ROUND($D42:$R42,2-INT(LOG10(ABS($D42:$R42))))&lt;ROUND(M42,2-INT(LOG10(ABS(M42))))))+1</f>
        <v>#NUM!</v>
      </c>
      <c r="AF42" s="5" t="e" cm="1">
        <f t="array" ref="AF42">SUMPRODUCT(--(ROUND($D42:$R42,2-INT(LOG10(ABS($D42:$R42))))&lt;ROUND(N42,2-INT(LOG10(ABS(N42))))))+1</f>
        <v>#NUM!</v>
      </c>
      <c r="AG42" s="5" t="e" cm="1">
        <f t="array" ref="AG42">SUMPRODUCT(--(ROUND($D42:$R42,2-INT(LOG10(ABS($D42:$R42))))&lt;ROUND(O42,2-INT(LOG10(ABS(O42))))))+1</f>
        <v>#NUM!</v>
      </c>
      <c r="AH42" s="5" t="e" cm="1">
        <f t="array" ref="AH42">SUMPRODUCT(--(ROUND($D42:$R42,2-INT(LOG10(ABS($D42:$R42))))&lt;ROUND(P42,2-INT(LOG10(ABS(P42))))))+1</f>
        <v>#NUM!</v>
      </c>
      <c r="AI42" s="5" t="e" cm="1">
        <f t="array" ref="AI42">SUMPRODUCT(--(ROUND($D42:$R42,2-INT(LOG10(ABS($D42:$R42))))&lt;ROUND(Q42,2-INT(LOG10(ABS(Q42))))))+1</f>
        <v>#NUM!</v>
      </c>
      <c r="AJ42" s="5" t="e" cm="1">
        <f t="array" ref="AJ42">SUMPRODUCT(--(ROUND($D42:$R42,2-INT(LOG10(ABS($D42:$R42))))&lt;ROUND(R42,2-INT(LOG10(ABS(R42))))))+1</f>
        <v>#NUM!</v>
      </c>
    </row>
    <row r="43" spans="1:36" x14ac:dyDescent="0.25">
      <c r="A43" s="22"/>
      <c r="B43" s="18" t="s">
        <v>71</v>
      </c>
      <c r="C43" s="18" t="s">
        <v>128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18"/>
      <c r="T43" s="18" t="s">
        <v>30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spans="1:36" x14ac:dyDescent="0.25">
      <c r="A44" s="22"/>
      <c r="B44" s="19" t="s">
        <v>71</v>
      </c>
      <c r="C44" s="19" t="s">
        <v>129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19"/>
      <c r="T44" s="19" t="s">
        <v>31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spans="1:36" x14ac:dyDescent="0.25">
      <c r="A45" s="22"/>
      <c r="B45" s="20" t="s">
        <v>72</v>
      </c>
      <c r="C45" s="20" t="s">
        <v>130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0" t="s">
        <v>13</v>
      </c>
      <c r="T45" s="20" t="s">
        <v>29</v>
      </c>
      <c r="V45" s="5" t="e" cm="1">
        <f t="array" ref="V45">SUMPRODUCT(--(ROUND($D45:$R45,2-INT(LOG10(ABS($D45:$R45))))&lt;ROUND(D45,2-INT(LOG10(ABS(D45))))))+1</f>
        <v>#NUM!</v>
      </c>
      <c r="W45" s="5" t="e" cm="1">
        <f t="array" ref="W45">SUMPRODUCT(--(ROUND($D45:$R45,2-INT(LOG10(ABS($D45:$R45))))&lt;ROUND(E45,2-INT(LOG10(ABS(E45))))))+1</f>
        <v>#NUM!</v>
      </c>
      <c r="X45" s="5" t="e" cm="1">
        <f t="array" ref="X45">SUMPRODUCT(--(ROUND($D45:$R45,2-INT(LOG10(ABS($D45:$R45))))&lt;ROUND(F45,2-INT(LOG10(ABS(F45))))))+1</f>
        <v>#NUM!</v>
      </c>
      <c r="Y45" s="5" t="e" cm="1">
        <f t="array" ref="Y45">SUMPRODUCT(--(ROUND($D45:$R45,2-INT(LOG10(ABS($D45:$R45))))&lt;ROUND(G45,2-INT(LOG10(ABS(G45))))))+1</f>
        <v>#NUM!</v>
      </c>
      <c r="Z45" s="5" t="e" cm="1">
        <f t="array" ref="Z45">SUMPRODUCT(--(ROUND($D45:$R45,2-INT(LOG10(ABS($D45:$R45))))&lt;ROUND(H45,2-INT(LOG10(ABS(H45))))))+1</f>
        <v>#NUM!</v>
      </c>
      <c r="AA45" s="5" t="e" cm="1">
        <f t="array" ref="AA45">SUMPRODUCT(--(ROUND($D45:$R45,2-INT(LOG10(ABS($D45:$R45))))&lt;ROUND(I45,2-INT(LOG10(ABS(I45))))))+1</f>
        <v>#NUM!</v>
      </c>
      <c r="AB45" s="5" t="e" cm="1">
        <f t="array" ref="AB45">SUMPRODUCT(--(ROUND($D45:$R45,2-INT(LOG10(ABS($D45:$R45))))&lt;ROUND(J45,2-INT(LOG10(ABS(J45))))))+1</f>
        <v>#NUM!</v>
      </c>
      <c r="AC45" s="5" t="e" cm="1">
        <f t="array" ref="AC45">SUMPRODUCT(--(ROUND($D45:$R45,2-INT(LOG10(ABS($D45:$R45))))&lt;ROUND(K45,2-INT(LOG10(ABS(K45))))))+1</f>
        <v>#NUM!</v>
      </c>
      <c r="AD45" s="5" t="e" cm="1">
        <f t="array" ref="AD45">SUMPRODUCT(--(ROUND($D45:$R45,2-INT(LOG10(ABS($D45:$R45))))&lt;ROUND(L45,2-INT(LOG10(ABS(L45))))))+1</f>
        <v>#NUM!</v>
      </c>
      <c r="AE45" s="5" t="e" cm="1">
        <f t="array" ref="AE45">SUMPRODUCT(--(ROUND($D45:$R45,2-INT(LOG10(ABS($D45:$R45))))&lt;ROUND(M45,2-INT(LOG10(ABS(M45))))))+1</f>
        <v>#NUM!</v>
      </c>
      <c r="AF45" s="5" t="e" cm="1">
        <f t="array" ref="AF45">SUMPRODUCT(--(ROUND($D45:$R45,2-INT(LOG10(ABS($D45:$R45))))&lt;ROUND(N45,2-INT(LOG10(ABS(N45))))))+1</f>
        <v>#NUM!</v>
      </c>
      <c r="AG45" s="5" t="e" cm="1">
        <f t="array" ref="AG45">SUMPRODUCT(--(ROUND($D45:$R45,2-INT(LOG10(ABS($D45:$R45))))&lt;ROUND(O45,2-INT(LOG10(ABS(O45))))))+1</f>
        <v>#NUM!</v>
      </c>
      <c r="AH45" s="5" t="e" cm="1">
        <f t="array" ref="AH45">SUMPRODUCT(--(ROUND($D45:$R45,2-INT(LOG10(ABS($D45:$R45))))&lt;ROUND(P45,2-INT(LOG10(ABS(P45))))))+1</f>
        <v>#NUM!</v>
      </c>
      <c r="AI45" s="5" t="e" cm="1">
        <f t="array" ref="AI45">SUMPRODUCT(--(ROUND($D45:$R45,2-INT(LOG10(ABS($D45:$R45))))&lt;ROUND(Q45,2-INT(LOG10(ABS(Q45))))))+1</f>
        <v>#NUM!</v>
      </c>
      <c r="AJ45" s="5" t="e" cm="1">
        <f t="array" ref="AJ45">SUMPRODUCT(--(ROUND($D45:$R45,2-INT(LOG10(ABS($D45:$R45))))&lt;ROUND(R45,2-INT(LOG10(ABS(R45))))))+1</f>
        <v>#NUM!</v>
      </c>
    </row>
    <row r="46" spans="1:36" x14ac:dyDescent="0.25">
      <c r="A46" s="22"/>
      <c r="B46" s="18" t="s">
        <v>72</v>
      </c>
      <c r="C46" s="18" t="s">
        <v>131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18"/>
      <c r="T46" s="18" t="s">
        <v>30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spans="1:36" x14ac:dyDescent="0.25">
      <c r="A47" s="22"/>
      <c r="B47" s="19" t="s">
        <v>72</v>
      </c>
      <c r="C47" s="19" t="s">
        <v>132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19"/>
      <c r="T47" s="19" t="s">
        <v>31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spans="1:36" x14ac:dyDescent="0.25">
      <c r="A48" s="22"/>
      <c r="B48" s="20" t="s">
        <v>73</v>
      </c>
      <c r="C48" s="20" t="s">
        <v>133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0" t="s">
        <v>14</v>
      </c>
      <c r="T48" s="20" t="s">
        <v>29</v>
      </c>
      <c r="V48" s="5" t="e" cm="1">
        <f t="array" ref="V48">SUMPRODUCT(--(ROUND($D48:$R48,2-INT(LOG10(ABS($D48:$R48))))&lt;ROUND(D48,2-INT(LOG10(ABS(D48))))))+1</f>
        <v>#NUM!</v>
      </c>
      <c r="W48" s="5" t="e" cm="1">
        <f t="array" ref="W48">SUMPRODUCT(--(ROUND($D48:$R48,2-INT(LOG10(ABS($D48:$R48))))&lt;ROUND(E48,2-INT(LOG10(ABS(E48))))))+1</f>
        <v>#NUM!</v>
      </c>
      <c r="X48" s="5" t="e" cm="1">
        <f t="array" ref="X48">SUMPRODUCT(--(ROUND($D48:$R48,2-INT(LOG10(ABS($D48:$R48))))&lt;ROUND(F48,2-INT(LOG10(ABS(F48))))))+1</f>
        <v>#NUM!</v>
      </c>
      <c r="Y48" s="5" t="e" cm="1">
        <f t="array" ref="Y48">SUMPRODUCT(--(ROUND($D48:$R48,2-INT(LOG10(ABS($D48:$R48))))&lt;ROUND(G48,2-INT(LOG10(ABS(G48))))))+1</f>
        <v>#NUM!</v>
      </c>
      <c r="Z48" s="5" t="e" cm="1">
        <f t="array" ref="Z48">SUMPRODUCT(--(ROUND($D48:$R48,2-INT(LOG10(ABS($D48:$R48))))&lt;ROUND(H48,2-INT(LOG10(ABS(H48))))))+1</f>
        <v>#NUM!</v>
      </c>
      <c r="AA48" s="5" t="e" cm="1">
        <f t="array" ref="AA48">SUMPRODUCT(--(ROUND($D48:$R48,2-INT(LOG10(ABS($D48:$R48))))&lt;ROUND(I48,2-INT(LOG10(ABS(I48))))))+1</f>
        <v>#NUM!</v>
      </c>
      <c r="AB48" s="5" t="e" cm="1">
        <f t="array" ref="AB48">SUMPRODUCT(--(ROUND($D48:$R48,2-INT(LOG10(ABS($D48:$R48))))&lt;ROUND(J48,2-INT(LOG10(ABS(J48))))))+1</f>
        <v>#NUM!</v>
      </c>
      <c r="AC48" s="5" t="e" cm="1">
        <f t="array" ref="AC48">SUMPRODUCT(--(ROUND($D48:$R48,2-INT(LOG10(ABS($D48:$R48))))&lt;ROUND(K48,2-INT(LOG10(ABS(K48))))))+1</f>
        <v>#NUM!</v>
      </c>
      <c r="AD48" s="5" t="e" cm="1">
        <f t="array" ref="AD48">SUMPRODUCT(--(ROUND($D48:$R48,2-INT(LOG10(ABS($D48:$R48))))&lt;ROUND(L48,2-INT(LOG10(ABS(L48))))))+1</f>
        <v>#NUM!</v>
      </c>
      <c r="AE48" s="5" t="e" cm="1">
        <f t="array" ref="AE48">SUMPRODUCT(--(ROUND($D48:$R48,2-INT(LOG10(ABS($D48:$R48))))&lt;ROUND(M48,2-INT(LOG10(ABS(M48))))))+1</f>
        <v>#NUM!</v>
      </c>
      <c r="AF48" s="5" t="e" cm="1">
        <f t="array" ref="AF48">SUMPRODUCT(--(ROUND($D48:$R48,2-INT(LOG10(ABS($D48:$R48))))&lt;ROUND(N48,2-INT(LOG10(ABS(N48))))))+1</f>
        <v>#NUM!</v>
      </c>
      <c r="AG48" s="5" t="e" cm="1">
        <f t="array" ref="AG48">SUMPRODUCT(--(ROUND($D48:$R48,2-INT(LOG10(ABS($D48:$R48))))&lt;ROUND(O48,2-INT(LOG10(ABS(O48))))))+1</f>
        <v>#NUM!</v>
      </c>
      <c r="AH48" s="5" t="e" cm="1">
        <f t="array" ref="AH48">SUMPRODUCT(--(ROUND($D48:$R48,2-INT(LOG10(ABS($D48:$R48))))&lt;ROUND(P48,2-INT(LOG10(ABS(P48))))))+1</f>
        <v>#NUM!</v>
      </c>
      <c r="AI48" s="5" t="e" cm="1">
        <f t="array" ref="AI48">SUMPRODUCT(--(ROUND($D48:$R48,2-INT(LOG10(ABS($D48:$R48))))&lt;ROUND(Q48,2-INT(LOG10(ABS(Q48))))))+1</f>
        <v>#NUM!</v>
      </c>
      <c r="AJ48" s="5" t="e" cm="1">
        <f t="array" ref="AJ48">SUMPRODUCT(--(ROUND($D48:$R48,2-INT(LOG10(ABS($D48:$R48))))&lt;ROUND(R48,2-INT(LOG10(ABS(R48))))))+1</f>
        <v>#NUM!</v>
      </c>
    </row>
    <row r="49" spans="1:36" x14ac:dyDescent="0.25">
      <c r="A49" s="22"/>
      <c r="B49" s="18" t="s">
        <v>73</v>
      </c>
      <c r="C49" s="18" t="s">
        <v>134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18"/>
      <c r="T49" s="18" t="s">
        <v>30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6" x14ac:dyDescent="0.25">
      <c r="A50" s="22"/>
      <c r="B50" s="19" t="s">
        <v>73</v>
      </c>
      <c r="C50" s="19" t="s">
        <v>135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19"/>
      <c r="T50" s="19" t="s">
        <v>31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6" ht="14.45" customHeight="1" x14ac:dyDescent="0.25">
      <c r="A51" s="22"/>
      <c r="B51" s="20" t="s">
        <v>74</v>
      </c>
      <c r="C51" s="20" t="s">
        <v>136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0" t="s">
        <v>15</v>
      </c>
      <c r="T51" s="20" t="s">
        <v>29</v>
      </c>
      <c r="V51" s="5" t="e" cm="1">
        <f t="array" ref="V51">SUMPRODUCT(--(ROUND($D51:$R51,2-INT(LOG10(ABS($D51:$R51))))&lt;ROUND(D51,2-INT(LOG10(ABS(D51))))))+1</f>
        <v>#NUM!</v>
      </c>
      <c r="W51" s="5" t="e" cm="1">
        <f t="array" ref="W51">SUMPRODUCT(--(ROUND($D51:$R51,2-INT(LOG10(ABS($D51:$R51))))&lt;ROUND(E51,2-INT(LOG10(ABS(E51))))))+1</f>
        <v>#NUM!</v>
      </c>
      <c r="X51" s="5" t="e" cm="1">
        <f t="array" ref="X51">SUMPRODUCT(--(ROUND($D51:$R51,2-INT(LOG10(ABS($D51:$R51))))&lt;ROUND(F51,2-INT(LOG10(ABS(F51))))))+1</f>
        <v>#NUM!</v>
      </c>
      <c r="Y51" s="5" t="e" cm="1">
        <f t="array" ref="Y51">SUMPRODUCT(--(ROUND($D51:$R51,2-INT(LOG10(ABS($D51:$R51))))&lt;ROUND(G51,2-INT(LOG10(ABS(G51))))))+1</f>
        <v>#NUM!</v>
      </c>
      <c r="Z51" s="5" t="e" cm="1">
        <f t="array" ref="Z51">SUMPRODUCT(--(ROUND($D51:$R51,2-INT(LOG10(ABS($D51:$R51))))&lt;ROUND(H51,2-INT(LOG10(ABS(H51))))))+1</f>
        <v>#NUM!</v>
      </c>
      <c r="AA51" s="5" t="e" cm="1">
        <f t="array" ref="AA51">SUMPRODUCT(--(ROUND($D51:$R51,2-INT(LOG10(ABS($D51:$R51))))&lt;ROUND(I51,2-INT(LOG10(ABS(I51))))))+1</f>
        <v>#NUM!</v>
      </c>
      <c r="AB51" s="5" t="e" cm="1">
        <f t="array" ref="AB51">SUMPRODUCT(--(ROUND($D51:$R51,2-INT(LOG10(ABS($D51:$R51))))&lt;ROUND(J51,2-INT(LOG10(ABS(J51))))))+1</f>
        <v>#NUM!</v>
      </c>
      <c r="AC51" s="5" t="e" cm="1">
        <f t="array" ref="AC51">SUMPRODUCT(--(ROUND($D51:$R51,2-INT(LOG10(ABS($D51:$R51))))&lt;ROUND(K51,2-INT(LOG10(ABS(K51))))))+1</f>
        <v>#NUM!</v>
      </c>
      <c r="AD51" s="5" t="e" cm="1">
        <f t="array" ref="AD51">SUMPRODUCT(--(ROUND($D51:$R51,2-INT(LOG10(ABS($D51:$R51))))&lt;ROUND(L51,2-INT(LOG10(ABS(L51))))))+1</f>
        <v>#NUM!</v>
      </c>
      <c r="AE51" s="5" t="e" cm="1">
        <f t="array" ref="AE51">SUMPRODUCT(--(ROUND($D51:$R51,2-INT(LOG10(ABS($D51:$R51))))&lt;ROUND(M51,2-INT(LOG10(ABS(M51))))))+1</f>
        <v>#NUM!</v>
      </c>
      <c r="AF51" s="5" t="e" cm="1">
        <f t="array" ref="AF51">SUMPRODUCT(--(ROUND($D51:$R51,2-INT(LOG10(ABS($D51:$R51))))&lt;ROUND(N51,2-INT(LOG10(ABS(N51))))))+1</f>
        <v>#NUM!</v>
      </c>
      <c r="AG51" s="5" t="e" cm="1">
        <f t="array" ref="AG51">SUMPRODUCT(--(ROUND($D51:$R51,2-INT(LOG10(ABS($D51:$R51))))&lt;ROUND(O51,2-INT(LOG10(ABS(O51))))))+1</f>
        <v>#NUM!</v>
      </c>
      <c r="AH51" s="5" t="e" cm="1">
        <f t="array" ref="AH51">SUMPRODUCT(--(ROUND($D51:$R51,2-INT(LOG10(ABS($D51:$R51))))&lt;ROUND(P51,2-INT(LOG10(ABS(P51))))))+1</f>
        <v>#NUM!</v>
      </c>
      <c r="AI51" s="5" t="e" cm="1">
        <f t="array" ref="AI51">SUMPRODUCT(--(ROUND($D51:$R51,2-INT(LOG10(ABS($D51:$R51))))&lt;ROUND(Q51,2-INT(LOG10(ABS(Q51))))))+1</f>
        <v>#NUM!</v>
      </c>
      <c r="AJ51" s="5" t="e" cm="1">
        <f t="array" ref="AJ51">SUMPRODUCT(--(ROUND($D51:$R51,2-INT(LOG10(ABS($D51:$R51))))&lt;ROUND(R51,2-INT(LOG10(ABS(R51))))))+1</f>
        <v>#NUM!</v>
      </c>
    </row>
    <row r="52" spans="1:36" x14ac:dyDescent="0.25">
      <c r="A52" s="22"/>
      <c r="B52" s="18" t="s">
        <v>74</v>
      </c>
      <c r="C52" s="18" t="s">
        <v>137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18"/>
      <c r="T52" s="18" t="s">
        <v>30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6" x14ac:dyDescent="0.25">
      <c r="A53" s="22"/>
      <c r="B53" s="19" t="s">
        <v>74</v>
      </c>
      <c r="C53" s="19" t="s">
        <v>138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19"/>
      <c r="T53" s="19" t="s">
        <v>31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6" x14ac:dyDescent="0.25">
      <c r="A54" s="22"/>
      <c r="B54" s="20" t="s">
        <v>75</v>
      </c>
      <c r="C54" s="20" t="s">
        <v>139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0" t="s">
        <v>16</v>
      </c>
      <c r="T54" s="20" t="s">
        <v>29</v>
      </c>
      <c r="V54" s="5" t="e" cm="1">
        <f t="array" ref="V54">SUMPRODUCT(--(ROUND($D54:$R54,2-INT(LOG10(ABS($D54:$R54))))&lt;ROUND(D54,2-INT(LOG10(ABS(D54))))))+1</f>
        <v>#NUM!</v>
      </c>
      <c r="W54" s="5" t="e" cm="1">
        <f t="array" ref="W54">SUMPRODUCT(--(ROUND($D54:$R54,2-INT(LOG10(ABS($D54:$R54))))&lt;ROUND(E54,2-INT(LOG10(ABS(E54))))))+1</f>
        <v>#NUM!</v>
      </c>
      <c r="X54" s="5" t="e" cm="1">
        <f t="array" ref="X54">SUMPRODUCT(--(ROUND($D54:$R54,2-INT(LOG10(ABS($D54:$R54))))&lt;ROUND(F54,2-INT(LOG10(ABS(F54))))))+1</f>
        <v>#NUM!</v>
      </c>
      <c r="Y54" s="5" t="e" cm="1">
        <f t="array" ref="Y54">SUMPRODUCT(--(ROUND($D54:$R54,2-INT(LOG10(ABS($D54:$R54))))&lt;ROUND(G54,2-INT(LOG10(ABS(G54))))))+1</f>
        <v>#NUM!</v>
      </c>
      <c r="Z54" s="5" t="e" cm="1">
        <f t="array" ref="Z54">SUMPRODUCT(--(ROUND($D54:$R54,2-INT(LOG10(ABS($D54:$R54))))&lt;ROUND(H54,2-INT(LOG10(ABS(H54))))))+1</f>
        <v>#NUM!</v>
      </c>
      <c r="AA54" s="5" t="e" cm="1">
        <f t="array" ref="AA54">SUMPRODUCT(--(ROUND($D54:$R54,2-INT(LOG10(ABS($D54:$R54))))&lt;ROUND(I54,2-INT(LOG10(ABS(I54))))))+1</f>
        <v>#NUM!</v>
      </c>
      <c r="AB54" s="5" t="e" cm="1">
        <f t="array" ref="AB54">SUMPRODUCT(--(ROUND($D54:$R54,2-INT(LOG10(ABS($D54:$R54))))&lt;ROUND(J54,2-INT(LOG10(ABS(J54))))))+1</f>
        <v>#NUM!</v>
      </c>
      <c r="AC54" s="5" t="e" cm="1">
        <f t="array" ref="AC54">SUMPRODUCT(--(ROUND($D54:$R54,2-INT(LOG10(ABS($D54:$R54))))&lt;ROUND(K54,2-INT(LOG10(ABS(K54))))))+1</f>
        <v>#NUM!</v>
      </c>
      <c r="AD54" s="5" t="e" cm="1">
        <f t="array" ref="AD54">SUMPRODUCT(--(ROUND($D54:$R54,2-INT(LOG10(ABS($D54:$R54))))&lt;ROUND(L54,2-INT(LOG10(ABS(L54))))))+1</f>
        <v>#NUM!</v>
      </c>
      <c r="AE54" s="5" t="e" cm="1">
        <f t="array" ref="AE54">SUMPRODUCT(--(ROUND($D54:$R54,2-INT(LOG10(ABS($D54:$R54))))&lt;ROUND(M54,2-INT(LOG10(ABS(M54))))))+1</f>
        <v>#NUM!</v>
      </c>
      <c r="AF54" s="5" t="e" cm="1">
        <f t="array" ref="AF54">SUMPRODUCT(--(ROUND($D54:$R54,2-INT(LOG10(ABS($D54:$R54))))&lt;ROUND(N54,2-INT(LOG10(ABS(N54))))))+1</f>
        <v>#NUM!</v>
      </c>
      <c r="AG54" s="5" t="e" cm="1">
        <f t="array" ref="AG54">SUMPRODUCT(--(ROUND($D54:$R54,2-INT(LOG10(ABS($D54:$R54))))&lt;ROUND(O54,2-INT(LOG10(ABS(O54))))))+1</f>
        <v>#NUM!</v>
      </c>
      <c r="AH54" s="5" t="e" cm="1">
        <f t="array" ref="AH54">SUMPRODUCT(--(ROUND($D54:$R54,2-INT(LOG10(ABS($D54:$R54))))&lt;ROUND(P54,2-INT(LOG10(ABS(P54))))))+1</f>
        <v>#NUM!</v>
      </c>
      <c r="AI54" s="5" t="e" cm="1">
        <f t="array" ref="AI54">SUMPRODUCT(--(ROUND($D54:$R54,2-INT(LOG10(ABS($D54:$R54))))&lt;ROUND(Q54,2-INT(LOG10(ABS(Q54))))))+1</f>
        <v>#NUM!</v>
      </c>
      <c r="AJ54" s="5" t="e" cm="1">
        <f t="array" ref="AJ54">SUMPRODUCT(--(ROUND($D54:$R54,2-INT(LOG10(ABS($D54:$R54))))&lt;ROUND(R54,2-INT(LOG10(ABS(R54))))))+1</f>
        <v>#NUM!</v>
      </c>
    </row>
    <row r="55" spans="1:36" x14ac:dyDescent="0.25">
      <c r="A55" s="22"/>
      <c r="B55" s="18" t="s">
        <v>75</v>
      </c>
      <c r="C55" s="18" t="s">
        <v>140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18"/>
      <c r="T55" s="18" t="s">
        <v>30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6" x14ac:dyDescent="0.25">
      <c r="A56" s="22"/>
      <c r="B56" s="19" t="s">
        <v>75</v>
      </c>
      <c r="C56" s="19" t="s">
        <v>141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19"/>
      <c r="T56" s="19" t="s">
        <v>31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6" x14ac:dyDescent="0.25">
      <c r="A57" s="22"/>
      <c r="B57" s="20" t="s">
        <v>76</v>
      </c>
      <c r="C57" s="20" t="s">
        <v>142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0" t="s">
        <v>17</v>
      </c>
      <c r="T57" s="20" t="s">
        <v>29</v>
      </c>
      <c r="V57" s="5" t="e" cm="1">
        <f t="array" ref="V57">SUMPRODUCT(--(ROUND($D57:$R57,2-INT(LOG10(ABS($D57:$R57))))&lt;ROUND(D57,2-INT(LOG10(ABS(D57))))))+1</f>
        <v>#NUM!</v>
      </c>
      <c r="W57" s="5" t="e" cm="1">
        <f t="array" ref="W57">SUMPRODUCT(--(ROUND($D57:$R57,2-INT(LOG10(ABS($D57:$R57))))&lt;ROUND(E57,2-INT(LOG10(ABS(E57))))))+1</f>
        <v>#NUM!</v>
      </c>
      <c r="X57" s="5" t="e" cm="1">
        <f t="array" ref="X57">SUMPRODUCT(--(ROUND($D57:$R57,2-INT(LOG10(ABS($D57:$R57))))&lt;ROUND(F57,2-INT(LOG10(ABS(F57))))))+1</f>
        <v>#NUM!</v>
      </c>
      <c r="Y57" s="5" t="e" cm="1">
        <f t="array" ref="Y57">SUMPRODUCT(--(ROUND($D57:$R57,2-INT(LOG10(ABS($D57:$R57))))&lt;ROUND(G57,2-INT(LOG10(ABS(G57))))))+1</f>
        <v>#NUM!</v>
      </c>
      <c r="Z57" s="5" t="e" cm="1">
        <f t="array" ref="Z57">SUMPRODUCT(--(ROUND($D57:$R57,2-INT(LOG10(ABS($D57:$R57))))&lt;ROUND(H57,2-INT(LOG10(ABS(H57))))))+1</f>
        <v>#NUM!</v>
      </c>
      <c r="AA57" s="5" t="e" cm="1">
        <f t="array" ref="AA57">SUMPRODUCT(--(ROUND($D57:$R57,2-INT(LOG10(ABS($D57:$R57))))&lt;ROUND(I57,2-INT(LOG10(ABS(I57))))))+1</f>
        <v>#NUM!</v>
      </c>
      <c r="AB57" s="5" t="e" cm="1">
        <f t="array" ref="AB57">SUMPRODUCT(--(ROUND($D57:$R57,2-INT(LOG10(ABS($D57:$R57))))&lt;ROUND(J57,2-INT(LOG10(ABS(J57))))))+1</f>
        <v>#NUM!</v>
      </c>
      <c r="AC57" s="5" t="e" cm="1">
        <f t="array" ref="AC57">SUMPRODUCT(--(ROUND($D57:$R57,2-INT(LOG10(ABS($D57:$R57))))&lt;ROUND(K57,2-INT(LOG10(ABS(K57))))))+1</f>
        <v>#NUM!</v>
      </c>
      <c r="AD57" s="5" t="e" cm="1">
        <f t="array" ref="AD57">SUMPRODUCT(--(ROUND($D57:$R57,2-INT(LOG10(ABS($D57:$R57))))&lt;ROUND(L57,2-INT(LOG10(ABS(L57))))))+1</f>
        <v>#NUM!</v>
      </c>
      <c r="AE57" s="5" t="e" cm="1">
        <f t="array" ref="AE57">SUMPRODUCT(--(ROUND($D57:$R57,2-INT(LOG10(ABS($D57:$R57))))&lt;ROUND(M57,2-INT(LOG10(ABS(M57))))))+1</f>
        <v>#NUM!</v>
      </c>
      <c r="AF57" s="5" t="e" cm="1">
        <f t="array" ref="AF57">SUMPRODUCT(--(ROUND($D57:$R57,2-INT(LOG10(ABS($D57:$R57))))&lt;ROUND(N57,2-INT(LOG10(ABS(N57))))))+1</f>
        <v>#NUM!</v>
      </c>
      <c r="AG57" s="5" t="e" cm="1">
        <f t="array" ref="AG57">SUMPRODUCT(--(ROUND($D57:$R57,2-INT(LOG10(ABS($D57:$R57))))&lt;ROUND(O57,2-INT(LOG10(ABS(O57))))))+1</f>
        <v>#NUM!</v>
      </c>
      <c r="AH57" s="5" t="e" cm="1">
        <f t="array" ref="AH57">SUMPRODUCT(--(ROUND($D57:$R57,2-INT(LOG10(ABS($D57:$R57))))&lt;ROUND(P57,2-INT(LOG10(ABS(P57))))))+1</f>
        <v>#NUM!</v>
      </c>
      <c r="AI57" s="5" t="e" cm="1">
        <f t="array" ref="AI57">SUMPRODUCT(--(ROUND($D57:$R57,2-INT(LOG10(ABS($D57:$R57))))&lt;ROUND(Q57,2-INT(LOG10(ABS(Q57))))))+1</f>
        <v>#NUM!</v>
      </c>
      <c r="AJ57" s="5" t="e" cm="1">
        <f t="array" ref="AJ57">SUMPRODUCT(--(ROUND($D57:$R57,2-INT(LOG10(ABS($D57:$R57))))&lt;ROUND(R57,2-INT(LOG10(ABS(R57))))))+1</f>
        <v>#NUM!</v>
      </c>
    </row>
    <row r="58" spans="1:36" x14ac:dyDescent="0.25">
      <c r="A58" s="22"/>
      <c r="B58" s="18" t="s">
        <v>76</v>
      </c>
      <c r="C58" s="18" t="s">
        <v>143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18"/>
      <c r="T58" s="18" t="s">
        <v>30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6" x14ac:dyDescent="0.25">
      <c r="A59" s="25"/>
      <c r="B59" s="19" t="s">
        <v>76</v>
      </c>
      <c r="C59" s="19" t="s">
        <v>144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19"/>
      <c r="T59" s="19" t="s">
        <v>31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6" x14ac:dyDescent="0.25">
      <c r="A60" s="27" t="s">
        <v>34</v>
      </c>
      <c r="B60" s="20" t="s">
        <v>77</v>
      </c>
      <c r="C60" s="20" t="s">
        <v>145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0" t="s">
        <v>18</v>
      </c>
      <c r="T60" s="20" t="s">
        <v>29</v>
      </c>
      <c r="V60" s="5" t="e" cm="1">
        <f t="array" ref="V60">SUMPRODUCT(--(ROUND($D60:$R60,2-INT(LOG10(ABS($D60:$R60))))&lt;ROUND(D60,2-INT(LOG10(ABS(D60))))))+1</f>
        <v>#NUM!</v>
      </c>
      <c r="W60" s="5" t="e" cm="1">
        <f t="array" ref="W60">SUMPRODUCT(--(ROUND($D60:$R60,2-INT(LOG10(ABS($D60:$R60))))&lt;ROUND(E60,2-INT(LOG10(ABS(E60))))))+1</f>
        <v>#NUM!</v>
      </c>
      <c r="X60" s="5" t="e" cm="1">
        <f t="array" ref="X60">SUMPRODUCT(--(ROUND($D60:$R60,2-INT(LOG10(ABS($D60:$R60))))&lt;ROUND(F60,2-INT(LOG10(ABS(F60))))))+1</f>
        <v>#NUM!</v>
      </c>
      <c r="Y60" s="5" t="e" cm="1">
        <f t="array" ref="Y60">SUMPRODUCT(--(ROUND($D60:$R60,2-INT(LOG10(ABS($D60:$R60))))&lt;ROUND(G60,2-INT(LOG10(ABS(G60))))))+1</f>
        <v>#NUM!</v>
      </c>
      <c r="Z60" s="5" t="e" cm="1">
        <f t="array" ref="Z60">SUMPRODUCT(--(ROUND($D60:$R60,2-INT(LOG10(ABS($D60:$R60))))&lt;ROUND(H60,2-INT(LOG10(ABS(H60))))))+1</f>
        <v>#NUM!</v>
      </c>
      <c r="AA60" s="5" t="e" cm="1">
        <f t="array" ref="AA60">SUMPRODUCT(--(ROUND($D60:$R60,2-INT(LOG10(ABS($D60:$R60))))&lt;ROUND(I60,2-INT(LOG10(ABS(I60))))))+1</f>
        <v>#NUM!</v>
      </c>
      <c r="AB60" s="5" t="e" cm="1">
        <f t="array" ref="AB60">SUMPRODUCT(--(ROUND($D60:$R60,2-INT(LOG10(ABS($D60:$R60))))&lt;ROUND(J60,2-INT(LOG10(ABS(J60))))))+1</f>
        <v>#NUM!</v>
      </c>
      <c r="AC60" s="5" t="e" cm="1">
        <f t="array" ref="AC60">SUMPRODUCT(--(ROUND($D60:$R60,2-INT(LOG10(ABS($D60:$R60))))&lt;ROUND(K60,2-INT(LOG10(ABS(K60))))))+1</f>
        <v>#NUM!</v>
      </c>
      <c r="AD60" s="5" t="e" cm="1">
        <f t="array" ref="AD60">SUMPRODUCT(--(ROUND($D60:$R60,2-INT(LOG10(ABS($D60:$R60))))&lt;ROUND(L60,2-INT(LOG10(ABS(L60))))))+1</f>
        <v>#NUM!</v>
      </c>
      <c r="AE60" s="5" t="e" cm="1">
        <f t="array" ref="AE60">SUMPRODUCT(--(ROUND($D60:$R60,2-INT(LOG10(ABS($D60:$R60))))&lt;ROUND(M60,2-INT(LOG10(ABS(M60))))))+1</f>
        <v>#NUM!</v>
      </c>
      <c r="AF60" s="5" t="e" cm="1">
        <f t="array" ref="AF60">SUMPRODUCT(--(ROUND($D60:$R60,2-INT(LOG10(ABS($D60:$R60))))&lt;ROUND(N60,2-INT(LOG10(ABS(N60))))))+1</f>
        <v>#NUM!</v>
      </c>
      <c r="AG60" s="5" t="e" cm="1">
        <f t="array" ref="AG60">SUMPRODUCT(--(ROUND($D60:$R60,2-INT(LOG10(ABS($D60:$R60))))&lt;ROUND(O60,2-INT(LOG10(ABS(O60))))))+1</f>
        <v>#NUM!</v>
      </c>
      <c r="AH60" s="5" t="e" cm="1">
        <f t="array" ref="AH60">SUMPRODUCT(--(ROUND($D60:$R60,2-INT(LOG10(ABS($D60:$R60))))&lt;ROUND(P60,2-INT(LOG10(ABS(P60))))))+1</f>
        <v>#NUM!</v>
      </c>
      <c r="AI60" s="5" t="e" cm="1">
        <f t="array" ref="AI60">SUMPRODUCT(--(ROUND($D60:$R60,2-INT(LOG10(ABS($D60:$R60))))&lt;ROUND(Q60,2-INT(LOG10(ABS(Q60))))))+1</f>
        <v>#NUM!</v>
      </c>
      <c r="AJ60" s="5" t="e" cm="1">
        <f t="array" ref="AJ60">SUMPRODUCT(--(ROUND($D60:$R60,2-INT(LOG10(ABS($D60:$R60))))&lt;ROUND(R60,2-INT(LOG10(ABS(R60))))))+1</f>
        <v>#NUM!</v>
      </c>
    </row>
    <row r="61" spans="1:36" x14ac:dyDescent="0.25">
      <c r="A61" s="22"/>
      <c r="B61" s="18" t="s">
        <v>77</v>
      </c>
      <c r="C61" s="18" t="s">
        <v>146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18"/>
      <c r="T61" s="18" t="s">
        <v>30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6" x14ac:dyDescent="0.25">
      <c r="A62" s="22"/>
      <c r="B62" s="19" t="s">
        <v>77</v>
      </c>
      <c r="C62" s="19" t="s">
        <v>147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19"/>
      <c r="T62" s="19" t="s">
        <v>31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6" x14ac:dyDescent="0.25">
      <c r="A63" s="22"/>
      <c r="B63" s="20" t="s">
        <v>78</v>
      </c>
      <c r="C63" s="20" t="s">
        <v>148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0" t="s">
        <v>19</v>
      </c>
      <c r="T63" s="20" t="s">
        <v>29</v>
      </c>
      <c r="V63" s="5" t="e" cm="1">
        <f t="array" ref="V63">SUMPRODUCT(--(ROUND($D63:$R63,2-INT(LOG10(ABS($D63:$R63))))&lt;ROUND(D63,2-INT(LOG10(ABS(D63))))))+1</f>
        <v>#NUM!</v>
      </c>
      <c r="W63" s="5" t="e" cm="1">
        <f t="array" ref="W63">SUMPRODUCT(--(ROUND($D63:$R63,2-INT(LOG10(ABS($D63:$R63))))&lt;ROUND(E63,2-INT(LOG10(ABS(E63))))))+1</f>
        <v>#NUM!</v>
      </c>
      <c r="X63" s="5" t="e" cm="1">
        <f t="array" ref="X63">SUMPRODUCT(--(ROUND($D63:$R63,2-INT(LOG10(ABS($D63:$R63))))&lt;ROUND(F63,2-INT(LOG10(ABS(F63))))))+1</f>
        <v>#NUM!</v>
      </c>
      <c r="Y63" s="5" t="e" cm="1">
        <f t="array" ref="Y63">SUMPRODUCT(--(ROUND($D63:$R63,2-INT(LOG10(ABS($D63:$R63))))&lt;ROUND(G63,2-INT(LOG10(ABS(G63))))))+1</f>
        <v>#NUM!</v>
      </c>
      <c r="Z63" s="5" t="e" cm="1">
        <f t="array" ref="Z63">SUMPRODUCT(--(ROUND($D63:$R63,2-INT(LOG10(ABS($D63:$R63))))&lt;ROUND(H63,2-INT(LOG10(ABS(H63))))))+1</f>
        <v>#NUM!</v>
      </c>
      <c r="AA63" s="5" t="e" cm="1">
        <f t="array" ref="AA63">SUMPRODUCT(--(ROUND($D63:$R63,2-INT(LOG10(ABS($D63:$R63))))&lt;ROUND(I63,2-INT(LOG10(ABS(I63))))))+1</f>
        <v>#NUM!</v>
      </c>
      <c r="AB63" s="5" t="e" cm="1">
        <f t="array" ref="AB63">SUMPRODUCT(--(ROUND($D63:$R63,2-INT(LOG10(ABS($D63:$R63))))&lt;ROUND(J63,2-INT(LOG10(ABS(J63))))))+1</f>
        <v>#NUM!</v>
      </c>
      <c r="AC63" s="5" t="e" cm="1">
        <f t="array" ref="AC63">SUMPRODUCT(--(ROUND($D63:$R63,2-INT(LOG10(ABS($D63:$R63))))&lt;ROUND(K63,2-INT(LOG10(ABS(K63))))))+1</f>
        <v>#NUM!</v>
      </c>
      <c r="AD63" s="5" t="e" cm="1">
        <f t="array" ref="AD63">SUMPRODUCT(--(ROUND($D63:$R63,2-INT(LOG10(ABS($D63:$R63))))&lt;ROUND(L63,2-INT(LOG10(ABS(L63))))))+1</f>
        <v>#NUM!</v>
      </c>
      <c r="AE63" s="5" t="e" cm="1">
        <f t="array" ref="AE63">SUMPRODUCT(--(ROUND($D63:$R63,2-INT(LOG10(ABS($D63:$R63))))&lt;ROUND(M63,2-INT(LOG10(ABS(M63))))))+1</f>
        <v>#NUM!</v>
      </c>
      <c r="AF63" s="5" t="e" cm="1">
        <f t="array" ref="AF63">SUMPRODUCT(--(ROUND($D63:$R63,2-INT(LOG10(ABS($D63:$R63))))&lt;ROUND(N63,2-INT(LOG10(ABS(N63))))))+1</f>
        <v>#NUM!</v>
      </c>
      <c r="AG63" s="5" t="e" cm="1">
        <f t="array" ref="AG63">SUMPRODUCT(--(ROUND($D63:$R63,2-INT(LOG10(ABS($D63:$R63))))&lt;ROUND(O63,2-INT(LOG10(ABS(O63))))))+1</f>
        <v>#NUM!</v>
      </c>
      <c r="AH63" s="5" t="e" cm="1">
        <f t="array" ref="AH63">SUMPRODUCT(--(ROUND($D63:$R63,2-INT(LOG10(ABS($D63:$R63))))&lt;ROUND(P63,2-INT(LOG10(ABS(P63))))))+1</f>
        <v>#NUM!</v>
      </c>
      <c r="AI63" s="5" t="e" cm="1">
        <f t="array" ref="AI63">SUMPRODUCT(--(ROUND($D63:$R63,2-INT(LOG10(ABS($D63:$R63))))&lt;ROUND(Q63,2-INT(LOG10(ABS(Q63))))))+1</f>
        <v>#NUM!</v>
      </c>
      <c r="AJ63" s="5" t="e" cm="1">
        <f t="array" ref="AJ63">SUMPRODUCT(--(ROUND($D63:$R63,2-INT(LOG10(ABS($D63:$R63))))&lt;ROUND(R63,2-INT(LOG10(ABS(R63))))))+1</f>
        <v>#NUM!</v>
      </c>
    </row>
    <row r="64" spans="1:36" x14ac:dyDescent="0.25">
      <c r="A64" s="22"/>
      <c r="B64" s="18" t="s">
        <v>78</v>
      </c>
      <c r="C64" s="18" t="s">
        <v>149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18"/>
      <c r="T64" s="18" t="s">
        <v>30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6" x14ac:dyDescent="0.25">
      <c r="A65" s="22"/>
      <c r="B65" s="19" t="s">
        <v>78</v>
      </c>
      <c r="C65" s="19" t="s">
        <v>150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19"/>
      <c r="T65" s="19" t="s">
        <v>31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6" x14ac:dyDescent="0.25">
      <c r="A66" s="22"/>
      <c r="B66" s="20" t="s">
        <v>79</v>
      </c>
      <c r="C66" s="20" t="s">
        <v>151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0" t="s">
        <v>20</v>
      </c>
      <c r="T66" s="20" t="s">
        <v>29</v>
      </c>
      <c r="V66" s="5" t="e" cm="1">
        <f t="array" ref="V66">SUMPRODUCT(--(ROUND($D66:$R66,2-INT(LOG10(ABS($D66:$R66))))&lt;ROUND(D66,2-INT(LOG10(ABS(D66))))))+1</f>
        <v>#NUM!</v>
      </c>
      <c r="W66" s="5" t="e" cm="1">
        <f t="array" ref="W66">SUMPRODUCT(--(ROUND($D66:$R66,2-INT(LOG10(ABS($D66:$R66))))&lt;ROUND(E66,2-INT(LOG10(ABS(E66))))))+1</f>
        <v>#NUM!</v>
      </c>
      <c r="X66" s="5" t="e" cm="1">
        <f t="array" ref="X66">SUMPRODUCT(--(ROUND($D66:$R66,2-INT(LOG10(ABS($D66:$R66))))&lt;ROUND(F66,2-INT(LOG10(ABS(F66))))))+1</f>
        <v>#NUM!</v>
      </c>
      <c r="Y66" s="5" t="e" cm="1">
        <f t="array" ref="Y66">SUMPRODUCT(--(ROUND($D66:$R66,2-INT(LOG10(ABS($D66:$R66))))&lt;ROUND(G66,2-INT(LOG10(ABS(G66))))))+1</f>
        <v>#NUM!</v>
      </c>
      <c r="Z66" s="5" t="e" cm="1">
        <f t="array" ref="Z66">SUMPRODUCT(--(ROUND($D66:$R66,2-INT(LOG10(ABS($D66:$R66))))&lt;ROUND(H66,2-INT(LOG10(ABS(H66))))))+1</f>
        <v>#NUM!</v>
      </c>
      <c r="AA66" s="5" t="e" cm="1">
        <f t="array" ref="AA66">SUMPRODUCT(--(ROUND($D66:$R66,2-INT(LOG10(ABS($D66:$R66))))&lt;ROUND(I66,2-INT(LOG10(ABS(I66))))))+1</f>
        <v>#NUM!</v>
      </c>
      <c r="AB66" s="5" t="e" cm="1">
        <f t="array" ref="AB66">SUMPRODUCT(--(ROUND($D66:$R66,2-INT(LOG10(ABS($D66:$R66))))&lt;ROUND(J66,2-INT(LOG10(ABS(J66))))))+1</f>
        <v>#NUM!</v>
      </c>
      <c r="AC66" s="5" t="e" cm="1">
        <f t="array" ref="AC66">SUMPRODUCT(--(ROUND($D66:$R66,2-INT(LOG10(ABS($D66:$R66))))&lt;ROUND(K66,2-INT(LOG10(ABS(K66))))))+1</f>
        <v>#NUM!</v>
      </c>
      <c r="AD66" s="5" t="e" cm="1">
        <f t="array" ref="AD66">SUMPRODUCT(--(ROUND($D66:$R66,2-INT(LOG10(ABS($D66:$R66))))&lt;ROUND(L66,2-INT(LOG10(ABS(L66))))))+1</f>
        <v>#NUM!</v>
      </c>
      <c r="AE66" s="5" t="e" cm="1">
        <f t="array" ref="AE66">SUMPRODUCT(--(ROUND($D66:$R66,2-INT(LOG10(ABS($D66:$R66))))&lt;ROUND(M66,2-INT(LOG10(ABS(M66))))))+1</f>
        <v>#NUM!</v>
      </c>
      <c r="AF66" s="5" t="e" cm="1">
        <f t="array" ref="AF66">SUMPRODUCT(--(ROUND($D66:$R66,2-INT(LOG10(ABS($D66:$R66))))&lt;ROUND(N66,2-INT(LOG10(ABS(N66))))))+1</f>
        <v>#NUM!</v>
      </c>
      <c r="AG66" s="5" t="e" cm="1">
        <f t="array" ref="AG66">SUMPRODUCT(--(ROUND($D66:$R66,2-INT(LOG10(ABS($D66:$R66))))&lt;ROUND(O66,2-INT(LOG10(ABS(O66))))))+1</f>
        <v>#NUM!</v>
      </c>
      <c r="AH66" s="5" t="e" cm="1">
        <f t="array" ref="AH66">SUMPRODUCT(--(ROUND($D66:$R66,2-INT(LOG10(ABS($D66:$R66))))&lt;ROUND(P66,2-INT(LOG10(ABS(P66))))))+1</f>
        <v>#NUM!</v>
      </c>
      <c r="AI66" s="5" t="e" cm="1">
        <f t="array" ref="AI66">SUMPRODUCT(--(ROUND($D66:$R66,2-INT(LOG10(ABS($D66:$R66))))&lt;ROUND(Q66,2-INT(LOG10(ABS(Q66))))))+1</f>
        <v>#NUM!</v>
      </c>
      <c r="AJ66" s="5" t="e" cm="1">
        <f t="array" ref="AJ66">SUMPRODUCT(--(ROUND($D66:$R66,2-INT(LOG10(ABS($D66:$R66))))&lt;ROUND(R66,2-INT(LOG10(ABS(R66))))))+1</f>
        <v>#NUM!</v>
      </c>
    </row>
    <row r="67" spans="1:36" x14ac:dyDescent="0.25">
      <c r="A67" s="22"/>
      <c r="B67" s="18" t="s">
        <v>79</v>
      </c>
      <c r="C67" s="18" t="s">
        <v>152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18"/>
      <c r="T67" s="18" t="s">
        <v>30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6" x14ac:dyDescent="0.25">
      <c r="A68" s="22"/>
      <c r="B68" s="19" t="s">
        <v>79</v>
      </c>
      <c r="C68" s="19" t="s">
        <v>153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19"/>
      <c r="T68" s="19" t="s">
        <v>31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6" ht="14.45" customHeight="1" x14ac:dyDescent="0.25">
      <c r="A69" s="22"/>
      <c r="B69" s="20" t="s">
        <v>80</v>
      </c>
      <c r="C69" s="20" t="s">
        <v>154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0" t="s">
        <v>21</v>
      </c>
      <c r="T69" s="20" t="s">
        <v>29</v>
      </c>
      <c r="V69" s="5" t="e" cm="1">
        <f t="array" ref="V69">SUMPRODUCT(--(ROUND($D69:$R69,2-INT(LOG10(ABS($D69:$R69))))&lt;ROUND(D69,2-INT(LOG10(ABS(D69))))))+1</f>
        <v>#NUM!</v>
      </c>
      <c r="W69" s="5" t="e" cm="1">
        <f t="array" ref="W69">SUMPRODUCT(--(ROUND($D69:$R69,2-INT(LOG10(ABS($D69:$R69))))&lt;ROUND(E69,2-INT(LOG10(ABS(E69))))))+1</f>
        <v>#NUM!</v>
      </c>
      <c r="X69" s="5" t="e" cm="1">
        <f t="array" ref="X69">SUMPRODUCT(--(ROUND($D69:$R69,2-INT(LOG10(ABS($D69:$R69))))&lt;ROUND(F69,2-INT(LOG10(ABS(F69))))))+1</f>
        <v>#NUM!</v>
      </c>
      <c r="Y69" s="5" t="e" cm="1">
        <f t="array" ref="Y69">SUMPRODUCT(--(ROUND($D69:$R69,2-INT(LOG10(ABS($D69:$R69))))&lt;ROUND(G69,2-INT(LOG10(ABS(G69))))))+1</f>
        <v>#NUM!</v>
      </c>
      <c r="Z69" s="5" t="e" cm="1">
        <f t="array" ref="Z69">SUMPRODUCT(--(ROUND($D69:$R69,2-INT(LOG10(ABS($D69:$R69))))&lt;ROUND(H69,2-INT(LOG10(ABS(H69))))))+1</f>
        <v>#NUM!</v>
      </c>
      <c r="AA69" s="5" t="e" cm="1">
        <f t="array" ref="AA69">SUMPRODUCT(--(ROUND($D69:$R69,2-INT(LOG10(ABS($D69:$R69))))&lt;ROUND(I69,2-INT(LOG10(ABS(I69))))))+1</f>
        <v>#NUM!</v>
      </c>
      <c r="AB69" s="5" t="e" cm="1">
        <f t="array" ref="AB69">SUMPRODUCT(--(ROUND($D69:$R69,2-INT(LOG10(ABS($D69:$R69))))&lt;ROUND(J69,2-INT(LOG10(ABS(J69))))))+1</f>
        <v>#NUM!</v>
      </c>
      <c r="AC69" s="5" t="e" cm="1">
        <f t="array" ref="AC69">SUMPRODUCT(--(ROUND($D69:$R69,2-INT(LOG10(ABS($D69:$R69))))&lt;ROUND(K69,2-INT(LOG10(ABS(K69))))))+1</f>
        <v>#NUM!</v>
      </c>
      <c r="AD69" s="5" t="e" cm="1">
        <f t="array" ref="AD69">SUMPRODUCT(--(ROUND($D69:$R69,2-INT(LOG10(ABS($D69:$R69))))&lt;ROUND(L69,2-INT(LOG10(ABS(L69))))))+1</f>
        <v>#NUM!</v>
      </c>
      <c r="AE69" s="5" t="e" cm="1">
        <f t="array" ref="AE69">SUMPRODUCT(--(ROUND($D69:$R69,2-INT(LOG10(ABS($D69:$R69))))&lt;ROUND(M69,2-INT(LOG10(ABS(M69))))))+1</f>
        <v>#NUM!</v>
      </c>
      <c r="AF69" s="5" t="e" cm="1">
        <f t="array" ref="AF69">SUMPRODUCT(--(ROUND($D69:$R69,2-INT(LOG10(ABS($D69:$R69))))&lt;ROUND(N69,2-INT(LOG10(ABS(N69))))))+1</f>
        <v>#NUM!</v>
      </c>
      <c r="AG69" s="5" t="e" cm="1">
        <f t="array" ref="AG69">SUMPRODUCT(--(ROUND($D69:$R69,2-INT(LOG10(ABS($D69:$R69))))&lt;ROUND(O69,2-INT(LOG10(ABS(O69))))))+1</f>
        <v>#NUM!</v>
      </c>
      <c r="AH69" s="5" t="e" cm="1">
        <f t="array" ref="AH69">SUMPRODUCT(--(ROUND($D69:$R69,2-INT(LOG10(ABS($D69:$R69))))&lt;ROUND(P69,2-INT(LOG10(ABS(P69))))))+1</f>
        <v>#NUM!</v>
      </c>
      <c r="AI69" s="5" t="e" cm="1">
        <f t="array" ref="AI69">SUMPRODUCT(--(ROUND($D69:$R69,2-INT(LOG10(ABS($D69:$R69))))&lt;ROUND(Q69,2-INT(LOG10(ABS(Q69))))))+1</f>
        <v>#NUM!</v>
      </c>
      <c r="AJ69" s="5" t="e" cm="1">
        <f t="array" ref="AJ69">SUMPRODUCT(--(ROUND($D69:$R69,2-INT(LOG10(ABS($D69:$R69))))&lt;ROUND(R69,2-INT(LOG10(ABS(R69))))))+1</f>
        <v>#NUM!</v>
      </c>
    </row>
    <row r="70" spans="1:36" x14ac:dyDescent="0.25">
      <c r="A70" s="22"/>
      <c r="B70" s="18" t="s">
        <v>80</v>
      </c>
      <c r="C70" s="18" t="s">
        <v>155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18"/>
      <c r="T70" s="18" t="s">
        <v>30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6" x14ac:dyDescent="0.25">
      <c r="A71" s="22"/>
      <c r="B71" s="19" t="s">
        <v>80</v>
      </c>
      <c r="C71" s="19" t="s">
        <v>156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19"/>
      <c r="T71" s="19" t="s">
        <v>31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6" x14ac:dyDescent="0.25">
      <c r="A72" s="22"/>
      <c r="B72" s="20" t="s">
        <v>81</v>
      </c>
      <c r="C72" s="20" t="s">
        <v>157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0" t="s">
        <v>22</v>
      </c>
      <c r="T72" s="20" t="s">
        <v>29</v>
      </c>
      <c r="V72" s="5" t="e" cm="1">
        <f t="array" ref="V72">SUMPRODUCT(--(ROUND($D72:$R72,2-INT(LOG10(ABS($D72:$R72))))&lt;ROUND(D72,2-INT(LOG10(ABS(D72))))))+1</f>
        <v>#NUM!</v>
      </c>
      <c r="W72" s="5" t="e" cm="1">
        <f t="array" ref="W72">SUMPRODUCT(--(ROUND($D72:$R72,2-INT(LOG10(ABS($D72:$R72))))&lt;ROUND(E72,2-INT(LOG10(ABS(E72))))))+1</f>
        <v>#NUM!</v>
      </c>
      <c r="X72" s="5" t="e" cm="1">
        <f t="array" ref="X72">SUMPRODUCT(--(ROUND($D72:$R72,2-INT(LOG10(ABS($D72:$R72))))&lt;ROUND(F72,2-INT(LOG10(ABS(F72))))))+1</f>
        <v>#NUM!</v>
      </c>
      <c r="Y72" s="5" t="e" cm="1">
        <f t="array" ref="Y72">SUMPRODUCT(--(ROUND($D72:$R72,2-INT(LOG10(ABS($D72:$R72))))&lt;ROUND(G72,2-INT(LOG10(ABS(G72))))))+1</f>
        <v>#NUM!</v>
      </c>
      <c r="Z72" s="5" t="e" cm="1">
        <f t="array" ref="Z72">SUMPRODUCT(--(ROUND($D72:$R72,2-INT(LOG10(ABS($D72:$R72))))&lt;ROUND(H72,2-INT(LOG10(ABS(H72))))))+1</f>
        <v>#NUM!</v>
      </c>
      <c r="AA72" s="5" t="e" cm="1">
        <f t="array" ref="AA72">SUMPRODUCT(--(ROUND($D72:$R72,2-INT(LOG10(ABS($D72:$R72))))&lt;ROUND(I72,2-INT(LOG10(ABS(I72))))))+1</f>
        <v>#NUM!</v>
      </c>
      <c r="AB72" s="5" t="e" cm="1">
        <f t="array" ref="AB72">SUMPRODUCT(--(ROUND($D72:$R72,2-INT(LOG10(ABS($D72:$R72))))&lt;ROUND(J72,2-INT(LOG10(ABS(J72))))))+1</f>
        <v>#NUM!</v>
      </c>
      <c r="AC72" s="5" t="e" cm="1">
        <f t="array" ref="AC72">SUMPRODUCT(--(ROUND($D72:$R72,2-INT(LOG10(ABS($D72:$R72))))&lt;ROUND(K72,2-INT(LOG10(ABS(K72))))))+1</f>
        <v>#NUM!</v>
      </c>
      <c r="AD72" s="5" t="e" cm="1">
        <f t="array" ref="AD72">SUMPRODUCT(--(ROUND($D72:$R72,2-INT(LOG10(ABS($D72:$R72))))&lt;ROUND(L72,2-INT(LOG10(ABS(L72))))))+1</f>
        <v>#NUM!</v>
      </c>
      <c r="AE72" s="5" t="e" cm="1">
        <f t="array" ref="AE72">SUMPRODUCT(--(ROUND($D72:$R72,2-INT(LOG10(ABS($D72:$R72))))&lt;ROUND(M72,2-INT(LOG10(ABS(M72))))))+1</f>
        <v>#NUM!</v>
      </c>
      <c r="AF72" s="5" t="e" cm="1">
        <f t="array" ref="AF72">SUMPRODUCT(--(ROUND($D72:$R72,2-INT(LOG10(ABS($D72:$R72))))&lt;ROUND(N72,2-INT(LOG10(ABS(N72))))))+1</f>
        <v>#NUM!</v>
      </c>
      <c r="AG72" s="5" t="e" cm="1">
        <f t="array" ref="AG72">SUMPRODUCT(--(ROUND($D72:$R72,2-INT(LOG10(ABS($D72:$R72))))&lt;ROUND(O72,2-INT(LOG10(ABS(O72))))))+1</f>
        <v>#NUM!</v>
      </c>
      <c r="AH72" s="5" t="e" cm="1">
        <f t="array" ref="AH72">SUMPRODUCT(--(ROUND($D72:$R72,2-INT(LOG10(ABS($D72:$R72))))&lt;ROUND(P72,2-INT(LOG10(ABS(P72))))))+1</f>
        <v>#NUM!</v>
      </c>
      <c r="AI72" s="5" t="e" cm="1">
        <f t="array" ref="AI72">SUMPRODUCT(--(ROUND($D72:$R72,2-INT(LOG10(ABS($D72:$R72))))&lt;ROUND(Q72,2-INT(LOG10(ABS(Q72))))))+1</f>
        <v>#NUM!</v>
      </c>
      <c r="AJ72" s="5" t="e" cm="1">
        <f t="array" ref="AJ72">SUMPRODUCT(--(ROUND($D72:$R72,2-INT(LOG10(ABS($D72:$R72))))&lt;ROUND(R72,2-INT(LOG10(ABS(R72))))))+1</f>
        <v>#NUM!</v>
      </c>
    </row>
    <row r="73" spans="1:36" x14ac:dyDescent="0.25">
      <c r="A73" s="22"/>
      <c r="B73" s="18" t="s">
        <v>81</v>
      </c>
      <c r="C73" s="18" t="s">
        <v>158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18"/>
      <c r="T73" s="18" t="s">
        <v>30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6" x14ac:dyDescent="0.25">
      <c r="A74" s="22"/>
      <c r="B74" s="19" t="s">
        <v>81</v>
      </c>
      <c r="C74" s="19" t="s">
        <v>159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19"/>
      <c r="T74" s="19" t="s">
        <v>31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6" x14ac:dyDescent="0.25">
      <c r="A75" s="22"/>
      <c r="B75" s="20" t="s">
        <v>82</v>
      </c>
      <c r="C75" s="20" t="s">
        <v>160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0" t="s">
        <v>23</v>
      </c>
      <c r="T75" s="20" t="s">
        <v>29</v>
      </c>
      <c r="V75" s="5" t="e" cm="1">
        <f t="array" ref="V75">SUMPRODUCT(--(ROUND($D75:$R75,2-INT(LOG10(ABS($D75:$R75))))&lt;ROUND(D75,2-INT(LOG10(ABS(D75))))))+1</f>
        <v>#NUM!</v>
      </c>
      <c r="W75" s="5" t="e" cm="1">
        <f t="array" ref="W75">SUMPRODUCT(--(ROUND($D75:$R75,2-INT(LOG10(ABS($D75:$R75))))&lt;ROUND(E75,2-INT(LOG10(ABS(E75))))))+1</f>
        <v>#NUM!</v>
      </c>
      <c r="X75" s="5" t="e" cm="1">
        <f t="array" ref="X75">SUMPRODUCT(--(ROUND($D75:$R75,2-INT(LOG10(ABS($D75:$R75))))&lt;ROUND(F75,2-INT(LOG10(ABS(F75))))))+1</f>
        <v>#NUM!</v>
      </c>
      <c r="Y75" s="5" t="e" cm="1">
        <f t="array" ref="Y75">SUMPRODUCT(--(ROUND($D75:$R75,2-INT(LOG10(ABS($D75:$R75))))&lt;ROUND(G75,2-INT(LOG10(ABS(G75))))))+1</f>
        <v>#NUM!</v>
      </c>
      <c r="Z75" s="5" t="e" cm="1">
        <f t="array" ref="Z75">SUMPRODUCT(--(ROUND($D75:$R75,2-INT(LOG10(ABS($D75:$R75))))&lt;ROUND(H75,2-INT(LOG10(ABS(H75))))))+1</f>
        <v>#NUM!</v>
      </c>
      <c r="AA75" s="5" t="e" cm="1">
        <f t="array" ref="AA75">SUMPRODUCT(--(ROUND($D75:$R75,2-INT(LOG10(ABS($D75:$R75))))&lt;ROUND(I75,2-INT(LOG10(ABS(I75))))))+1</f>
        <v>#NUM!</v>
      </c>
      <c r="AB75" s="5" t="e" cm="1">
        <f t="array" ref="AB75">SUMPRODUCT(--(ROUND($D75:$R75,2-INT(LOG10(ABS($D75:$R75))))&lt;ROUND(J75,2-INT(LOG10(ABS(J75))))))+1</f>
        <v>#NUM!</v>
      </c>
      <c r="AC75" s="5" t="e" cm="1">
        <f t="array" ref="AC75">SUMPRODUCT(--(ROUND($D75:$R75,2-INT(LOG10(ABS($D75:$R75))))&lt;ROUND(K75,2-INT(LOG10(ABS(K75))))))+1</f>
        <v>#NUM!</v>
      </c>
      <c r="AD75" s="5" t="e" cm="1">
        <f t="array" ref="AD75">SUMPRODUCT(--(ROUND($D75:$R75,2-INT(LOG10(ABS($D75:$R75))))&lt;ROUND(L75,2-INT(LOG10(ABS(L75))))))+1</f>
        <v>#NUM!</v>
      </c>
      <c r="AE75" s="5" t="e" cm="1">
        <f t="array" ref="AE75">SUMPRODUCT(--(ROUND($D75:$R75,2-INT(LOG10(ABS($D75:$R75))))&lt;ROUND(M75,2-INT(LOG10(ABS(M75))))))+1</f>
        <v>#NUM!</v>
      </c>
      <c r="AF75" s="5" t="e" cm="1">
        <f t="array" ref="AF75">SUMPRODUCT(--(ROUND($D75:$R75,2-INT(LOG10(ABS($D75:$R75))))&lt;ROUND(N75,2-INT(LOG10(ABS(N75))))))+1</f>
        <v>#NUM!</v>
      </c>
      <c r="AG75" s="5" t="e" cm="1">
        <f t="array" ref="AG75">SUMPRODUCT(--(ROUND($D75:$R75,2-INT(LOG10(ABS($D75:$R75))))&lt;ROUND(O75,2-INT(LOG10(ABS(O75))))))+1</f>
        <v>#NUM!</v>
      </c>
      <c r="AH75" s="5" t="e" cm="1">
        <f t="array" ref="AH75">SUMPRODUCT(--(ROUND($D75:$R75,2-INT(LOG10(ABS($D75:$R75))))&lt;ROUND(P75,2-INT(LOG10(ABS(P75))))))+1</f>
        <v>#NUM!</v>
      </c>
      <c r="AI75" s="5" t="e" cm="1">
        <f t="array" ref="AI75">SUMPRODUCT(--(ROUND($D75:$R75,2-INT(LOG10(ABS($D75:$R75))))&lt;ROUND(Q75,2-INT(LOG10(ABS(Q75))))))+1</f>
        <v>#NUM!</v>
      </c>
      <c r="AJ75" s="5" t="e" cm="1">
        <f t="array" ref="AJ75">SUMPRODUCT(--(ROUND($D75:$R75,2-INT(LOG10(ABS($D75:$R75))))&lt;ROUND(R75,2-INT(LOG10(ABS(R75))))))+1</f>
        <v>#NUM!</v>
      </c>
    </row>
    <row r="76" spans="1:36" x14ac:dyDescent="0.25">
      <c r="A76" s="22"/>
      <c r="B76" s="18" t="s">
        <v>82</v>
      </c>
      <c r="C76" s="18" t="s">
        <v>161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18"/>
      <c r="T76" s="18" t="s">
        <v>30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6" x14ac:dyDescent="0.25">
      <c r="A77" s="22"/>
      <c r="B77" s="19" t="s">
        <v>82</v>
      </c>
      <c r="C77" s="19" t="s">
        <v>162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19"/>
      <c r="T77" s="19" t="s">
        <v>31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6" x14ac:dyDescent="0.25">
      <c r="A78" s="22"/>
      <c r="B78" s="20" t="s">
        <v>83</v>
      </c>
      <c r="C78" s="20" t="s">
        <v>163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0" t="s">
        <v>24</v>
      </c>
      <c r="T78" s="20" t="s">
        <v>29</v>
      </c>
      <c r="V78" s="5" t="e" cm="1">
        <f t="array" ref="V78">SUMPRODUCT(--(ROUND($D78:$R78,2-INT(LOG10(ABS($D78:$R78))))&lt;ROUND(D78,2-INT(LOG10(ABS(D78))))))+1</f>
        <v>#NUM!</v>
      </c>
      <c r="W78" s="5" t="e" cm="1">
        <f t="array" ref="W78">SUMPRODUCT(--(ROUND($D78:$R78,2-INT(LOG10(ABS($D78:$R78))))&lt;ROUND(E78,2-INT(LOG10(ABS(E78))))))+1</f>
        <v>#NUM!</v>
      </c>
      <c r="X78" s="5" t="e" cm="1">
        <f t="array" ref="X78">SUMPRODUCT(--(ROUND($D78:$R78,2-INT(LOG10(ABS($D78:$R78))))&lt;ROUND(F78,2-INT(LOG10(ABS(F78))))))+1</f>
        <v>#NUM!</v>
      </c>
      <c r="Y78" s="5" t="e" cm="1">
        <f t="array" ref="Y78">SUMPRODUCT(--(ROUND($D78:$R78,2-INT(LOG10(ABS($D78:$R78))))&lt;ROUND(G78,2-INT(LOG10(ABS(G78))))))+1</f>
        <v>#NUM!</v>
      </c>
      <c r="Z78" s="5" t="e" cm="1">
        <f t="array" ref="Z78">SUMPRODUCT(--(ROUND($D78:$R78,2-INT(LOG10(ABS($D78:$R78))))&lt;ROUND(H78,2-INT(LOG10(ABS(H78))))))+1</f>
        <v>#NUM!</v>
      </c>
      <c r="AA78" s="5" t="e" cm="1">
        <f t="array" ref="AA78">SUMPRODUCT(--(ROUND($D78:$R78,2-INT(LOG10(ABS($D78:$R78))))&lt;ROUND(I78,2-INT(LOG10(ABS(I78))))))+1</f>
        <v>#NUM!</v>
      </c>
      <c r="AB78" s="5" t="e" cm="1">
        <f t="array" ref="AB78">SUMPRODUCT(--(ROUND($D78:$R78,2-INT(LOG10(ABS($D78:$R78))))&lt;ROUND(J78,2-INT(LOG10(ABS(J78))))))+1</f>
        <v>#NUM!</v>
      </c>
      <c r="AC78" s="5" t="e" cm="1">
        <f t="array" ref="AC78">SUMPRODUCT(--(ROUND($D78:$R78,2-INT(LOG10(ABS($D78:$R78))))&lt;ROUND(K78,2-INT(LOG10(ABS(K78))))))+1</f>
        <v>#NUM!</v>
      </c>
      <c r="AD78" s="5" t="e" cm="1">
        <f t="array" ref="AD78">SUMPRODUCT(--(ROUND($D78:$R78,2-INT(LOG10(ABS($D78:$R78))))&lt;ROUND(L78,2-INT(LOG10(ABS(L78))))))+1</f>
        <v>#NUM!</v>
      </c>
      <c r="AE78" s="5" t="e" cm="1">
        <f t="array" ref="AE78">SUMPRODUCT(--(ROUND($D78:$R78,2-INT(LOG10(ABS($D78:$R78))))&lt;ROUND(M78,2-INT(LOG10(ABS(M78))))))+1</f>
        <v>#NUM!</v>
      </c>
      <c r="AF78" s="5" t="e" cm="1">
        <f t="array" ref="AF78">SUMPRODUCT(--(ROUND($D78:$R78,2-INT(LOG10(ABS($D78:$R78))))&lt;ROUND(N78,2-INT(LOG10(ABS(N78))))))+1</f>
        <v>#NUM!</v>
      </c>
      <c r="AG78" s="5" t="e" cm="1">
        <f t="array" ref="AG78">SUMPRODUCT(--(ROUND($D78:$R78,2-INT(LOG10(ABS($D78:$R78))))&lt;ROUND(O78,2-INT(LOG10(ABS(O78))))))+1</f>
        <v>#NUM!</v>
      </c>
      <c r="AH78" s="5" t="e" cm="1">
        <f t="array" ref="AH78">SUMPRODUCT(--(ROUND($D78:$R78,2-INT(LOG10(ABS($D78:$R78))))&lt;ROUND(P78,2-INT(LOG10(ABS(P78))))))+1</f>
        <v>#NUM!</v>
      </c>
      <c r="AI78" s="5" t="e" cm="1">
        <f t="array" ref="AI78">SUMPRODUCT(--(ROUND($D78:$R78,2-INT(LOG10(ABS($D78:$R78))))&lt;ROUND(Q78,2-INT(LOG10(ABS(Q78))))))+1</f>
        <v>#NUM!</v>
      </c>
      <c r="AJ78" s="5" t="e" cm="1">
        <f t="array" ref="AJ78">SUMPRODUCT(--(ROUND($D78:$R78,2-INT(LOG10(ABS($D78:$R78))))&lt;ROUND(R78,2-INT(LOG10(ABS(R78))))))+1</f>
        <v>#NUM!</v>
      </c>
    </row>
    <row r="79" spans="1:36" x14ac:dyDescent="0.25">
      <c r="A79" s="22"/>
      <c r="B79" s="18" t="s">
        <v>83</v>
      </c>
      <c r="C79" s="18" t="s">
        <v>164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18"/>
      <c r="T79" s="18" t="s">
        <v>30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6" x14ac:dyDescent="0.25">
      <c r="A80" s="22"/>
      <c r="B80" s="19" t="s">
        <v>83</v>
      </c>
      <c r="C80" s="19" t="s">
        <v>165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19"/>
      <c r="T80" s="19" t="s">
        <v>31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6" x14ac:dyDescent="0.25">
      <c r="A81" s="22"/>
      <c r="B81" s="20" t="s">
        <v>84</v>
      </c>
      <c r="C81" s="20" t="s">
        <v>166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0" t="s">
        <v>25</v>
      </c>
      <c r="T81" s="20" t="s">
        <v>29</v>
      </c>
      <c r="V81" s="5" t="e" cm="1">
        <f t="array" ref="V81">SUMPRODUCT(--(ROUND($D81:$R81,2-INT(LOG10(ABS($D81:$R81))))&lt;ROUND(D81,2-INT(LOG10(ABS(D81))))))+1</f>
        <v>#NUM!</v>
      </c>
      <c r="W81" s="5" t="e" cm="1">
        <f t="array" ref="W81">SUMPRODUCT(--(ROUND($D81:$R81,2-INT(LOG10(ABS($D81:$R81))))&lt;ROUND(E81,2-INT(LOG10(ABS(E81))))))+1</f>
        <v>#NUM!</v>
      </c>
      <c r="X81" s="5" t="e" cm="1">
        <f t="array" ref="X81">SUMPRODUCT(--(ROUND($D81:$R81,2-INT(LOG10(ABS($D81:$R81))))&lt;ROUND(F81,2-INT(LOG10(ABS(F81))))))+1</f>
        <v>#NUM!</v>
      </c>
      <c r="Y81" s="5" t="e" cm="1">
        <f t="array" ref="Y81">SUMPRODUCT(--(ROUND($D81:$R81,2-INT(LOG10(ABS($D81:$R81))))&lt;ROUND(G81,2-INT(LOG10(ABS(G81))))))+1</f>
        <v>#NUM!</v>
      </c>
      <c r="Z81" s="5" t="e" cm="1">
        <f t="array" ref="Z81">SUMPRODUCT(--(ROUND($D81:$R81,2-INT(LOG10(ABS($D81:$R81))))&lt;ROUND(H81,2-INT(LOG10(ABS(H81))))))+1</f>
        <v>#NUM!</v>
      </c>
      <c r="AA81" s="5" t="e" cm="1">
        <f t="array" ref="AA81">SUMPRODUCT(--(ROUND($D81:$R81,2-INT(LOG10(ABS($D81:$R81))))&lt;ROUND(I81,2-INT(LOG10(ABS(I81))))))+1</f>
        <v>#NUM!</v>
      </c>
      <c r="AB81" s="5" t="e" cm="1">
        <f t="array" ref="AB81">SUMPRODUCT(--(ROUND($D81:$R81,2-INT(LOG10(ABS($D81:$R81))))&lt;ROUND(J81,2-INT(LOG10(ABS(J81))))))+1</f>
        <v>#NUM!</v>
      </c>
      <c r="AC81" s="5" t="e" cm="1">
        <f t="array" ref="AC81">SUMPRODUCT(--(ROUND($D81:$R81,2-INT(LOG10(ABS($D81:$R81))))&lt;ROUND(K81,2-INT(LOG10(ABS(K81))))))+1</f>
        <v>#NUM!</v>
      </c>
      <c r="AD81" s="5" t="e" cm="1">
        <f t="array" ref="AD81">SUMPRODUCT(--(ROUND($D81:$R81,2-INT(LOG10(ABS($D81:$R81))))&lt;ROUND(L81,2-INT(LOG10(ABS(L81))))))+1</f>
        <v>#NUM!</v>
      </c>
      <c r="AE81" s="5" t="e" cm="1">
        <f t="array" ref="AE81">SUMPRODUCT(--(ROUND($D81:$R81,2-INT(LOG10(ABS($D81:$R81))))&lt;ROUND(M81,2-INT(LOG10(ABS(M81))))))+1</f>
        <v>#NUM!</v>
      </c>
      <c r="AF81" s="5" t="e" cm="1">
        <f t="array" ref="AF81">SUMPRODUCT(--(ROUND($D81:$R81,2-INT(LOG10(ABS($D81:$R81))))&lt;ROUND(N81,2-INT(LOG10(ABS(N81))))))+1</f>
        <v>#NUM!</v>
      </c>
      <c r="AG81" s="5" t="e" cm="1">
        <f t="array" ref="AG81">SUMPRODUCT(--(ROUND($D81:$R81,2-INT(LOG10(ABS($D81:$R81))))&lt;ROUND(O81,2-INT(LOG10(ABS(O81))))))+1</f>
        <v>#NUM!</v>
      </c>
      <c r="AH81" s="5" t="e" cm="1">
        <f t="array" ref="AH81">SUMPRODUCT(--(ROUND($D81:$R81,2-INT(LOG10(ABS($D81:$R81))))&lt;ROUND(P81,2-INT(LOG10(ABS(P81))))))+1</f>
        <v>#NUM!</v>
      </c>
      <c r="AI81" s="5" t="e" cm="1">
        <f t="array" ref="AI81">SUMPRODUCT(--(ROUND($D81:$R81,2-INT(LOG10(ABS($D81:$R81))))&lt;ROUND(Q81,2-INT(LOG10(ABS(Q81))))))+1</f>
        <v>#NUM!</v>
      </c>
      <c r="AJ81" s="5" t="e" cm="1">
        <f t="array" ref="AJ81">SUMPRODUCT(--(ROUND($D81:$R81,2-INT(LOG10(ABS($D81:$R81))))&lt;ROUND(R81,2-INT(LOG10(ABS(R81))))))+1</f>
        <v>#NUM!</v>
      </c>
    </row>
    <row r="82" spans="1:36" x14ac:dyDescent="0.25">
      <c r="A82" s="22"/>
      <c r="B82" s="18" t="s">
        <v>84</v>
      </c>
      <c r="C82" s="18" t="s">
        <v>167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18"/>
      <c r="T82" s="18" t="s">
        <v>30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6" x14ac:dyDescent="0.25">
      <c r="A83" s="22"/>
      <c r="B83" s="19" t="s">
        <v>84</v>
      </c>
      <c r="C83" s="19" t="s">
        <v>168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19"/>
      <c r="T83" s="19" t="s">
        <v>31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6" x14ac:dyDescent="0.25">
      <c r="A84" s="22"/>
      <c r="B84" s="20" t="s">
        <v>85</v>
      </c>
      <c r="C84" s="20" t="s">
        <v>169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0" t="s">
        <v>26</v>
      </c>
      <c r="T84" s="20" t="s">
        <v>29</v>
      </c>
      <c r="V84" s="5" t="e" cm="1">
        <f t="array" ref="V84">SUMPRODUCT(--(ROUND($D84:$R84,2-INT(LOG10(ABS($D84:$R84))))&lt;ROUND(D84,2-INT(LOG10(ABS(D84))))))+1</f>
        <v>#NUM!</v>
      </c>
      <c r="W84" s="5" t="e" cm="1">
        <f t="array" ref="W84">SUMPRODUCT(--(ROUND($D84:$R84,2-INT(LOG10(ABS($D84:$R84))))&lt;ROUND(E84,2-INT(LOG10(ABS(E84))))))+1</f>
        <v>#NUM!</v>
      </c>
      <c r="X84" s="5" t="e" cm="1">
        <f t="array" ref="X84">SUMPRODUCT(--(ROUND($D84:$R84,2-INT(LOG10(ABS($D84:$R84))))&lt;ROUND(F84,2-INT(LOG10(ABS(F84))))))+1</f>
        <v>#NUM!</v>
      </c>
      <c r="Y84" s="5" t="e" cm="1">
        <f t="array" ref="Y84">SUMPRODUCT(--(ROUND($D84:$R84,2-INT(LOG10(ABS($D84:$R84))))&lt;ROUND(G84,2-INT(LOG10(ABS(G84))))))+1</f>
        <v>#NUM!</v>
      </c>
      <c r="Z84" s="5" t="e" cm="1">
        <f t="array" ref="Z84">SUMPRODUCT(--(ROUND($D84:$R84,2-INT(LOG10(ABS($D84:$R84))))&lt;ROUND(H84,2-INT(LOG10(ABS(H84))))))+1</f>
        <v>#NUM!</v>
      </c>
      <c r="AA84" s="5" t="e" cm="1">
        <f t="array" ref="AA84">SUMPRODUCT(--(ROUND($D84:$R84,2-INT(LOG10(ABS($D84:$R84))))&lt;ROUND(I84,2-INT(LOG10(ABS(I84))))))+1</f>
        <v>#NUM!</v>
      </c>
      <c r="AB84" s="5" t="e" cm="1">
        <f t="array" ref="AB84">SUMPRODUCT(--(ROUND($D84:$R84,2-INT(LOG10(ABS($D84:$R84))))&lt;ROUND(J84,2-INT(LOG10(ABS(J84))))))+1</f>
        <v>#NUM!</v>
      </c>
      <c r="AC84" s="5" t="e" cm="1">
        <f t="array" ref="AC84">SUMPRODUCT(--(ROUND($D84:$R84,2-INT(LOG10(ABS($D84:$R84))))&lt;ROUND(K84,2-INT(LOG10(ABS(K84))))))+1</f>
        <v>#NUM!</v>
      </c>
      <c r="AD84" s="5" t="e" cm="1">
        <f t="array" ref="AD84">SUMPRODUCT(--(ROUND($D84:$R84,2-INT(LOG10(ABS($D84:$R84))))&lt;ROUND(L84,2-INT(LOG10(ABS(L84))))))+1</f>
        <v>#NUM!</v>
      </c>
      <c r="AE84" s="5" t="e" cm="1">
        <f t="array" ref="AE84">SUMPRODUCT(--(ROUND($D84:$R84,2-INT(LOG10(ABS($D84:$R84))))&lt;ROUND(M84,2-INT(LOG10(ABS(M84))))))+1</f>
        <v>#NUM!</v>
      </c>
      <c r="AF84" s="5" t="e" cm="1">
        <f t="array" ref="AF84">SUMPRODUCT(--(ROUND($D84:$R84,2-INT(LOG10(ABS($D84:$R84))))&lt;ROUND(N84,2-INT(LOG10(ABS(N84))))))+1</f>
        <v>#NUM!</v>
      </c>
      <c r="AG84" s="5" t="e" cm="1">
        <f t="array" ref="AG84">SUMPRODUCT(--(ROUND($D84:$R84,2-INT(LOG10(ABS($D84:$R84))))&lt;ROUND(O84,2-INT(LOG10(ABS(O84))))))+1</f>
        <v>#NUM!</v>
      </c>
      <c r="AH84" s="5" t="e" cm="1">
        <f t="array" ref="AH84">SUMPRODUCT(--(ROUND($D84:$R84,2-INT(LOG10(ABS($D84:$R84))))&lt;ROUND(P84,2-INT(LOG10(ABS(P84))))))+1</f>
        <v>#NUM!</v>
      </c>
      <c r="AI84" s="5" t="e" cm="1">
        <f t="array" ref="AI84">SUMPRODUCT(--(ROUND($D84:$R84,2-INT(LOG10(ABS($D84:$R84))))&lt;ROUND(Q84,2-INT(LOG10(ABS(Q84))))))+1</f>
        <v>#NUM!</v>
      </c>
      <c r="AJ84" s="5" t="e" cm="1">
        <f t="array" ref="AJ84">SUMPRODUCT(--(ROUND($D84:$R84,2-INT(LOG10(ABS($D84:$R84))))&lt;ROUND(R84,2-INT(LOG10(ABS(R84))))))+1</f>
        <v>#NUM!</v>
      </c>
    </row>
    <row r="85" spans="1:36" x14ac:dyDescent="0.25">
      <c r="A85" s="22"/>
      <c r="B85" s="18" t="s">
        <v>85</v>
      </c>
      <c r="C85" s="18" t="s">
        <v>170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18"/>
      <c r="T85" s="18" t="s">
        <v>30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6" x14ac:dyDescent="0.25">
      <c r="A86" s="22"/>
      <c r="B86" s="19" t="s">
        <v>85</v>
      </c>
      <c r="C86" s="19" t="s">
        <v>171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19"/>
      <c r="T86" s="19" t="s">
        <v>31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6" x14ac:dyDescent="0.25">
      <c r="A87" s="22"/>
      <c r="B87" s="20" t="s">
        <v>86</v>
      </c>
      <c r="C87" s="20" t="s">
        <v>172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0" t="s">
        <v>27</v>
      </c>
      <c r="T87" s="20" t="s">
        <v>29</v>
      </c>
      <c r="V87" s="5" t="e" cm="1">
        <f t="array" ref="V87">SUMPRODUCT(--(ROUND($D87:$R87,2-INT(LOG10(ABS($D87:$R87))))&lt;ROUND(D87,2-INT(LOG10(ABS(D87))))))+1</f>
        <v>#NUM!</v>
      </c>
      <c r="W87" s="5" t="e" cm="1">
        <f t="array" ref="W87">SUMPRODUCT(--(ROUND($D87:$R87,2-INT(LOG10(ABS($D87:$R87))))&lt;ROUND(E87,2-INT(LOG10(ABS(E87))))))+1</f>
        <v>#NUM!</v>
      </c>
      <c r="X87" s="5" t="e" cm="1">
        <f t="array" ref="X87">SUMPRODUCT(--(ROUND($D87:$R87,2-INT(LOG10(ABS($D87:$R87))))&lt;ROUND(F87,2-INT(LOG10(ABS(F87))))))+1</f>
        <v>#NUM!</v>
      </c>
      <c r="Y87" s="5" t="e" cm="1">
        <f t="array" ref="Y87">SUMPRODUCT(--(ROUND($D87:$R87,2-INT(LOG10(ABS($D87:$R87))))&lt;ROUND(G87,2-INT(LOG10(ABS(G87))))))+1</f>
        <v>#NUM!</v>
      </c>
      <c r="Z87" s="5" t="e" cm="1">
        <f t="array" ref="Z87">SUMPRODUCT(--(ROUND($D87:$R87,2-INT(LOG10(ABS($D87:$R87))))&lt;ROUND(H87,2-INT(LOG10(ABS(H87))))))+1</f>
        <v>#NUM!</v>
      </c>
      <c r="AA87" s="5" t="e" cm="1">
        <f t="array" ref="AA87">SUMPRODUCT(--(ROUND($D87:$R87,2-INT(LOG10(ABS($D87:$R87))))&lt;ROUND(I87,2-INT(LOG10(ABS(I87))))))+1</f>
        <v>#NUM!</v>
      </c>
      <c r="AB87" s="5" t="e" cm="1">
        <f t="array" ref="AB87">SUMPRODUCT(--(ROUND($D87:$R87,2-INT(LOG10(ABS($D87:$R87))))&lt;ROUND(J87,2-INT(LOG10(ABS(J87))))))+1</f>
        <v>#NUM!</v>
      </c>
      <c r="AC87" s="5" t="e" cm="1">
        <f t="array" ref="AC87">SUMPRODUCT(--(ROUND($D87:$R87,2-INT(LOG10(ABS($D87:$R87))))&lt;ROUND(K87,2-INT(LOG10(ABS(K87))))))+1</f>
        <v>#NUM!</v>
      </c>
      <c r="AD87" s="5" t="e" cm="1">
        <f t="array" ref="AD87">SUMPRODUCT(--(ROUND($D87:$R87,2-INT(LOG10(ABS($D87:$R87))))&lt;ROUND(L87,2-INT(LOG10(ABS(L87))))))+1</f>
        <v>#NUM!</v>
      </c>
      <c r="AE87" s="5" t="e" cm="1">
        <f t="array" ref="AE87">SUMPRODUCT(--(ROUND($D87:$R87,2-INT(LOG10(ABS($D87:$R87))))&lt;ROUND(M87,2-INT(LOG10(ABS(M87))))))+1</f>
        <v>#NUM!</v>
      </c>
      <c r="AF87" s="5" t="e" cm="1">
        <f t="array" ref="AF87">SUMPRODUCT(--(ROUND($D87:$R87,2-INT(LOG10(ABS($D87:$R87))))&lt;ROUND(N87,2-INT(LOG10(ABS(N87))))))+1</f>
        <v>#NUM!</v>
      </c>
      <c r="AG87" s="5" t="e" cm="1">
        <f t="array" ref="AG87">SUMPRODUCT(--(ROUND($D87:$R87,2-INT(LOG10(ABS($D87:$R87))))&lt;ROUND(O87,2-INT(LOG10(ABS(O87))))))+1</f>
        <v>#NUM!</v>
      </c>
      <c r="AH87" s="5" t="e" cm="1">
        <f t="array" ref="AH87">SUMPRODUCT(--(ROUND($D87:$R87,2-INT(LOG10(ABS($D87:$R87))))&lt;ROUND(P87,2-INT(LOG10(ABS(P87))))))+1</f>
        <v>#NUM!</v>
      </c>
      <c r="AI87" s="5" t="e" cm="1">
        <f t="array" ref="AI87">SUMPRODUCT(--(ROUND($D87:$R87,2-INT(LOG10(ABS($D87:$R87))))&lt;ROUND(Q87,2-INT(LOG10(ABS(Q87))))))+1</f>
        <v>#NUM!</v>
      </c>
      <c r="AJ87" s="5" t="e" cm="1">
        <f t="array" ref="AJ87">SUMPRODUCT(--(ROUND($D87:$R87,2-INT(LOG10(ABS($D87:$R87))))&lt;ROUND(R87,2-INT(LOG10(ABS(R87))))))+1</f>
        <v>#NUM!</v>
      </c>
    </row>
    <row r="88" spans="1:36" x14ac:dyDescent="0.25">
      <c r="A88" s="22"/>
      <c r="B88" s="18" t="s">
        <v>86</v>
      </c>
      <c r="C88" s="18" t="s">
        <v>173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18"/>
      <c r="T88" s="18" t="s">
        <v>30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6" x14ac:dyDescent="0.25">
      <c r="A89" s="22"/>
      <c r="B89" s="19" t="s">
        <v>86</v>
      </c>
      <c r="C89" s="19" t="s">
        <v>174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19"/>
      <c r="T89" s="19" t="s">
        <v>31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6" x14ac:dyDescent="0.25">
      <c r="A90" s="22"/>
      <c r="B90" s="20" t="s">
        <v>87</v>
      </c>
      <c r="C90" s="20" t="s">
        <v>175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0" t="s">
        <v>28</v>
      </c>
      <c r="T90" s="20" t="s">
        <v>29</v>
      </c>
      <c r="V90" s="5" t="e" cm="1">
        <f t="array" ref="V90">SUMPRODUCT(--(ROUND($D90:$R90,2-INT(LOG10(ABS($D90:$R90))))&lt;ROUND(D90,2-INT(LOG10(ABS(D90))))))+1</f>
        <v>#NUM!</v>
      </c>
      <c r="W90" s="5" t="e" cm="1">
        <f t="array" ref="W90">SUMPRODUCT(--(ROUND($D90:$R90,2-INT(LOG10(ABS($D90:$R90))))&lt;ROUND(E90,2-INT(LOG10(ABS(E90))))))+1</f>
        <v>#NUM!</v>
      </c>
      <c r="X90" s="5" t="e" cm="1">
        <f t="array" ref="X90">SUMPRODUCT(--(ROUND($D90:$R90,2-INT(LOG10(ABS($D90:$R90))))&lt;ROUND(F90,2-INT(LOG10(ABS(F90))))))+1</f>
        <v>#NUM!</v>
      </c>
      <c r="Y90" s="5" t="e" cm="1">
        <f t="array" ref="Y90">SUMPRODUCT(--(ROUND($D90:$R90,2-INT(LOG10(ABS($D90:$R90))))&lt;ROUND(G90,2-INT(LOG10(ABS(G90))))))+1</f>
        <v>#NUM!</v>
      </c>
      <c r="Z90" s="5" t="e" cm="1">
        <f t="array" ref="Z90">SUMPRODUCT(--(ROUND($D90:$R90,2-INT(LOG10(ABS($D90:$R90))))&lt;ROUND(H90,2-INT(LOG10(ABS(H90))))))+1</f>
        <v>#NUM!</v>
      </c>
      <c r="AA90" s="5" t="e" cm="1">
        <f t="array" ref="AA90">SUMPRODUCT(--(ROUND($D90:$R90,2-INT(LOG10(ABS($D90:$R90))))&lt;ROUND(I90,2-INT(LOG10(ABS(I90))))))+1</f>
        <v>#NUM!</v>
      </c>
      <c r="AB90" s="5" t="e" cm="1">
        <f t="array" ref="AB90">SUMPRODUCT(--(ROUND($D90:$R90,2-INT(LOG10(ABS($D90:$R90))))&lt;ROUND(J90,2-INT(LOG10(ABS(J90))))))+1</f>
        <v>#NUM!</v>
      </c>
      <c r="AC90" s="5" t="e" cm="1">
        <f t="array" ref="AC90">SUMPRODUCT(--(ROUND($D90:$R90,2-INT(LOG10(ABS($D90:$R90))))&lt;ROUND(K90,2-INT(LOG10(ABS(K90))))))+1</f>
        <v>#NUM!</v>
      </c>
      <c r="AD90" s="5" t="e" cm="1">
        <f t="array" ref="AD90">SUMPRODUCT(--(ROUND($D90:$R90,2-INT(LOG10(ABS($D90:$R90))))&lt;ROUND(L90,2-INT(LOG10(ABS(L90))))))+1</f>
        <v>#NUM!</v>
      </c>
      <c r="AE90" s="5" t="e" cm="1">
        <f t="array" ref="AE90">SUMPRODUCT(--(ROUND($D90:$R90,2-INT(LOG10(ABS($D90:$R90))))&lt;ROUND(M90,2-INT(LOG10(ABS(M90))))))+1</f>
        <v>#NUM!</v>
      </c>
      <c r="AF90" s="5" t="e" cm="1">
        <f t="array" ref="AF90">SUMPRODUCT(--(ROUND($D90:$R90,2-INT(LOG10(ABS($D90:$R90))))&lt;ROUND(N90,2-INT(LOG10(ABS(N90))))))+1</f>
        <v>#NUM!</v>
      </c>
      <c r="AG90" s="5" t="e" cm="1">
        <f t="array" ref="AG90">SUMPRODUCT(--(ROUND($D90:$R90,2-INT(LOG10(ABS($D90:$R90))))&lt;ROUND(O90,2-INT(LOG10(ABS(O90))))))+1</f>
        <v>#NUM!</v>
      </c>
      <c r="AH90" s="5" t="e" cm="1">
        <f t="array" ref="AH90">SUMPRODUCT(--(ROUND($D90:$R90,2-INT(LOG10(ABS($D90:$R90))))&lt;ROUND(P90,2-INT(LOG10(ABS(P90))))))+1</f>
        <v>#NUM!</v>
      </c>
      <c r="AI90" s="5" t="e" cm="1">
        <f t="array" ref="AI90">SUMPRODUCT(--(ROUND($D90:$R90,2-INT(LOG10(ABS($D90:$R90))))&lt;ROUND(Q90,2-INT(LOG10(ABS(Q90))))))+1</f>
        <v>#NUM!</v>
      </c>
      <c r="AJ90" s="5" t="e" cm="1">
        <f t="array" ref="AJ90">SUMPRODUCT(--(ROUND($D90:$R90,2-INT(LOG10(ABS($D90:$R90))))&lt;ROUND(R90,2-INT(LOG10(ABS(R90))))))+1</f>
        <v>#NUM!</v>
      </c>
    </row>
    <row r="91" spans="1:36" x14ac:dyDescent="0.25">
      <c r="A91" s="22"/>
      <c r="B91" s="18" t="s">
        <v>87</v>
      </c>
      <c r="C91" s="18" t="s">
        <v>176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18"/>
      <c r="T91" s="18" t="s">
        <v>30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6" x14ac:dyDescent="0.25">
      <c r="A92" s="25"/>
      <c r="B92" s="19" t="s">
        <v>87</v>
      </c>
      <c r="C92" s="19" t="s">
        <v>177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18"/>
      <c r="T92" s="18" t="s">
        <v>31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6" ht="32.450000000000003" customHeight="1" x14ac:dyDescent="0.25">
      <c r="A93" s="27" t="s">
        <v>39</v>
      </c>
      <c r="B93" s="28"/>
      <c r="C93" s="28"/>
      <c r="D93" s="20">
        <f>COUNTIF(V3:V92,1)</f>
        <v>0</v>
      </c>
      <c r="E93" s="20">
        <f t="shared" ref="E93:R93" si="1">COUNTIF(W3:W92,1)</f>
        <v>0</v>
      </c>
      <c r="F93" s="20">
        <f t="shared" si="1"/>
        <v>0</v>
      </c>
      <c r="G93" s="20">
        <f t="shared" si="1"/>
        <v>0</v>
      </c>
      <c r="H93" s="20">
        <f t="shared" si="1"/>
        <v>0</v>
      </c>
      <c r="I93" s="20">
        <f t="shared" si="1"/>
        <v>0</v>
      </c>
      <c r="J93" s="20">
        <f t="shared" si="1"/>
        <v>0</v>
      </c>
      <c r="K93" s="20">
        <f t="shared" si="1"/>
        <v>0</v>
      </c>
      <c r="L93" s="20">
        <f t="shared" si="1"/>
        <v>0</v>
      </c>
      <c r="M93" s="20">
        <f t="shared" si="1"/>
        <v>0</v>
      </c>
      <c r="N93" s="20">
        <f t="shared" si="1"/>
        <v>0</v>
      </c>
      <c r="O93" s="20">
        <f t="shared" si="1"/>
        <v>0</v>
      </c>
      <c r="P93" s="20">
        <f t="shared" si="1"/>
        <v>0</v>
      </c>
      <c r="Q93" s="20">
        <f t="shared" si="1"/>
        <v>0</v>
      </c>
      <c r="R93" s="20">
        <f t="shared" si="1"/>
        <v>0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6" ht="32.450000000000003" customHeight="1" x14ac:dyDescent="0.25">
      <c r="A94" s="22" t="s">
        <v>40</v>
      </c>
      <c r="B94" s="23"/>
      <c r="C94" s="23"/>
      <c r="D94" s="18">
        <f>_xlfn.RANK.EQ(D93,$D93:$R93,0)</f>
        <v>1</v>
      </c>
      <c r="E94" s="18">
        <f t="shared" ref="E94:R94" si="2">_xlfn.RANK.EQ(E93,$D93:$R93,0)</f>
        <v>1</v>
      </c>
      <c r="F94" s="18">
        <f t="shared" si="2"/>
        <v>1</v>
      </c>
      <c r="G94" s="18">
        <f t="shared" si="2"/>
        <v>1</v>
      </c>
      <c r="H94" s="18">
        <f t="shared" si="2"/>
        <v>1</v>
      </c>
      <c r="I94" s="18">
        <f t="shared" si="2"/>
        <v>1</v>
      </c>
      <c r="J94" s="18">
        <f t="shared" si="2"/>
        <v>1</v>
      </c>
      <c r="K94" s="18">
        <f t="shared" si="2"/>
        <v>1</v>
      </c>
      <c r="L94" s="18">
        <f t="shared" si="2"/>
        <v>1</v>
      </c>
      <c r="M94" s="18">
        <f t="shared" si="2"/>
        <v>1</v>
      </c>
      <c r="N94" s="18">
        <f t="shared" si="2"/>
        <v>1</v>
      </c>
      <c r="O94" s="18">
        <f t="shared" si="2"/>
        <v>1</v>
      </c>
      <c r="P94" s="18">
        <f t="shared" si="2"/>
        <v>1</v>
      </c>
      <c r="Q94" s="18">
        <f t="shared" si="2"/>
        <v>1</v>
      </c>
      <c r="R94" s="18">
        <f t="shared" si="2"/>
        <v>1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6" ht="32.450000000000003" customHeight="1" x14ac:dyDescent="0.25">
      <c r="A95" s="24" t="s">
        <v>41</v>
      </c>
      <c r="B95" s="23"/>
      <c r="C95" s="23"/>
      <c r="D95" s="11" t="e">
        <f>AVERAGE(V3:V92)</f>
        <v>#NUM!</v>
      </c>
      <c r="E95" s="11" t="e">
        <f t="shared" ref="E95:R95" si="3">AVERAGE(W3:W92)</f>
        <v>#NUM!</v>
      </c>
      <c r="F95" s="11" t="e">
        <f t="shared" si="3"/>
        <v>#NUM!</v>
      </c>
      <c r="G95" s="11" t="e">
        <f t="shared" si="3"/>
        <v>#NUM!</v>
      </c>
      <c r="H95" s="11" t="e">
        <f t="shared" si="3"/>
        <v>#NUM!</v>
      </c>
      <c r="I95" s="11" t="e">
        <f t="shared" si="3"/>
        <v>#NUM!</v>
      </c>
      <c r="J95" s="11" t="e">
        <f t="shared" si="3"/>
        <v>#NUM!</v>
      </c>
      <c r="K95" s="11" t="e">
        <f t="shared" si="3"/>
        <v>#NUM!</v>
      </c>
      <c r="L95" s="11" t="e">
        <f t="shared" si="3"/>
        <v>#NUM!</v>
      </c>
      <c r="M95" s="11" t="e">
        <f t="shared" si="3"/>
        <v>#NUM!</v>
      </c>
      <c r="N95" s="11" t="e">
        <f t="shared" si="3"/>
        <v>#NUM!</v>
      </c>
      <c r="O95" s="11" t="e">
        <f t="shared" si="3"/>
        <v>#NUM!</v>
      </c>
      <c r="P95" s="11" t="e">
        <f t="shared" si="3"/>
        <v>#NUM!</v>
      </c>
      <c r="Q95" s="11" t="e">
        <f t="shared" si="3"/>
        <v>#NUM!</v>
      </c>
      <c r="R95" s="11" t="e">
        <f t="shared" si="3"/>
        <v>#NUM!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6" ht="32.450000000000003" customHeight="1" x14ac:dyDescent="0.25">
      <c r="A96" s="25" t="s">
        <v>42</v>
      </c>
      <c r="B96" s="26"/>
      <c r="C96" s="26"/>
      <c r="D96" s="19" t="e">
        <f>_xlfn.RANK.EQ(D95,$D95:$R95,1)</f>
        <v>#NUM!</v>
      </c>
      <c r="E96" s="19" t="e">
        <f t="shared" ref="E96:R96" si="4">_xlfn.RANK.EQ(E95,$D95:$R95,1)</f>
        <v>#NUM!</v>
      </c>
      <c r="F96" s="19" t="e">
        <f t="shared" si="4"/>
        <v>#NUM!</v>
      </c>
      <c r="G96" s="19" t="e">
        <f t="shared" si="4"/>
        <v>#NUM!</v>
      </c>
      <c r="H96" s="19" t="e">
        <f t="shared" si="4"/>
        <v>#NUM!</v>
      </c>
      <c r="I96" s="19" t="e">
        <f t="shared" si="4"/>
        <v>#NUM!</v>
      </c>
      <c r="J96" s="19" t="e">
        <f t="shared" si="4"/>
        <v>#NUM!</v>
      </c>
      <c r="K96" s="19" t="e">
        <f t="shared" si="4"/>
        <v>#NUM!</v>
      </c>
      <c r="L96" s="19" t="e">
        <f t="shared" si="4"/>
        <v>#NUM!</v>
      </c>
      <c r="M96" s="19" t="e">
        <f t="shared" si="4"/>
        <v>#NUM!</v>
      </c>
      <c r="N96" s="19" t="e">
        <f t="shared" si="4"/>
        <v>#NUM!</v>
      </c>
      <c r="O96" s="19" t="e">
        <f t="shared" si="4"/>
        <v>#NUM!</v>
      </c>
      <c r="P96" s="19" t="e">
        <f t="shared" si="4"/>
        <v>#NUM!</v>
      </c>
      <c r="Q96" s="19" t="e">
        <f t="shared" si="4"/>
        <v>#NUM!</v>
      </c>
      <c r="R96" s="19" t="e">
        <f t="shared" si="4"/>
        <v>#NUM!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</sheetData>
  <mergeCells count="9">
    <mergeCell ref="A1:R1"/>
    <mergeCell ref="A94:C94"/>
    <mergeCell ref="A95:C95"/>
    <mergeCell ref="A96:C96"/>
    <mergeCell ref="A93:C93"/>
    <mergeCell ref="A60:A92"/>
    <mergeCell ref="A30:A59"/>
    <mergeCell ref="A3:A5"/>
    <mergeCell ref="A9:A29"/>
  </mergeCells>
  <phoneticPr fontId="3" type="noConversion"/>
  <conditionalFormatting sqref="D3:R3">
    <cfRule type="expression" dxfId="33" priority="30">
      <formula>ROUND(D3,2-INT(LOG10(ABS(D3))))= ROUND(MIN($D3:$R3),2-INT(LOG10(ABS(MIN($D3:$R3)))))</formula>
    </cfRule>
  </conditionalFormatting>
  <conditionalFormatting sqref="D6:R6">
    <cfRule type="expression" dxfId="32" priority="29">
      <formula>ROUND(D6,2-INT(LOG10(ABS(D6))))= ROUND(MIN($D6:$R6),2-INT(LOG10(ABS(MIN($D6:$R6)))))</formula>
    </cfRule>
  </conditionalFormatting>
  <conditionalFormatting sqref="D9:R9">
    <cfRule type="expression" dxfId="31" priority="28">
      <formula>ROUND(D9,2-INT(LOG10(ABS(D9))))= ROUND(MIN($D9:$R9),2-INT(LOG10(ABS(MIN($D9:$R9)))))</formula>
    </cfRule>
  </conditionalFormatting>
  <conditionalFormatting sqref="D12:R12">
    <cfRule type="expression" dxfId="30" priority="27">
      <formula>ROUND(D12,2-INT(LOG10(ABS(D12))))= ROUND(MIN($D12:$R12),2-INT(LOG10(ABS(MIN($D12:$R12)))))</formula>
    </cfRule>
  </conditionalFormatting>
  <conditionalFormatting sqref="D15:R15">
    <cfRule type="expression" dxfId="29" priority="26">
      <formula>ROUND(D15,2-INT(LOG10(ABS(D15))))= ROUND(MIN($D15:$R15),2-INT(LOG10(ABS(MIN($D15:$R15)))))</formula>
    </cfRule>
  </conditionalFormatting>
  <conditionalFormatting sqref="D18:R18">
    <cfRule type="expression" dxfId="28" priority="25">
      <formula>ROUND(D18,2-INT(LOG10(ABS(D18))))= ROUND(MIN($D18:$R18),2-INT(LOG10(ABS(MIN($D18:$R18)))))</formula>
    </cfRule>
  </conditionalFormatting>
  <conditionalFormatting sqref="D21:R21">
    <cfRule type="expression" dxfId="27" priority="24">
      <formula>ROUND(D21,2-INT(LOG10(ABS(D21))))= ROUND(MIN($D21:$R21),2-INT(LOG10(ABS(MIN($D21:$R21)))))</formula>
    </cfRule>
  </conditionalFormatting>
  <conditionalFormatting sqref="D24:R24">
    <cfRule type="expression" dxfId="26" priority="23">
      <formula>ROUND(D24,2-INT(LOG10(ABS(D24))))= ROUND(MIN($D24:$R24),2-INT(LOG10(ABS(MIN($D24:$R24)))))</formula>
    </cfRule>
  </conditionalFormatting>
  <conditionalFormatting sqref="D27:R27">
    <cfRule type="expression" dxfId="25" priority="22">
      <formula>ROUND(D27,2-INT(LOG10(ABS(D27))))= ROUND(MIN($D27:$R27),2-INT(LOG10(ABS(MIN($D27:$R27)))))</formula>
    </cfRule>
  </conditionalFormatting>
  <conditionalFormatting sqref="D30:R30">
    <cfRule type="expression" dxfId="24" priority="21">
      <formula>ROUND(D30,2-INT(LOG10(ABS(D30))))= ROUND(MIN($D30:$R30),2-INT(LOG10(ABS(MIN($D30:$R30)))))</formula>
    </cfRule>
  </conditionalFormatting>
  <conditionalFormatting sqref="D33:R33">
    <cfRule type="expression" dxfId="23" priority="20">
      <formula>ROUND(D33,2-INT(LOG10(ABS(D33))))= ROUND(MIN($D33:$R33),2-INT(LOG10(ABS(MIN($D33:$R33)))))</formula>
    </cfRule>
  </conditionalFormatting>
  <conditionalFormatting sqref="D36:R36">
    <cfRule type="expression" dxfId="22" priority="19">
      <formula>ROUND(D36,2-INT(LOG10(ABS(D36))))= ROUND(MIN($D36:$R36),2-INT(LOG10(ABS(MIN($D36:$R36)))))</formula>
    </cfRule>
  </conditionalFormatting>
  <conditionalFormatting sqref="D39:R39">
    <cfRule type="expression" dxfId="21" priority="18">
      <formula>ROUND(D39,2-INT(LOG10(ABS(D39))))= ROUND(MIN($D39:$R39),2-INT(LOG10(ABS(MIN($D39:$R39)))))</formula>
    </cfRule>
  </conditionalFormatting>
  <conditionalFormatting sqref="D42:R42">
    <cfRule type="expression" dxfId="20" priority="17">
      <formula>ROUND(D42,2-INT(LOG10(ABS(D42))))= ROUND(MIN($D42:$R42),2-INT(LOG10(ABS(MIN($D42:$R42)))))</formula>
    </cfRule>
  </conditionalFormatting>
  <conditionalFormatting sqref="D45:R45">
    <cfRule type="expression" dxfId="19" priority="16">
      <formula>ROUND(D45,2-INT(LOG10(ABS(D45))))= ROUND(MIN($D45:$R45),2-INT(LOG10(ABS(MIN($D45:$R45)))))</formula>
    </cfRule>
  </conditionalFormatting>
  <conditionalFormatting sqref="D48:R48">
    <cfRule type="expression" dxfId="18" priority="15">
      <formula>ROUND(D48,2-INT(LOG10(ABS(D48))))= ROUND(MIN($D48:$R48),2-INT(LOG10(ABS(MIN($D48:$R48)))))</formula>
    </cfRule>
  </conditionalFormatting>
  <conditionalFormatting sqref="D51:R51">
    <cfRule type="expression" dxfId="17" priority="14">
      <formula>ROUND(D51,2-INT(LOG10(ABS(D51))))= ROUND(MIN($D51:$R51),2-INT(LOG10(ABS(MIN($D51:$R51)))))</formula>
    </cfRule>
  </conditionalFormatting>
  <conditionalFormatting sqref="D54:R54">
    <cfRule type="expression" dxfId="16" priority="13">
      <formula>ROUND(D54,2-INT(LOG10(ABS(D54))))= ROUND(MIN($D54:$R54),2-INT(LOG10(ABS(MIN($D54:$R54)))))</formula>
    </cfRule>
  </conditionalFormatting>
  <conditionalFormatting sqref="D57:R57">
    <cfRule type="expression" dxfId="15" priority="12">
      <formula>ROUND(D57,2-INT(LOG10(ABS(D57))))= ROUND(MIN($D57:$R57),2-INT(LOG10(ABS(MIN($D57:$R57)))))</formula>
    </cfRule>
  </conditionalFormatting>
  <conditionalFormatting sqref="D60:R60">
    <cfRule type="expression" dxfId="14" priority="11">
      <formula>ROUND(D60,2-INT(LOG10(ABS(D60))))= ROUND(MIN($D60:$R60),2-INT(LOG10(ABS(MIN($D60:$R60)))))</formula>
    </cfRule>
  </conditionalFormatting>
  <conditionalFormatting sqref="D63:R63">
    <cfRule type="expression" dxfId="13" priority="10">
      <formula>ROUND(D63,2-INT(LOG10(ABS(D63))))= ROUND(MIN($D63:$R63),2-INT(LOG10(ABS(MIN($D63:$R63)))))</formula>
    </cfRule>
  </conditionalFormatting>
  <conditionalFormatting sqref="D66:R66">
    <cfRule type="expression" dxfId="12" priority="9">
      <formula>ROUND(D66,2-INT(LOG10(ABS(D66))))= ROUND(MIN($D66:$R66),2-INT(LOG10(ABS(MIN($D66:$R66)))))</formula>
    </cfRule>
  </conditionalFormatting>
  <conditionalFormatting sqref="D69:R69">
    <cfRule type="expression" dxfId="11" priority="8">
      <formula>ROUND(D69,2-INT(LOG10(ABS(D69))))= ROUND(MIN($D69:$R69),2-INT(LOG10(ABS(MIN($D69:$R69)))))</formula>
    </cfRule>
  </conditionalFormatting>
  <conditionalFormatting sqref="D72:R72">
    <cfRule type="expression" dxfId="10" priority="7">
      <formula>ROUND(D72,2-INT(LOG10(ABS(D72))))= ROUND(MIN($D72:$R72),2-INT(LOG10(ABS(MIN($D72:$R72)))))</formula>
    </cfRule>
  </conditionalFormatting>
  <conditionalFormatting sqref="D75:R75">
    <cfRule type="expression" dxfId="9" priority="6">
      <formula>ROUND(D75,2-INT(LOG10(ABS(D75))))= ROUND(MIN($D75:$R75),2-INT(LOG10(ABS(MIN($D75:$R75)))))</formula>
    </cfRule>
  </conditionalFormatting>
  <conditionalFormatting sqref="D78:R78">
    <cfRule type="expression" dxfId="8" priority="5">
      <formula>ROUND(D78,2-INT(LOG10(ABS(D78))))= ROUND(MIN($D78:$R78),2-INT(LOG10(ABS(MIN($D78:$R78)))))</formula>
    </cfRule>
  </conditionalFormatting>
  <conditionalFormatting sqref="D81:R81">
    <cfRule type="expression" dxfId="7" priority="4">
      <formula>ROUND(D81,2-INT(LOG10(ABS(D81))))= ROUND(MIN($D81:$R81),2-INT(LOG10(ABS(MIN($D81:$R81)))))</formula>
    </cfRule>
  </conditionalFormatting>
  <conditionalFormatting sqref="D84:R84">
    <cfRule type="expression" dxfId="6" priority="3">
      <formula>ROUND(D84,2-INT(LOG10(ABS(D84))))= ROUND(MIN($D84:$R84),2-INT(LOG10(ABS(MIN($D84:$R84)))))</formula>
    </cfRule>
  </conditionalFormatting>
  <conditionalFormatting sqref="D87:R87">
    <cfRule type="expression" dxfId="5" priority="2">
      <formula>ROUND(D87,2-INT(LOG10(ABS(D87))))= ROUND(MIN($D87:$R87),2-INT(LOG10(ABS(MIN($D87:$R87)))))</formula>
    </cfRule>
  </conditionalFormatting>
  <conditionalFormatting sqref="D90:R90">
    <cfRule type="expression" dxfId="4" priority="1">
      <formula>ROUND(D90,2-INT(LOG10(ABS(D90))))= ROUND(MIN($D90:$R90),2-INT(LOG10(ABS(MIN($D90:$R90)))))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workbookViewId="0">
      <selection sqref="A1:O1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9" t="s">
        <v>353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3" t="s">
        <v>178</v>
      </c>
      <c r="B2" s="12" t="s">
        <v>338</v>
      </c>
      <c r="C2" s="12" t="s">
        <v>339</v>
      </c>
      <c r="D2" s="12" t="s">
        <v>340</v>
      </c>
      <c r="E2" s="12" t="s">
        <v>341</v>
      </c>
      <c r="F2" s="12" t="s">
        <v>342</v>
      </c>
      <c r="G2" s="12" t="s">
        <v>343</v>
      </c>
      <c r="H2" s="12" t="s">
        <v>344</v>
      </c>
      <c r="I2" s="12" t="s">
        <v>345</v>
      </c>
      <c r="J2" s="12" t="s">
        <v>346</v>
      </c>
      <c r="K2" s="12" t="s">
        <v>347</v>
      </c>
      <c r="L2" s="12" t="s">
        <v>348</v>
      </c>
      <c r="M2" s="12" t="s">
        <v>349</v>
      </c>
      <c r="N2" s="12" t="s">
        <v>350</v>
      </c>
      <c r="O2" s="12" t="s">
        <v>351</v>
      </c>
    </row>
    <row r="3" spans="1:15" x14ac:dyDescent="0.25">
      <c r="A3" s="10" t="s">
        <v>179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0"/>
    </row>
    <row r="4" spans="1:15" x14ac:dyDescent="0.25">
      <c r="A4" s="13" t="s">
        <v>180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13"/>
    </row>
    <row r="5" spans="1:15" x14ac:dyDescent="0.25">
      <c r="A5" s="13" t="s">
        <v>181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13"/>
    </row>
    <row r="6" spans="1:15" x14ac:dyDescent="0.25">
      <c r="A6" s="13" t="s">
        <v>182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3"/>
    </row>
    <row r="7" spans="1:15" x14ac:dyDescent="0.25">
      <c r="A7" s="13" t="s">
        <v>183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3"/>
    </row>
    <row r="8" spans="1:15" x14ac:dyDescent="0.25">
      <c r="A8" s="13" t="s">
        <v>184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3"/>
    </row>
    <row r="9" spans="1:15" x14ac:dyDescent="0.25">
      <c r="A9" s="13" t="s">
        <v>185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3"/>
    </row>
    <row r="10" spans="1:15" x14ac:dyDescent="0.25">
      <c r="A10" s="13" t="s">
        <v>186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3"/>
    </row>
    <row r="11" spans="1:15" x14ac:dyDescent="0.25">
      <c r="A11" s="13" t="s">
        <v>187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13"/>
    </row>
    <row r="12" spans="1:15" x14ac:dyDescent="0.25">
      <c r="A12" s="13" t="s">
        <v>188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13"/>
    </row>
    <row r="13" spans="1:15" x14ac:dyDescent="0.25">
      <c r="A13" s="13" t="s">
        <v>189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13"/>
    </row>
    <row r="14" spans="1:15" x14ac:dyDescent="0.25">
      <c r="A14" s="13" t="s">
        <v>190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13"/>
    </row>
    <row r="15" spans="1:15" x14ac:dyDescent="0.25">
      <c r="A15" s="13" t="s">
        <v>191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13"/>
    </row>
    <row r="16" spans="1:15" x14ac:dyDescent="0.25">
      <c r="A16" s="13" t="s">
        <v>192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13"/>
    </row>
    <row r="17" spans="1:15" x14ac:dyDescent="0.25">
      <c r="A17" s="13" t="s">
        <v>193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13"/>
    </row>
    <row r="18" spans="1:15" x14ac:dyDescent="0.25">
      <c r="A18" s="13" t="s">
        <v>194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13"/>
    </row>
    <row r="19" spans="1:15" x14ac:dyDescent="0.25">
      <c r="A19" s="13" t="s">
        <v>195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13"/>
    </row>
    <row r="20" spans="1:15" x14ac:dyDescent="0.25">
      <c r="A20" s="13" t="s">
        <v>196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13"/>
    </row>
    <row r="21" spans="1:15" x14ac:dyDescent="0.25">
      <c r="A21" s="13" t="s">
        <v>197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13"/>
    </row>
    <row r="22" spans="1:15" x14ac:dyDescent="0.25">
      <c r="A22" s="13" t="s">
        <v>198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13"/>
    </row>
    <row r="23" spans="1:15" x14ac:dyDescent="0.25">
      <c r="A23" s="13" t="s">
        <v>199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13"/>
    </row>
    <row r="24" spans="1:15" x14ac:dyDescent="0.25">
      <c r="A24" s="13" t="s">
        <v>200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13"/>
    </row>
    <row r="25" spans="1:15" x14ac:dyDescent="0.25">
      <c r="A25" s="13" t="s">
        <v>201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13"/>
    </row>
    <row r="26" spans="1:15" x14ac:dyDescent="0.25">
      <c r="A26" s="13" t="s">
        <v>202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13"/>
    </row>
    <row r="27" spans="1:15" x14ac:dyDescent="0.25">
      <c r="A27" s="13" t="s">
        <v>203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13"/>
    </row>
    <row r="28" spans="1:15" x14ac:dyDescent="0.25">
      <c r="A28" s="13" t="s">
        <v>204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13"/>
    </row>
    <row r="29" spans="1:15" x14ac:dyDescent="0.25">
      <c r="A29" s="13" t="s">
        <v>205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13"/>
    </row>
    <row r="30" spans="1:15" x14ac:dyDescent="0.25">
      <c r="A30" s="13" t="s">
        <v>206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13"/>
    </row>
    <row r="31" spans="1:15" x14ac:dyDescent="0.25">
      <c r="A31" s="13" t="s">
        <v>207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13"/>
    </row>
    <row r="32" spans="1:15" x14ac:dyDescent="0.25">
      <c r="A32" s="9" t="s">
        <v>208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</row>
  </sheetData>
  <mergeCells count="1">
    <mergeCell ref="A1:O1"/>
  </mergeCells>
  <conditionalFormatting sqref="B3:N32">
    <cfRule type="cellIs" dxfId="37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workbookViewId="0">
      <selection sqref="A1:O1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9" t="s">
        <v>354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3" t="s">
        <v>209</v>
      </c>
      <c r="B2" s="12" t="s">
        <v>338</v>
      </c>
      <c r="C2" s="12" t="s">
        <v>339</v>
      </c>
      <c r="D2" s="12" t="s">
        <v>340</v>
      </c>
      <c r="E2" s="12" t="s">
        <v>341</v>
      </c>
      <c r="F2" s="12" t="s">
        <v>342</v>
      </c>
      <c r="G2" s="12" t="s">
        <v>343</v>
      </c>
      <c r="H2" s="12" t="s">
        <v>344</v>
      </c>
      <c r="I2" s="12" t="s">
        <v>345</v>
      </c>
      <c r="J2" s="12" t="s">
        <v>346</v>
      </c>
      <c r="K2" s="12" t="s">
        <v>347</v>
      </c>
      <c r="L2" s="12" t="s">
        <v>348</v>
      </c>
      <c r="M2" s="12" t="s">
        <v>349</v>
      </c>
      <c r="N2" s="12" t="s">
        <v>350</v>
      </c>
      <c r="O2" s="12" t="s">
        <v>351</v>
      </c>
    </row>
    <row r="3" spans="1:15" x14ac:dyDescent="0.25">
      <c r="A3" s="10" t="s">
        <v>210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25">
      <c r="A4" s="13" t="s">
        <v>211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x14ac:dyDescent="0.25">
      <c r="A5" s="13" t="s">
        <v>212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25">
      <c r="A6" s="13" t="s">
        <v>213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x14ac:dyDescent="0.25">
      <c r="A7" s="13" t="s">
        <v>214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5">
      <c r="A8" s="13" t="s">
        <v>215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x14ac:dyDescent="0.25">
      <c r="A9" s="13" t="s">
        <v>216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x14ac:dyDescent="0.25">
      <c r="A10" s="13" t="s">
        <v>217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x14ac:dyDescent="0.25">
      <c r="A11" s="13" t="s">
        <v>218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x14ac:dyDescent="0.25">
      <c r="A12" s="13" t="s">
        <v>219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x14ac:dyDescent="0.25">
      <c r="A13" s="13" t="s">
        <v>220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25">
      <c r="A14" s="13" t="s">
        <v>221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x14ac:dyDescent="0.25">
      <c r="A15" s="13" t="s">
        <v>222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x14ac:dyDescent="0.25">
      <c r="A16" s="13" t="s">
        <v>223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x14ac:dyDescent="0.25">
      <c r="A17" s="13" t="s">
        <v>224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25">
      <c r="A18" s="13" t="s">
        <v>225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x14ac:dyDescent="0.25">
      <c r="A19" s="13" t="s">
        <v>226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25">
      <c r="A20" s="13" t="s">
        <v>227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x14ac:dyDescent="0.25">
      <c r="A21" s="13" t="s">
        <v>228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x14ac:dyDescent="0.25">
      <c r="A22" s="13" t="s">
        <v>229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x14ac:dyDescent="0.25">
      <c r="A23" s="13" t="s">
        <v>230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x14ac:dyDescent="0.25">
      <c r="A24" s="13" t="s">
        <v>231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25">
      <c r="A25" s="13" t="s">
        <v>232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x14ac:dyDescent="0.25">
      <c r="A26" s="13" t="s">
        <v>233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x14ac:dyDescent="0.25">
      <c r="A27" s="13" t="s">
        <v>234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x14ac:dyDescent="0.25">
      <c r="A28" s="13" t="s">
        <v>235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x14ac:dyDescent="0.25">
      <c r="A29" s="13" t="s">
        <v>236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5">
      <c r="A30" s="13" t="s">
        <v>237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x14ac:dyDescent="0.25">
      <c r="A31" s="13" t="s">
        <v>238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5">
      <c r="A32" s="9" t="s">
        <v>239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</sheetData>
  <mergeCells count="1">
    <mergeCell ref="A1:O1"/>
  </mergeCells>
  <conditionalFormatting sqref="B3:O32">
    <cfRule type="cellIs" dxfId="36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zoomScaleNormal="100" workbookViewId="0">
      <selection sqref="A1:O1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9" t="s">
        <v>355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9" t="s">
        <v>240</v>
      </c>
      <c r="B2" s="12" t="s">
        <v>338</v>
      </c>
      <c r="C2" s="12" t="s">
        <v>339</v>
      </c>
      <c r="D2" s="12" t="s">
        <v>340</v>
      </c>
      <c r="E2" s="12" t="s">
        <v>341</v>
      </c>
      <c r="F2" s="12" t="s">
        <v>342</v>
      </c>
      <c r="G2" s="12" t="s">
        <v>343</v>
      </c>
      <c r="H2" s="12" t="s">
        <v>344</v>
      </c>
      <c r="I2" s="12" t="s">
        <v>345</v>
      </c>
      <c r="J2" s="12" t="s">
        <v>346</v>
      </c>
      <c r="K2" s="12" t="s">
        <v>347</v>
      </c>
      <c r="L2" s="12" t="s">
        <v>348</v>
      </c>
      <c r="M2" s="12" t="s">
        <v>349</v>
      </c>
      <c r="N2" s="12" t="s">
        <v>350</v>
      </c>
      <c r="O2" s="12" t="s">
        <v>351</v>
      </c>
    </row>
    <row r="3" spans="1:15" x14ac:dyDescent="0.25">
      <c r="A3" s="10" t="s">
        <v>241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13" t="s">
        <v>242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3" t="s">
        <v>243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3" t="s">
        <v>244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13" t="s">
        <v>245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13" t="s">
        <v>246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13" t="s">
        <v>247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248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13" t="s">
        <v>249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13" t="s">
        <v>250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13" t="s">
        <v>251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13" t="s">
        <v>252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253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13" t="s">
        <v>254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13" t="s">
        <v>255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13" t="s">
        <v>256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13" t="s">
        <v>257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13" t="s">
        <v>258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13" t="s">
        <v>259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3" t="s">
        <v>260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13" t="s">
        <v>261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3" t="s">
        <v>262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3" t="s">
        <v>263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13" t="s">
        <v>264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13" t="s">
        <v>265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13" t="s">
        <v>266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13" t="s">
        <v>267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13" t="s">
        <v>268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13" t="s">
        <v>269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9" t="s">
        <v>270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</sheetData>
  <mergeCells count="1">
    <mergeCell ref="A1:O1"/>
  </mergeCells>
  <conditionalFormatting sqref="B3:O32">
    <cfRule type="cellIs" dxfId="35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workbookViewId="0">
      <selection sqref="A1:O1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9" t="s">
        <v>356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3" t="s">
        <v>271</v>
      </c>
      <c r="B2" s="12" t="s">
        <v>338</v>
      </c>
      <c r="C2" s="12" t="s">
        <v>339</v>
      </c>
      <c r="D2" s="12" t="s">
        <v>340</v>
      </c>
      <c r="E2" s="12" t="s">
        <v>341</v>
      </c>
      <c r="F2" s="12" t="s">
        <v>342</v>
      </c>
      <c r="G2" s="12" t="s">
        <v>343</v>
      </c>
      <c r="H2" s="12" t="s">
        <v>344</v>
      </c>
      <c r="I2" s="12" t="s">
        <v>345</v>
      </c>
      <c r="J2" s="12" t="s">
        <v>346</v>
      </c>
      <c r="K2" s="12" t="s">
        <v>347</v>
      </c>
      <c r="L2" s="12" t="s">
        <v>348</v>
      </c>
      <c r="M2" s="12" t="s">
        <v>349</v>
      </c>
      <c r="N2" s="12" t="s">
        <v>350</v>
      </c>
      <c r="O2" s="12" t="s">
        <v>351</v>
      </c>
    </row>
    <row r="3" spans="1:15" x14ac:dyDescent="0.25">
      <c r="A3" s="1" t="s">
        <v>272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25">
      <c r="A4" s="7" t="s">
        <v>273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x14ac:dyDescent="0.25">
      <c r="A5" s="7" t="s">
        <v>274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25">
      <c r="A6" s="7" t="s">
        <v>275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x14ac:dyDescent="0.25">
      <c r="A7" s="7" t="s">
        <v>276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5">
      <c r="A8" s="7" t="s">
        <v>277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x14ac:dyDescent="0.25">
      <c r="A9" s="7" t="s">
        <v>278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x14ac:dyDescent="0.25">
      <c r="A10" s="7" t="s">
        <v>279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x14ac:dyDescent="0.25">
      <c r="A11" s="7" t="s">
        <v>280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x14ac:dyDescent="0.25">
      <c r="A12" s="7" t="s">
        <v>281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x14ac:dyDescent="0.25">
      <c r="A13" s="7" t="s">
        <v>282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25">
      <c r="A14" s="7" t="s">
        <v>283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x14ac:dyDescent="0.25">
      <c r="A15" s="7" t="s">
        <v>284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x14ac:dyDescent="0.25">
      <c r="A16" s="7" t="s">
        <v>285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x14ac:dyDescent="0.25">
      <c r="A17" s="7" t="s">
        <v>286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25">
      <c r="A18" s="7" t="s">
        <v>287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x14ac:dyDescent="0.25">
      <c r="A19" s="7" t="s">
        <v>288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25">
      <c r="A20" s="7" t="s">
        <v>289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x14ac:dyDescent="0.25">
      <c r="A21" s="7" t="s">
        <v>290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x14ac:dyDescent="0.25">
      <c r="A22" s="7" t="s">
        <v>291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x14ac:dyDescent="0.25">
      <c r="A23" s="7" t="s">
        <v>292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x14ac:dyDescent="0.25">
      <c r="A24" s="7" t="s">
        <v>293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25">
      <c r="A25" s="7" t="s">
        <v>294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x14ac:dyDescent="0.25">
      <c r="A26" s="7" t="s">
        <v>295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x14ac:dyDescent="0.25">
      <c r="A27" s="7" t="s">
        <v>296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x14ac:dyDescent="0.25">
      <c r="A28" s="7" t="s">
        <v>297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x14ac:dyDescent="0.25">
      <c r="A29" s="7" t="s">
        <v>298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5">
      <c r="A30" s="7" t="s">
        <v>299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x14ac:dyDescent="0.25">
      <c r="A31" s="7" t="s">
        <v>300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5">
      <c r="A32" s="3" t="s">
        <v>301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</sheetData>
  <mergeCells count="1">
    <mergeCell ref="A1:O1"/>
  </mergeCells>
  <conditionalFormatting sqref="B3:O32">
    <cfRule type="cellIs" dxfId="34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2"/>
  <sheetViews>
    <sheetView workbookViewId="0">
      <selection sqref="A1:O1"/>
    </sheetView>
  </sheetViews>
  <sheetFormatPr defaultRowHeight="15" x14ac:dyDescent="0.25"/>
  <cols>
    <col min="1" max="1" width="8.7109375" style="5" bestFit="1" customWidth="1"/>
    <col min="2" max="9" width="15.140625" style="5" bestFit="1" customWidth="1"/>
    <col min="10" max="15" width="16.140625" style="5" bestFit="1" customWidth="1"/>
  </cols>
  <sheetData>
    <row r="1" spans="1:15" ht="15.75" thickBot="1" x14ac:dyDescent="0.3">
      <c r="A1" s="29" t="s">
        <v>357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3" t="s">
        <v>302</v>
      </c>
      <c r="B2" s="12" t="s">
        <v>338</v>
      </c>
      <c r="C2" s="12" t="s">
        <v>339</v>
      </c>
      <c r="D2" s="12" t="s">
        <v>340</v>
      </c>
      <c r="E2" s="12" t="s">
        <v>341</v>
      </c>
      <c r="F2" s="12" t="s">
        <v>342</v>
      </c>
      <c r="G2" s="12" t="s">
        <v>343</v>
      </c>
      <c r="H2" s="12" t="s">
        <v>344</v>
      </c>
      <c r="I2" s="12" t="s">
        <v>345</v>
      </c>
      <c r="J2" s="12" t="s">
        <v>346</v>
      </c>
      <c r="K2" s="12" t="s">
        <v>347</v>
      </c>
      <c r="L2" s="12" t="s">
        <v>348</v>
      </c>
      <c r="M2" s="12" t="s">
        <v>349</v>
      </c>
      <c r="N2" s="12" t="s">
        <v>350</v>
      </c>
      <c r="O2" s="12" t="s">
        <v>351</v>
      </c>
    </row>
    <row r="3" spans="1:15" x14ac:dyDescent="0.25">
      <c r="A3" s="1" t="s">
        <v>303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7" t="s">
        <v>304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25">
      <c r="A5" s="7" t="s">
        <v>305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s="7" t="s">
        <v>306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25">
      <c r="A7" s="7" t="s">
        <v>307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25">
      <c r="A8" s="7" t="s">
        <v>308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5">
      <c r="A9" s="7" t="s">
        <v>309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25">
      <c r="A10" s="7" t="s">
        <v>310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25">
      <c r="A11" s="7" t="s">
        <v>311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25">
      <c r="A12" s="7" t="s">
        <v>312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25">
      <c r="A13" s="7" t="s">
        <v>313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25">
      <c r="A14" s="7" t="s">
        <v>314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25">
      <c r="A15" s="7" t="s">
        <v>315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25">
      <c r="A16" s="7" t="s">
        <v>316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25">
      <c r="A17" s="7" t="s">
        <v>317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25">
      <c r="A18" s="7" t="s">
        <v>318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5">
      <c r="A19" s="7" t="s">
        <v>319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25">
      <c r="A20" s="7" t="s">
        <v>320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25">
      <c r="A21" s="7" t="s">
        <v>321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25">
      <c r="A22" s="7" t="s">
        <v>322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25">
      <c r="A23" s="7" t="s">
        <v>323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25">
      <c r="A24" s="7" t="s">
        <v>324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25">
      <c r="A25" s="7" t="s">
        <v>325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25">
      <c r="A26" s="7" t="s">
        <v>326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25">
      <c r="A27" s="7" t="s">
        <v>327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25">
      <c r="A28" s="7" t="s">
        <v>328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25">
      <c r="A29" s="7" t="s">
        <v>329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25">
      <c r="A30" s="7" t="s">
        <v>330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25">
      <c r="A31" s="7" t="s">
        <v>331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25">
      <c r="A32" s="3" t="s">
        <v>332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>
      <selection activeCell="A19" sqref="A19"/>
    </sheetView>
  </sheetViews>
  <sheetFormatPr defaultRowHeight="15" x14ac:dyDescent="0.25"/>
  <cols>
    <col min="1" max="1" width="53.85546875" bestFit="1" customWidth="1"/>
  </cols>
  <sheetData>
    <row r="1" spans="1:1" x14ac:dyDescent="0.25">
      <c r="A1" t="s">
        <v>333</v>
      </c>
    </row>
    <row r="2" spans="1:1" x14ac:dyDescent="0.25">
      <c r="A2" t="s">
        <v>334</v>
      </c>
    </row>
    <row r="3" spans="1:1" x14ac:dyDescent="0.25">
      <c r="A3" t="s">
        <v>335</v>
      </c>
    </row>
    <row r="4" spans="1:1" x14ac:dyDescent="0.25">
      <c r="A4" t="s">
        <v>336</v>
      </c>
    </row>
    <row r="5" spans="1:1" x14ac:dyDescent="0.25">
      <c r="A5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SMMH</cp:lastModifiedBy>
  <dcterms:modified xsi:type="dcterms:W3CDTF">2026-08-03T06:30:21Z</dcterms:modified>
</cp:coreProperties>
</file>