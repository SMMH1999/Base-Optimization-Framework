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19\"/>
    </mc:Choice>
  </mc:AlternateContent>
  <xr:revisionPtr revIDLastSave="0" documentId="13_ncr:1_{D3F81C05-AF4F-4D81-B8C4-34A1D58AABB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AI3" i="2"/>
  <c r="Q35" i="2" s="1"/>
  <c r="Q36" i="2" s="1"/>
  <c r="AH3" i="2"/>
  <c r="P35" i="2" s="1"/>
  <c r="P36" i="2" s="1"/>
  <c r="AG3" i="2"/>
  <c r="AF3" i="2"/>
  <c r="N35" i="2" s="1"/>
  <c r="N36" i="2" s="1"/>
  <c r="AE3" i="2"/>
  <c r="AD3" i="2"/>
  <c r="L35" i="2" s="1"/>
  <c r="AC3" i="2"/>
  <c r="AB3" i="2"/>
  <c r="AA3" i="2"/>
  <c r="Z3" i="2"/>
  <c r="Y3" i="2"/>
  <c r="X3" i="2"/>
  <c r="W3" i="2"/>
  <c r="V3" i="2"/>
  <c r="D35" i="2" s="1"/>
  <c r="D33" i="2" l="1"/>
  <c r="L33" i="2"/>
  <c r="R33" i="2"/>
  <c r="J33" i="2"/>
  <c r="K35" i="2"/>
  <c r="F33" i="2"/>
  <c r="H33" i="2"/>
  <c r="P33" i="2"/>
  <c r="E33" i="2"/>
  <c r="G33" i="2"/>
  <c r="O33" i="2"/>
  <c r="H35" i="2"/>
  <c r="M33" i="2"/>
  <c r="I35" i="2"/>
  <c r="K33" i="2"/>
  <c r="E35" i="2"/>
  <c r="M35" i="2"/>
  <c r="J35" i="2"/>
  <c r="R35" i="2"/>
  <c r="R36" i="2" s="1"/>
  <c r="I33" i="2"/>
  <c r="Q33" i="2"/>
  <c r="F35" i="2"/>
  <c r="G35" i="2"/>
  <c r="O35" i="2"/>
  <c r="O36" i="2" s="1"/>
  <c r="N33" i="2"/>
  <c r="G34" i="2" l="1"/>
  <c r="F36" i="2"/>
  <c r="Q34" i="2"/>
  <c r="I36" i="2"/>
  <c r="O34" i="2"/>
  <c r="H34" i="2"/>
  <c r="I34" i="2"/>
  <c r="P34" i="2"/>
  <c r="F34" i="2"/>
  <c r="M34" i="2"/>
  <c r="E34" i="2"/>
  <c r="J36" i="2"/>
  <c r="L36" i="2"/>
  <c r="D36" i="2"/>
  <c r="N34" i="2"/>
  <c r="M36" i="2"/>
  <c r="L34" i="2"/>
  <c r="K36" i="2"/>
  <c r="E36" i="2"/>
  <c r="R34" i="2"/>
  <c r="D34" i="2"/>
  <c r="G36" i="2"/>
  <c r="K34" i="2"/>
  <c r="H36" i="2"/>
  <c r="J34" i="2"/>
</calcChain>
</file>

<file path=xl/sharedStrings.xml><?xml version="1.0" encoding="utf-8"?>
<sst xmlns="http://schemas.openxmlformats.org/spreadsheetml/2006/main" count="259" uniqueCount="75">
  <si>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</si>
  <si>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</si>
  <si>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</si>
  <si>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</si>
  <si>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</si>
  <si>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</si>
  <si>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</si>
  <si>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</si>
  <si>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</si>
  <si>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</si>
  <si>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</si>
  <si>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</si>
  <si>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</si>
  <si>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Functions</t>
  </si>
  <si>
    <t>Column1</t>
  </si>
  <si>
    <t>Column2</t>
  </si>
  <si>
    <t>Multimodal
Functions</t>
  </si>
  <si>
    <t>Comparison of optimization results for the CEC benchmark functions 2019 (Fix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</si>
  <si>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</si>
  <si>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</si>
  <si>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</si>
  <si>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</si>
  <si>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2019 (fix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</si>
  <si>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</si>
  <si>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</si>
  <si>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</si>
  <si>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</si>
  <si>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</si>
  <si>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</si>
  <si>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</si>
  <si>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</si>
  <si>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</si>
  <si>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</si>
  <si>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</si>
  <si>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</si>
  <si>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</si>
  <si>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</si>
  <si>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</si>
  <si>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P-value of the T-test analysis for the CEC benchmark functions 2019 (fix Dim)</t>
  </si>
  <si>
    <t>H-value of the T-test analysis for the CEC benchmark functions 2019 (fix Dim)</t>
  </si>
  <si>
    <t>H-value of the Wilcoxon analysis for the CEC benchmark functions 2019 (fix Dim)</t>
  </si>
  <si>
    <t>State of the Wilcoxon analysis for the CEC benchmark functions 2019 (fix Dim)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</si>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</sst>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1" fontId="2" fillId="0" borderId="6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</cellXfs>
  <cellStyles count="1">
    <cellStyle name="Normal" xfId="0" builtinId="0"/>
  </cellStyles>
  <dxfs count="19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2" totalsRowShown="0" headerRowDxfId="18" dataDxfId="17" tableBorderDxfId="16">
  <autoFilter ref="S2:T32" xr:uid="{00000000-0009-0000-0100-000001000000}"/>
  <tableColumns count="2">
    <tableColumn id="1" xr3:uid="{00000000-0010-0000-0000-000001000000}" name="Column1" dataDxfId="15"/>
    <tableColumn id="2" xr3:uid="{00000000-0010-0000-0000-000002000000}" name="Column2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Q40" sqref="Q40"/>
    </sheetView>
  </sheetViews>
  <sheetFormatPr defaultColWidth="8.85546875" defaultRowHeight="15" x14ac:dyDescent="0.25"/>
  <cols>
    <col min="1" max="1" width="9.7109375" style="7" bestFit="1" customWidth="1"/>
    <col min="2" max="2" width="4" style="7" bestFit="1" customWidth="1"/>
    <col min="3" max="3" width="6" style="7" bestFit="1" customWidth="1"/>
    <col min="4" max="12" width="11.28515625" style="7" bestFit="1" customWidth="1"/>
    <col min="13" max="18" width="12.28515625" style="7" bestFit="1" customWidth="1"/>
    <col min="19" max="20" width="10.42578125" style="7" customWidth="1"/>
    <col min="21" max="21" width="8.85546875" style="7"/>
    <col min="22" max="30" width="11.28515625" bestFit="1" customWidth="1"/>
    <col min="31" max="32" width="12.28515625" bestFit="1" customWidth="1"/>
    <col min="33" max="36" width="12.28515625" style="7" bestFit="1" customWidth="1"/>
    <col min="37" max="16384" width="8.85546875" style="7"/>
  </cols>
  <sheetData>
    <row r="1" spans="1:36" ht="15.75" thickBot="1" x14ac:dyDescent="0.3">
      <c r="A1" s="18" t="s">
        <v>17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spans="1:36" x14ac:dyDescent="0.25">
      <c r="A2" s="1" t="s">
        <v>13</v>
      </c>
      <c r="B2" s="1"/>
      <c r="C2" s="1"/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 s="1" t="s">
        <v>31</v>
      </c>
      <c r="M2" s="1" t="s">
        <v>32</v>
      </c>
      <c r="N2" s="1" t="s">
        <v>33</v>
      </c>
      <c r="O2" s="1" t="s">
        <v>34</v>
      </c>
      <c r="P2" s="1" t="s">
        <v>35</v>
      </c>
      <c r="Q2" s="1" t="s">
        <v>36</v>
      </c>
      <c r="R2" s="1" t="s">
        <v>37</v>
      </c>
      <c r="S2" s="4" t="s">
        <v>14</v>
      </c>
      <c r="T2" s="4" t="s">
        <v>15</v>
      </c>
      <c r="V2" s="1" t="str">
        <f>D2</f>
        <v>Algorithm 1</v>
      </c>
      <c r="W2" s="1" t="str">
        <f t="shared" ref="W2:AJ2" si="0">E2</f>
        <v>Algorithm 2</v>
      </c>
      <c r="X2" s="1" t="str">
        <f t="shared" si="0"/>
        <v>Algorithm 3</v>
      </c>
      <c r="Y2" s="1" t="str">
        <f t="shared" si="0"/>
        <v>Algorithm 4</v>
      </c>
      <c r="Z2" s="1" t="str">
        <f t="shared" si="0"/>
        <v>Algorithm 5</v>
      </c>
      <c r="AA2" s="1" t="str">
        <f t="shared" si="0"/>
        <v>Algorithm 6</v>
      </c>
      <c r="AB2" s="1" t="str">
        <f t="shared" si="0"/>
        <v>Algorithm 7</v>
      </c>
      <c r="AC2" s="1" t="str">
        <f t="shared" si="0"/>
        <v>Algorithm 8</v>
      </c>
      <c r="AD2" s="1" t="str">
        <f t="shared" si="0"/>
        <v>Algorithm 9</v>
      </c>
      <c r="AE2" s="1" t="str">
        <f t="shared" si="0"/>
        <v>Algorithm 10</v>
      </c>
      <c r="AF2" s="1" t="str">
        <f t="shared" si="0"/>
        <v>Algorithm 11</v>
      </c>
      <c r="AG2" s="1" t="str">
        <f t="shared" si="0"/>
        <v>Algorithm 12</v>
      </c>
      <c r="AH2" s="1" t="str">
        <f t="shared" si="0"/>
        <v>Algorithm 13</v>
      </c>
      <c r="AI2" s="1" t="str">
        <f t="shared" si="0"/>
        <v>Algorithm 14</v>
      </c>
      <c r="AJ2" s="1" t="str">
        <f t="shared" si="0"/>
        <v>Algorithm 15</v>
      </c>
    </row>
    <row r="3" spans="1:36" ht="14.45" customHeight="1" x14ac:dyDescent="0.25">
      <c r="A3" s="21" t="s">
        <v>16</v>
      </c>
      <c r="B3" s="2" t="s">
        <v>46</v>
      </c>
      <c r="C3" s="2" t="s">
        <v>42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" t="s">
        <v>0</v>
      </c>
      <c r="T3" s="2" t="s">
        <v>10</v>
      </c>
      <c r="V3" s="7" t="e">
        <f>_xlfn.RANK.EQ(D3,$D3:$R3,1)</f>
        <v>#N/A</v>
      </c>
      <c r="W3" s="7" t="e">
        <f>_xlfn.RANK.EQ(E3,$D3:$R3,1)</f>
        <v>#N/A</v>
      </c>
      <c r="X3" s="7" t="e">
        <f>_xlfn.RANK.EQ(F3,$D3:$R3,1)</f>
        <v>#N/A</v>
      </c>
      <c r="Y3" s="7" t="e">
        <f>_xlfn.RANK.EQ(G3,$D3:$R3,1)</f>
        <v>#N/A</v>
      </c>
      <c r="Z3" s="7" t="e">
        <f>_xlfn.RANK.EQ(H3,$D3:$R3,1)</f>
        <v>#N/A</v>
      </c>
      <c r="AA3" s="7" t="e">
        <f>_xlfn.RANK.EQ(I3,$D3:$R3,1)</f>
        <v>#N/A</v>
      </c>
      <c r="AB3" s="7" t="e">
        <f>_xlfn.RANK.EQ(J3,$D3:$R3,1)</f>
        <v>#N/A</v>
      </c>
      <c r="AC3" s="7" t="e">
        <f>_xlfn.RANK.EQ(K3,$D3:$R3,1)</f>
        <v>#N/A</v>
      </c>
      <c r="AD3" s="7" t="e">
        <f>_xlfn.RANK.EQ(L3,$D3:$R3,1)</f>
        <v>#N/A</v>
      </c>
      <c r="AE3" s="7" t="e">
        <f>_xlfn.RANK.EQ(M3,$D3:$R3,1)</f>
        <v>#N/A</v>
      </c>
      <c r="AF3" s="7" t="e">
        <f>_xlfn.RANK.EQ(N3,$D3:$R3,1)</f>
        <v>#N/A</v>
      </c>
      <c r="AG3" s="7" t="e">
        <f>_xlfn.RANK.EQ(O3,$D3:$R3,1)</f>
        <v>#N/A</v>
      </c>
      <c r="AH3" s="7" t="e">
        <f>_xlfn.RANK.EQ(P3,$D3:$R3,1)</f>
        <v>#N/A</v>
      </c>
      <c r="AI3" s="7" t="e">
        <f>_xlfn.RANK.EQ(Q3,$D3:$R3,1)</f>
        <v>#N/A</v>
      </c>
      <c r="AJ3" s="7" t="e">
        <f>_xlfn.RANK.EQ(R3,$D3:$R3,1)</f>
        <v>#N/A</v>
      </c>
    </row>
    <row r="4" spans="1:36" x14ac:dyDescent="0.25">
      <c r="A4" s="22"/>
      <c r="B4" s="10" t="s">
        <v>46</v>
      </c>
      <c r="C4" s="4" t="s">
        <v>43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4"/>
      <c r="T4" s="4" t="s">
        <v>11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2"/>
      <c r="B5" s="5" t="s">
        <v>46</v>
      </c>
      <c r="C5" s="5" t="s">
        <v>44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5"/>
      <c r="T5" s="5" t="s">
        <v>12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2"/>
      <c r="B6" s="2" t="s">
        <v>47</v>
      </c>
      <c r="C6" s="2" t="s">
        <v>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" t="s">
        <v>1</v>
      </c>
      <c r="T6" s="2" t="s">
        <v>10</v>
      </c>
      <c r="V6" s="7" t="e">
        <f>_xlfn.RANK.EQ(D6,$D6:$R6,1)</f>
        <v>#N/A</v>
      </c>
      <c r="W6" s="7" t="e">
        <f>_xlfn.RANK.EQ(E6,$D6:$R6,1)</f>
        <v>#N/A</v>
      </c>
      <c r="X6" s="7" t="e">
        <f>_xlfn.RANK.EQ(F6,$D6:$R6,1)</f>
        <v>#N/A</v>
      </c>
      <c r="Y6" s="7" t="e">
        <f>_xlfn.RANK.EQ(G6,$D6:$R6,1)</f>
        <v>#N/A</v>
      </c>
      <c r="Z6" s="7" t="e">
        <f>_xlfn.RANK.EQ(H6,$D6:$R6,1)</f>
        <v>#N/A</v>
      </c>
      <c r="AA6" s="7" t="e">
        <f>_xlfn.RANK.EQ(I6,$D6:$R6,1)</f>
        <v>#N/A</v>
      </c>
      <c r="AB6" s="7" t="e">
        <f>_xlfn.RANK.EQ(J6,$D6:$R6,1)</f>
        <v>#N/A</v>
      </c>
      <c r="AC6" s="7" t="e">
        <f>_xlfn.RANK.EQ(K6,$D6:$R6,1)</f>
        <v>#N/A</v>
      </c>
      <c r="AD6" s="7" t="e">
        <f>_xlfn.RANK.EQ(L6,$D6:$R6,1)</f>
        <v>#N/A</v>
      </c>
      <c r="AE6" s="7" t="e">
        <f>_xlfn.RANK.EQ(M6,$D6:$R6,1)</f>
        <v>#N/A</v>
      </c>
      <c r="AF6" s="7" t="e">
        <f>_xlfn.RANK.EQ(N6,$D6:$R6,1)</f>
        <v>#N/A</v>
      </c>
      <c r="AG6" s="7" t="e">
        <f>_xlfn.RANK.EQ(O6,$D6:$R6,1)</f>
        <v>#N/A</v>
      </c>
      <c r="AH6" s="7" t="e">
        <f>_xlfn.RANK.EQ(P6,$D6:$R6,1)</f>
        <v>#N/A</v>
      </c>
      <c r="AI6" s="7" t="e">
        <f>_xlfn.RANK.EQ(Q6,$D6:$R6,1)</f>
        <v>#N/A</v>
      </c>
      <c r="AJ6" s="7" t="e">
        <f>_xlfn.RANK.EQ(R6,$D6:$R6,1)</f>
        <v>#N/A</v>
      </c>
    </row>
    <row r="7" spans="1:36" x14ac:dyDescent="0.25">
      <c r="A7" s="22"/>
      <c r="B7" s="10" t="s">
        <v>47</v>
      </c>
      <c r="C7" s="4" t="s">
        <v>43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4"/>
      <c r="T7" s="4" t="s">
        <v>11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2"/>
      <c r="B8" s="5" t="s">
        <v>47</v>
      </c>
      <c r="C8" s="5" t="s">
        <v>44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5"/>
      <c r="T8" s="5" t="s">
        <v>12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ht="14.45" customHeight="1" x14ac:dyDescent="0.25">
      <c r="A9" s="22"/>
      <c r="B9" s="2" t="s">
        <v>48</v>
      </c>
      <c r="C9" s="2" t="s">
        <v>42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" t="s">
        <v>2</v>
      </c>
      <c r="T9" s="2" t="s">
        <v>10</v>
      </c>
      <c r="V9" s="7" t="e">
        <f>_xlfn.RANK.EQ(D9,$D9:$R9,1)</f>
        <v>#N/A</v>
      </c>
      <c r="W9" s="7" t="e">
        <f>_xlfn.RANK.EQ(E9,$D9:$R9,1)</f>
        <v>#N/A</v>
      </c>
      <c r="X9" s="7" t="e">
        <f>_xlfn.RANK.EQ(F9,$D9:$R9,1)</f>
        <v>#N/A</v>
      </c>
      <c r="Y9" s="7" t="e">
        <f>_xlfn.RANK.EQ(G9,$D9:$R9,1)</f>
        <v>#N/A</v>
      </c>
      <c r="Z9" s="7" t="e">
        <f>_xlfn.RANK.EQ(H9,$D9:$R9,1)</f>
        <v>#N/A</v>
      </c>
      <c r="AA9" s="7" t="e">
        <f>_xlfn.RANK.EQ(I9,$D9:$R9,1)</f>
        <v>#N/A</v>
      </c>
      <c r="AB9" s="7" t="e">
        <f>_xlfn.RANK.EQ(J9,$D9:$R9,1)</f>
        <v>#N/A</v>
      </c>
      <c r="AC9" s="7" t="e">
        <f>_xlfn.RANK.EQ(K9,$D9:$R9,1)</f>
        <v>#N/A</v>
      </c>
      <c r="AD9" s="7" t="e">
        <f>_xlfn.RANK.EQ(L9,$D9:$R9,1)</f>
        <v>#N/A</v>
      </c>
      <c r="AE9" s="7" t="e">
        <f>_xlfn.RANK.EQ(M9,$D9:$R9,1)</f>
        <v>#N/A</v>
      </c>
      <c r="AF9" s="7" t="e">
        <f>_xlfn.RANK.EQ(N9,$D9:$R9,1)</f>
        <v>#N/A</v>
      </c>
      <c r="AG9" s="7" t="e">
        <f>_xlfn.RANK.EQ(O9,$D9:$R9,1)</f>
        <v>#N/A</v>
      </c>
      <c r="AH9" s="7" t="e">
        <f>_xlfn.RANK.EQ(P9,$D9:$R9,1)</f>
        <v>#N/A</v>
      </c>
      <c r="AI9" s="7" t="e">
        <f>_xlfn.RANK.EQ(Q9,$D9:$R9,1)</f>
        <v>#N/A</v>
      </c>
      <c r="AJ9" s="7" t="e">
        <f>_xlfn.RANK.EQ(R9,$D9:$R9,1)</f>
        <v>#N/A</v>
      </c>
    </row>
    <row r="10" spans="1:36" x14ac:dyDescent="0.25">
      <c r="A10" s="22"/>
      <c r="B10" s="10" t="s">
        <v>48</v>
      </c>
      <c r="C10" s="4" t="s">
        <v>43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4"/>
      <c r="T10" s="4" t="s">
        <v>11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2"/>
      <c r="B11" s="5" t="s">
        <v>48</v>
      </c>
      <c r="C11" s="5" t="s">
        <v>44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5"/>
      <c r="T11" s="5" t="s">
        <v>12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2"/>
      <c r="B12" s="2" t="s">
        <v>49</v>
      </c>
      <c r="C12" s="2" t="s">
        <v>42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" t="s">
        <v>3</v>
      </c>
      <c r="T12" s="2" t="s">
        <v>10</v>
      </c>
      <c r="V12" s="7" t="e">
        <f>_xlfn.RANK.EQ(D12,$D12:$R12,1)</f>
        <v>#N/A</v>
      </c>
      <c r="W12" s="7" t="e">
        <f>_xlfn.RANK.EQ(E12,$D12:$R12,1)</f>
        <v>#N/A</v>
      </c>
      <c r="X12" s="7" t="e">
        <f>_xlfn.RANK.EQ(F12,$D12:$R12,1)</f>
        <v>#N/A</v>
      </c>
      <c r="Y12" s="7" t="e">
        <f>_xlfn.RANK.EQ(G12,$D12:$R12,1)</f>
        <v>#N/A</v>
      </c>
      <c r="Z12" s="7" t="e">
        <f>_xlfn.RANK.EQ(H12,$D12:$R12,1)</f>
        <v>#N/A</v>
      </c>
      <c r="AA12" s="7" t="e">
        <f>_xlfn.RANK.EQ(I12,$D12:$R12,1)</f>
        <v>#N/A</v>
      </c>
      <c r="AB12" s="7" t="e">
        <f>_xlfn.RANK.EQ(J12,$D12:$R12,1)</f>
        <v>#N/A</v>
      </c>
      <c r="AC12" s="7" t="e">
        <f>_xlfn.RANK.EQ(K12,$D12:$R12,1)</f>
        <v>#N/A</v>
      </c>
      <c r="AD12" s="7" t="e">
        <f>_xlfn.RANK.EQ(L12,$D12:$R12,1)</f>
        <v>#N/A</v>
      </c>
      <c r="AE12" s="7" t="e">
        <f>_xlfn.RANK.EQ(M12,$D12:$R12,1)</f>
        <v>#N/A</v>
      </c>
      <c r="AF12" s="7" t="e">
        <f>_xlfn.RANK.EQ(N12,$D12:$R12,1)</f>
        <v>#N/A</v>
      </c>
      <c r="AG12" s="7" t="e">
        <f>_xlfn.RANK.EQ(O12,$D12:$R12,1)</f>
        <v>#N/A</v>
      </c>
      <c r="AH12" s="7" t="e">
        <f>_xlfn.RANK.EQ(P12,$D12:$R12,1)</f>
        <v>#N/A</v>
      </c>
      <c r="AI12" s="7" t="e">
        <f>_xlfn.RANK.EQ(Q12,$D12:$R12,1)</f>
        <v>#N/A</v>
      </c>
      <c r="AJ12" s="7" t="e">
        <f>_xlfn.RANK.EQ(R12,$D12:$R12,1)</f>
        <v>#N/A</v>
      </c>
    </row>
    <row r="13" spans="1:36" x14ac:dyDescent="0.25">
      <c r="A13" s="22"/>
      <c r="B13" s="10" t="s">
        <v>49</v>
      </c>
      <c r="C13" s="4" t="s">
        <v>43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4"/>
      <c r="T13" s="4" t="s">
        <v>11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2"/>
      <c r="B14" s="5" t="s">
        <v>49</v>
      </c>
      <c r="C14" s="5" t="s">
        <v>44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5"/>
      <c r="T14" s="5" t="s">
        <v>12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2"/>
      <c r="B15" s="2" t="s">
        <v>50</v>
      </c>
      <c r="C15" s="2" t="s">
        <v>42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" t="s">
        <v>4</v>
      </c>
      <c r="T15" s="2" t="s">
        <v>10</v>
      </c>
      <c r="V15" s="7" t="e">
        <f>_xlfn.RANK.EQ(D15,$D15:$R15,1)</f>
        <v>#N/A</v>
      </c>
      <c r="W15" s="7" t="e">
        <f>_xlfn.RANK.EQ(E15,$D15:$R15,1)</f>
        <v>#N/A</v>
      </c>
      <c r="X15" s="7" t="e">
        <f>_xlfn.RANK.EQ(F15,$D15:$R15,1)</f>
        <v>#N/A</v>
      </c>
      <c r="Y15" s="7" t="e">
        <f>_xlfn.RANK.EQ(G15,$D15:$R15,1)</f>
        <v>#N/A</v>
      </c>
      <c r="Z15" s="7" t="e">
        <f>_xlfn.RANK.EQ(H15,$D15:$R15,1)</f>
        <v>#N/A</v>
      </c>
      <c r="AA15" s="7" t="e">
        <f>_xlfn.RANK.EQ(I15,$D15:$R15,1)</f>
        <v>#N/A</v>
      </c>
      <c r="AB15" s="7" t="e">
        <f>_xlfn.RANK.EQ(J15,$D15:$R15,1)</f>
        <v>#N/A</v>
      </c>
      <c r="AC15" s="7" t="e">
        <f>_xlfn.RANK.EQ(K15,$D15:$R15,1)</f>
        <v>#N/A</v>
      </c>
      <c r="AD15" s="7" t="e">
        <f>_xlfn.RANK.EQ(L15,$D15:$R15,1)</f>
        <v>#N/A</v>
      </c>
      <c r="AE15" s="7" t="e">
        <f>_xlfn.RANK.EQ(M15,$D15:$R15,1)</f>
        <v>#N/A</v>
      </c>
      <c r="AF15" s="7" t="e">
        <f>_xlfn.RANK.EQ(N15,$D15:$R15,1)</f>
        <v>#N/A</v>
      </c>
      <c r="AG15" s="7" t="e">
        <f>_xlfn.RANK.EQ(O15,$D15:$R15,1)</f>
        <v>#N/A</v>
      </c>
      <c r="AH15" s="7" t="e">
        <f>_xlfn.RANK.EQ(P15,$D15:$R15,1)</f>
        <v>#N/A</v>
      </c>
      <c r="AI15" s="7" t="e">
        <f>_xlfn.RANK.EQ(Q15,$D15:$R15,1)</f>
        <v>#N/A</v>
      </c>
      <c r="AJ15" s="7" t="e">
        <f>_xlfn.RANK.EQ(R15,$D15:$R15,1)</f>
        <v>#N/A</v>
      </c>
    </row>
    <row r="16" spans="1:36" x14ac:dyDescent="0.25">
      <c r="A16" s="22"/>
      <c r="B16" s="10" t="s">
        <v>50</v>
      </c>
      <c r="C16" s="4" t="s">
        <v>43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4"/>
      <c r="T16" s="4" t="s">
        <v>11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2"/>
      <c r="B17" s="5" t="s">
        <v>50</v>
      </c>
      <c r="C17" s="5" t="s">
        <v>44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5"/>
      <c r="T17" s="5" t="s">
        <v>12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2"/>
      <c r="B18" s="2" t="s">
        <v>51</v>
      </c>
      <c r="C18" s="2" t="s">
        <v>42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" t="s">
        <v>5</v>
      </c>
      <c r="T18" s="2" t="s">
        <v>10</v>
      </c>
      <c r="V18" s="7" t="e">
        <f>_xlfn.RANK.EQ(D18,$D18:$R18,1)</f>
        <v>#N/A</v>
      </c>
      <c r="W18" s="7" t="e">
        <f>_xlfn.RANK.EQ(E18,$D18:$R18,1)</f>
        <v>#N/A</v>
      </c>
      <c r="X18" s="7" t="e">
        <f>_xlfn.RANK.EQ(F18,$D18:$R18,1)</f>
        <v>#N/A</v>
      </c>
      <c r="Y18" s="7" t="e">
        <f>_xlfn.RANK.EQ(G18,$D18:$R18,1)</f>
        <v>#N/A</v>
      </c>
      <c r="Z18" s="7" t="e">
        <f>_xlfn.RANK.EQ(H18,$D18:$R18,1)</f>
        <v>#N/A</v>
      </c>
      <c r="AA18" s="7" t="e">
        <f>_xlfn.RANK.EQ(I18,$D18:$R18,1)</f>
        <v>#N/A</v>
      </c>
      <c r="AB18" s="7" t="e">
        <f>_xlfn.RANK.EQ(J18,$D18:$R18,1)</f>
        <v>#N/A</v>
      </c>
      <c r="AC18" s="7" t="e">
        <f>_xlfn.RANK.EQ(K18,$D18:$R18,1)</f>
        <v>#N/A</v>
      </c>
      <c r="AD18" s="7" t="e">
        <f>_xlfn.RANK.EQ(L18,$D18:$R18,1)</f>
        <v>#N/A</v>
      </c>
      <c r="AE18" s="7" t="e">
        <f>_xlfn.RANK.EQ(M18,$D18:$R18,1)</f>
        <v>#N/A</v>
      </c>
      <c r="AF18" s="7" t="e">
        <f>_xlfn.RANK.EQ(N18,$D18:$R18,1)</f>
        <v>#N/A</v>
      </c>
      <c r="AG18" s="7" t="e">
        <f>_xlfn.RANK.EQ(O18,$D18:$R18,1)</f>
        <v>#N/A</v>
      </c>
      <c r="AH18" s="7" t="e">
        <f>_xlfn.RANK.EQ(P18,$D18:$R18,1)</f>
        <v>#N/A</v>
      </c>
      <c r="AI18" s="7" t="e">
        <f>_xlfn.RANK.EQ(Q18,$D18:$R18,1)</f>
        <v>#N/A</v>
      </c>
      <c r="AJ18" s="7" t="e">
        <f>_xlfn.RANK.EQ(R18,$D18:$R18,1)</f>
        <v>#N/A</v>
      </c>
    </row>
    <row r="19" spans="1:36" x14ac:dyDescent="0.25">
      <c r="A19" s="22"/>
      <c r="B19" s="10" t="s">
        <v>51</v>
      </c>
      <c r="C19" s="4" t="s">
        <v>43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4"/>
      <c r="T19" s="4" t="s">
        <v>11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2"/>
      <c r="B20" s="5" t="s">
        <v>51</v>
      </c>
      <c r="C20" s="5" t="s">
        <v>44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5"/>
      <c r="T20" s="5" t="s">
        <v>12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2"/>
      <c r="B21" s="2" t="s">
        <v>52</v>
      </c>
      <c r="C21" s="2" t="s">
        <v>42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" t="s">
        <v>6</v>
      </c>
      <c r="T21" s="2" t="s">
        <v>10</v>
      </c>
      <c r="V21" s="7" t="e">
        <f>_xlfn.RANK.EQ(D21,$D21:$R21,1)</f>
        <v>#N/A</v>
      </c>
      <c r="W21" s="7" t="e">
        <f>_xlfn.RANK.EQ(E21,$D21:$R21,1)</f>
        <v>#N/A</v>
      </c>
      <c r="X21" s="7" t="e">
        <f>_xlfn.RANK.EQ(F21,$D21:$R21,1)</f>
        <v>#N/A</v>
      </c>
      <c r="Y21" s="7" t="e">
        <f>_xlfn.RANK.EQ(G21,$D21:$R21,1)</f>
        <v>#N/A</v>
      </c>
      <c r="Z21" s="7" t="e">
        <f>_xlfn.RANK.EQ(H21,$D21:$R21,1)</f>
        <v>#N/A</v>
      </c>
      <c r="AA21" s="7" t="e">
        <f>_xlfn.RANK.EQ(I21,$D21:$R21,1)</f>
        <v>#N/A</v>
      </c>
      <c r="AB21" s="7" t="e">
        <f>_xlfn.RANK.EQ(J21,$D21:$R21,1)</f>
        <v>#N/A</v>
      </c>
      <c r="AC21" s="7" t="e">
        <f>_xlfn.RANK.EQ(K21,$D21:$R21,1)</f>
        <v>#N/A</v>
      </c>
      <c r="AD21" s="7" t="e">
        <f>_xlfn.RANK.EQ(L21,$D21:$R21,1)</f>
        <v>#N/A</v>
      </c>
      <c r="AE21" s="7" t="e">
        <f>_xlfn.RANK.EQ(M21,$D21:$R21,1)</f>
        <v>#N/A</v>
      </c>
      <c r="AF21" s="7" t="e">
        <f>_xlfn.RANK.EQ(N21,$D21:$R21,1)</f>
        <v>#N/A</v>
      </c>
      <c r="AG21" s="7" t="e">
        <f>_xlfn.RANK.EQ(O21,$D21:$R21,1)</f>
        <v>#N/A</v>
      </c>
      <c r="AH21" s="7" t="e">
        <f>_xlfn.RANK.EQ(P21,$D21:$R21,1)</f>
        <v>#N/A</v>
      </c>
      <c r="AI21" s="7" t="e">
        <f>_xlfn.RANK.EQ(Q21,$D21:$R21,1)</f>
        <v>#N/A</v>
      </c>
      <c r="AJ21" s="7" t="e">
        <f>_xlfn.RANK.EQ(R21,$D21:$R21,1)</f>
        <v>#N/A</v>
      </c>
    </row>
    <row r="22" spans="1:36" x14ac:dyDescent="0.25">
      <c r="A22" s="22"/>
      <c r="B22" s="10" t="s">
        <v>52</v>
      </c>
      <c r="C22" s="4" t="s">
        <v>43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4"/>
      <c r="T22" s="4" t="s">
        <v>11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2"/>
      <c r="B23" s="5" t="s">
        <v>52</v>
      </c>
      <c r="C23" s="5" t="s">
        <v>44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5"/>
      <c r="T23" s="5" t="s">
        <v>12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2"/>
      <c r="B24" s="2" t="s">
        <v>53</v>
      </c>
      <c r="C24" s="2" t="s">
        <v>42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" t="s">
        <v>7</v>
      </c>
      <c r="T24" s="2" t="s">
        <v>10</v>
      </c>
      <c r="V24" s="7" t="e">
        <f>_xlfn.RANK.EQ(D24,$D24:$R24,1)</f>
        <v>#N/A</v>
      </c>
      <c r="W24" s="7" t="e">
        <f>_xlfn.RANK.EQ(E24,$D24:$R24,1)</f>
        <v>#N/A</v>
      </c>
      <c r="X24" s="7" t="e">
        <f>_xlfn.RANK.EQ(F24,$D24:$R24,1)</f>
        <v>#N/A</v>
      </c>
      <c r="Y24" s="7" t="e">
        <f>_xlfn.RANK.EQ(G24,$D24:$R24,1)</f>
        <v>#N/A</v>
      </c>
      <c r="Z24" s="7" t="e">
        <f>_xlfn.RANK.EQ(H24,$D24:$R24,1)</f>
        <v>#N/A</v>
      </c>
      <c r="AA24" s="7" t="e">
        <f>_xlfn.RANK.EQ(I24,$D24:$R24,1)</f>
        <v>#N/A</v>
      </c>
      <c r="AB24" s="7" t="e">
        <f>_xlfn.RANK.EQ(J24,$D24:$R24,1)</f>
        <v>#N/A</v>
      </c>
      <c r="AC24" s="7" t="e">
        <f>_xlfn.RANK.EQ(K24,$D24:$R24,1)</f>
        <v>#N/A</v>
      </c>
      <c r="AD24" s="7" t="e">
        <f>_xlfn.RANK.EQ(L24,$D24:$R24,1)</f>
        <v>#N/A</v>
      </c>
      <c r="AE24" s="7" t="e">
        <f>_xlfn.RANK.EQ(M24,$D24:$R24,1)</f>
        <v>#N/A</v>
      </c>
      <c r="AF24" s="7" t="e">
        <f>_xlfn.RANK.EQ(N24,$D24:$R24,1)</f>
        <v>#N/A</v>
      </c>
      <c r="AG24" s="7" t="e">
        <f>_xlfn.RANK.EQ(O24,$D24:$R24,1)</f>
        <v>#N/A</v>
      </c>
      <c r="AH24" s="7" t="e">
        <f>_xlfn.RANK.EQ(P24,$D24:$R24,1)</f>
        <v>#N/A</v>
      </c>
      <c r="AI24" s="7" t="e">
        <f>_xlfn.RANK.EQ(Q24,$D24:$R24,1)</f>
        <v>#N/A</v>
      </c>
      <c r="AJ24" s="7" t="e">
        <f>_xlfn.RANK.EQ(R24,$D24:$R24,1)</f>
        <v>#N/A</v>
      </c>
    </row>
    <row r="25" spans="1:36" x14ac:dyDescent="0.25">
      <c r="A25" s="22"/>
      <c r="B25" s="10" t="s">
        <v>53</v>
      </c>
      <c r="C25" s="4" t="s">
        <v>43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4"/>
      <c r="T25" s="4" t="s">
        <v>11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2"/>
      <c r="B26" s="5" t="s">
        <v>53</v>
      </c>
      <c r="C26" s="5" t="s">
        <v>44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5"/>
      <c r="T26" s="5" t="s">
        <v>12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2"/>
      <c r="B27" s="2" t="s">
        <v>54</v>
      </c>
      <c r="C27" s="2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" t="s">
        <v>8</v>
      </c>
      <c r="T27" s="2" t="s">
        <v>10</v>
      </c>
      <c r="V27" s="7" t="e">
        <f>_xlfn.RANK.EQ(D27,$D27:$R27,1)</f>
        <v>#N/A</v>
      </c>
      <c r="W27" s="7" t="e">
        <f>_xlfn.RANK.EQ(E27,$D27:$R27,1)</f>
        <v>#N/A</v>
      </c>
      <c r="X27" s="7" t="e">
        <f>_xlfn.RANK.EQ(F27,$D27:$R27,1)</f>
        <v>#N/A</v>
      </c>
      <c r="Y27" s="7" t="e">
        <f>_xlfn.RANK.EQ(G27,$D27:$R27,1)</f>
        <v>#N/A</v>
      </c>
      <c r="Z27" s="7" t="e">
        <f>_xlfn.RANK.EQ(H27,$D27:$R27,1)</f>
        <v>#N/A</v>
      </c>
      <c r="AA27" s="7" t="e">
        <f>_xlfn.RANK.EQ(I27,$D27:$R27,1)</f>
        <v>#N/A</v>
      </c>
      <c r="AB27" s="7" t="e">
        <f>_xlfn.RANK.EQ(J27,$D27:$R27,1)</f>
        <v>#N/A</v>
      </c>
      <c r="AC27" s="7" t="e">
        <f>_xlfn.RANK.EQ(K27,$D27:$R27,1)</f>
        <v>#N/A</v>
      </c>
      <c r="AD27" s="7" t="e">
        <f>_xlfn.RANK.EQ(L27,$D27:$R27,1)</f>
        <v>#N/A</v>
      </c>
      <c r="AE27" s="7" t="e">
        <f>_xlfn.RANK.EQ(M27,$D27:$R27,1)</f>
        <v>#N/A</v>
      </c>
      <c r="AF27" s="7" t="e">
        <f>_xlfn.RANK.EQ(N27,$D27:$R27,1)</f>
        <v>#N/A</v>
      </c>
      <c r="AG27" s="7" t="e">
        <f>_xlfn.RANK.EQ(O27,$D27:$R27,1)</f>
        <v>#N/A</v>
      </c>
      <c r="AH27" s="7" t="e">
        <f>_xlfn.RANK.EQ(P27,$D27:$R27,1)</f>
        <v>#N/A</v>
      </c>
      <c r="AI27" s="7" t="e">
        <f>_xlfn.RANK.EQ(Q27,$D27:$R27,1)</f>
        <v>#N/A</v>
      </c>
      <c r="AJ27" s="7" t="e">
        <f>_xlfn.RANK.EQ(R27,$D27:$R27,1)</f>
        <v>#N/A</v>
      </c>
    </row>
    <row r="28" spans="1:36" x14ac:dyDescent="0.25">
      <c r="A28" s="22"/>
      <c r="B28" s="10" t="s">
        <v>54</v>
      </c>
      <c r="C28" s="4" t="s">
        <v>43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4"/>
      <c r="T28" s="4" t="s">
        <v>11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2"/>
      <c r="B29" s="5" t="s">
        <v>54</v>
      </c>
      <c r="C29" s="5" t="s">
        <v>44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5" t="s">
        <v>12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2"/>
      <c r="B30" s="2" t="s">
        <v>55</v>
      </c>
      <c r="C30" s="2" t="s">
        <v>42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" t="s">
        <v>9</v>
      </c>
      <c r="T30" s="2" t="s">
        <v>10</v>
      </c>
      <c r="V30" s="7" t="e">
        <f>_xlfn.RANK.EQ(D30,$D30:$R30,1)</f>
        <v>#N/A</v>
      </c>
      <c r="W30" s="7" t="e">
        <f>_xlfn.RANK.EQ(E30,$D30:$R30,1)</f>
        <v>#N/A</v>
      </c>
      <c r="X30" s="7" t="e">
        <f>_xlfn.RANK.EQ(F30,$D30:$R30,1)</f>
        <v>#N/A</v>
      </c>
      <c r="Y30" s="7" t="e">
        <f>_xlfn.RANK.EQ(G30,$D30:$R30,1)</f>
        <v>#N/A</v>
      </c>
      <c r="Z30" s="7" t="e">
        <f>_xlfn.RANK.EQ(H30,$D30:$R30,1)</f>
        <v>#N/A</v>
      </c>
      <c r="AA30" s="7" t="e">
        <f>_xlfn.RANK.EQ(I30,$D30:$R30,1)</f>
        <v>#N/A</v>
      </c>
      <c r="AB30" s="7" t="e">
        <f>_xlfn.RANK.EQ(J30,$D30:$R30,1)</f>
        <v>#N/A</v>
      </c>
      <c r="AC30" s="7" t="e">
        <f>_xlfn.RANK.EQ(K30,$D30:$R30,1)</f>
        <v>#N/A</v>
      </c>
      <c r="AD30" s="7" t="e">
        <f>_xlfn.RANK.EQ(L30,$D30:$R30,1)</f>
        <v>#N/A</v>
      </c>
      <c r="AE30" s="7" t="e">
        <f>_xlfn.RANK.EQ(M30,$D30:$R30,1)</f>
        <v>#N/A</v>
      </c>
      <c r="AF30" s="7" t="e">
        <f>_xlfn.RANK.EQ(N30,$D30:$R30,1)</f>
        <v>#N/A</v>
      </c>
      <c r="AG30" s="7" t="e">
        <f>_xlfn.RANK.EQ(O30,$D30:$R30,1)</f>
        <v>#N/A</v>
      </c>
      <c r="AH30" s="7" t="e">
        <f>_xlfn.RANK.EQ(P30,$D30:$R30,1)</f>
        <v>#N/A</v>
      </c>
      <c r="AI30" s="7" t="e">
        <f>_xlfn.RANK.EQ(Q30,$D30:$R30,1)</f>
        <v>#N/A</v>
      </c>
      <c r="AJ30" s="7" t="e">
        <f>_xlfn.RANK.EQ(R30,$D30:$R30,1)</f>
        <v>#N/A</v>
      </c>
    </row>
    <row r="31" spans="1:36" x14ac:dyDescent="0.25">
      <c r="A31" s="22"/>
      <c r="B31" s="10" t="s">
        <v>55</v>
      </c>
      <c r="C31" s="4" t="s">
        <v>43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4"/>
      <c r="T31" s="4" t="s">
        <v>11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19"/>
      <c r="B32" s="5" t="s">
        <v>55</v>
      </c>
      <c r="C32" s="5" t="s">
        <v>44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5"/>
      <c r="T32" s="5" t="s">
        <v>12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ht="32.450000000000003" customHeight="1" x14ac:dyDescent="0.25">
      <c r="A33" s="21" t="s">
        <v>18</v>
      </c>
      <c r="B33" s="23"/>
      <c r="C33" s="23"/>
      <c r="D33" s="7">
        <f>COUNTIF(V3:V32,1)</f>
        <v>0</v>
      </c>
      <c r="E33" s="7">
        <f t="shared" ref="E33:R33" si="1">COUNTIF(W3:W32,1)</f>
        <v>0</v>
      </c>
      <c r="F33" s="7">
        <f t="shared" si="1"/>
        <v>0</v>
      </c>
      <c r="G33" s="7">
        <f t="shared" si="1"/>
        <v>0</v>
      </c>
      <c r="H33" s="7">
        <f t="shared" si="1"/>
        <v>0</v>
      </c>
      <c r="I33" s="7">
        <f t="shared" si="1"/>
        <v>0</v>
      </c>
      <c r="J33" s="7">
        <f t="shared" si="1"/>
        <v>0</v>
      </c>
      <c r="K33" s="7">
        <f t="shared" si="1"/>
        <v>0</v>
      </c>
      <c r="L33" s="7">
        <f t="shared" si="1"/>
        <v>0</v>
      </c>
      <c r="M33" s="7">
        <f t="shared" si="1"/>
        <v>0</v>
      </c>
      <c r="N33" s="7">
        <f t="shared" si="1"/>
        <v>0</v>
      </c>
      <c r="O33" s="7">
        <f t="shared" si="1"/>
        <v>0</v>
      </c>
      <c r="P33" s="7">
        <f t="shared" si="1"/>
        <v>0</v>
      </c>
      <c r="Q33" s="7">
        <f t="shared" si="1"/>
        <v>0</v>
      </c>
      <c r="R33" s="7">
        <f t="shared" si="1"/>
        <v>0</v>
      </c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ht="32.450000000000003" customHeight="1" x14ac:dyDescent="0.25">
      <c r="A34" s="24" t="s">
        <v>19</v>
      </c>
      <c r="B34" s="25"/>
      <c r="C34" s="25"/>
      <c r="D34" s="7">
        <f>_xlfn.RANK.EQ(D33,$D33:$R33,0)</f>
        <v>1</v>
      </c>
      <c r="E34" s="7">
        <f t="shared" ref="E34:R34" si="2">_xlfn.RANK.EQ(E33,$D33:$R33,0)</f>
        <v>1</v>
      </c>
      <c r="F34" s="7">
        <f t="shared" si="2"/>
        <v>1</v>
      </c>
      <c r="G34" s="7">
        <f t="shared" si="2"/>
        <v>1</v>
      </c>
      <c r="H34" s="7">
        <f t="shared" si="2"/>
        <v>1</v>
      </c>
      <c r="I34" s="7">
        <f t="shared" si="2"/>
        <v>1</v>
      </c>
      <c r="J34" s="7">
        <f t="shared" si="2"/>
        <v>1</v>
      </c>
      <c r="K34" s="7">
        <f t="shared" si="2"/>
        <v>1</v>
      </c>
      <c r="L34" s="7">
        <f t="shared" si="2"/>
        <v>1</v>
      </c>
      <c r="M34" s="7">
        <f t="shared" si="2"/>
        <v>1</v>
      </c>
      <c r="N34" s="7">
        <f t="shared" si="2"/>
        <v>1</v>
      </c>
      <c r="O34" s="7">
        <f t="shared" si="2"/>
        <v>1</v>
      </c>
      <c r="P34" s="7">
        <f t="shared" si="2"/>
        <v>1</v>
      </c>
      <c r="Q34" s="7">
        <f t="shared" si="2"/>
        <v>1</v>
      </c>
      <c r="R34" s="7">
        <f t="shared" si="2"/>
        <v>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32.450000000000003" customHeight="1" x14ac:dyDescent="0.25">
      <c r="A35" s="26" t="s">
        <v>20</v>
      </c>
      <c r="B35" s="25"/>
      <c r="C35" s="25"/>
      <c r="D35" s="8" t="e">
        <f>AVERAGE(V3:V32)</f>
        <v>#N/A</v>
      </c>
      <c r="E35" s="8" t="e">
        <f t="shared" ref="E35:R35" si="3">AVERAGE(W3:W32)</f>
        <v>#N/A</v>
      </c>
      <c r="F35" s="8" t="e">
        <f t="shared" si="3"/>
        <v>#N/A</v>
      </c>
      <c r="G35" s="8" t="e">
        <f t="shared" si="3"/>
        <v>#N/A</v>
      </c>
      <c r="H35" s="8" t="e">
        <f t="shared" si="3"/>
        <v>#N/A</v>
      </c>
      <c r="I35" s="8" t="e">
        <f t="shared" si="3"/>
        <v>#N/A</v>
      </c>
      <c r="J35" s="8" t="e">
        <f t="shared" si="3"/>
        <v>#N/A</v>
      </c>
      <c r="K35" s="8" t="e">
        <f t="shared" si="3"/>
        <v>#N/A</v>
      </c>
      <c r="L35" s="8" t="e">
        <f t="shared" si="3"/>
        <v>#N/A</v>
      </c>
      <c r="M35" s="8" t="e">
        <f t="shared" si="3"/>
        <v>#N/A</v>
      </c>
      <c r="N35" s="8" t="e">
        <f t="shared" si="3"/>
        <v>#N/A</v>
      </c>
      <c r="O35" s="8" t="e">
        <f t="shared" si="3"/>
        <v>#N/A</v>
      </c>
      <c r="P35" s="8" t="e">
        <f t="shared" si="3"/>
        <v>#N/A</v>
      </c>
      <c r="Q35" s="8" t="e">
        <f t="shared" si="3"/>
        <v>#N/A</v>
      </c>
      <c r="R35" s="8" t="e">
        <f t="shared" si="3"/>
        <v>#N/A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ht="32.450000000000003" customHeight="1" x14ac:dyDescent="0.25">
      <c r="A36" s="19" t="s">
        <v>21</v>
      </c>
      <c r="B36" s="20"/>
      <c r="C36" s="20"/>
      <c r="D36" s="5" t="e">
        <f>_xlfn.RANK.EQ(D35,$D35:$R35,1)</f>
        <v>#N/A</v>
      </c>
      <c r="E36" s="5" t="e">
        <f t="shared" ref="E36:R36" si="4">_xlfn.RANK.EQ(E35,$D35:$R35,1)</f>
        <v>#N/A</v>
      </c>
      <c r="F36" s="5" t="e">
        <f t="shared" si="4"/>
        <v>#N/A</v>
      </c>
      <c r="G36" s="5" t="e">
        <f t="shared" si="4"/>
        <v>#N/A</v>
      </c>
      <c r="H36" s="5" t="e">
        <f t="shared" si="4"/>
        <v>#N/A</v>
      </c>
      <c r="I36" s="5" t="e">
        <f t="shared" si="4"/>
        <v>#N/A</v>
      </c>
      <c r="J36" s="5" t="e">
        <f t="shared" si="4"/>
        <v>#N/A</v>
      </c>
      <c r="K36" s="5" t="e">
        <f t="shared" si="4"/>
        <v>#N/A</v>
      </c>
      <c r="L36" s="5" t="e">
        <f t="shared" si="4"/>
        <v>#N/A</v>
      </c>
      <c r="M36" s="5" t="e">
        <f t="shared" si="4"/>
        <v>#N/A</v>
      </c>
      <c r="N36" s="5" t="e">
        <f t="shared" si="4"/>
        <v>#N/A</v>
      </c>
      <c r="O36" s="5" t="e">
        <f t="shared" si="4"/>
        <v>#N/A</v>
      </c>
      <c r="P36" s="5" t="e">
        <f t="shared" si="4"/>
        <v>#N/A</v>
      </c>
      <c r="Q36" s="5" t="e">
        <f t="shared" si="4"/>
        <v>#N/A</v>
      </c>
      <c r="R36" s="5" t="e">
        <f t="shared" si="4"/>
        <v>#N/A</v>
      </c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25"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25"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25"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25"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25"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25"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</sheetData>
  <mergeCells count="6">
    <mergeCell ref="A1:R1"/>
    <mergeCell ref="A36:C36"/>
    <mergeCell ref="A3:A32"/>
    <mergeCell ref="A33:C33"/>
    <mergeCell ref="A34:C34"/>
    <mergeCell ref="A35:C35"/>
  </mergeCells>
  <phoneticPr fontId="3" type="noConversion"/>
  <conditionalFormatting sqref="D3:R3">
    <cfRule type="top10" dxfId="13" priority="10" bottom="1" rank="1"/>
  </conditionalFormatting>
  <conditionalFormatting sqref="D6:R6">
    <cfRule type="top10" dxfId="12" priority="9" bottom="1" rank="1"/>
  </conditionalFormatting>
  <conditionalFormatting sqref="D9:R9">
    <cfRule type="top10" dxfId="11" priority="8" bottom="1" rank="1"/>
  </conditionalFormatting>
  <conditionalFormatting sqref="D12:R12">
    <cfRule type="top10" dxfId="10" priority="7" bottom="1" rank="1"/>
  </conditionalFormatting>
  <conditionalFormatting sqref="D15:R15">
    <cfRule type="top10" dxfId="9" priority="6" bottom="1" rank="1"/>
  </conditionalFormatting>
  <conditionalFormatting sqref="D18:R18">
    <cfRule type="top10" dxfId="8" priority="5" bottom="1" rank="1"/>
  </conditionalFormatting>
  <conditionalFormatting sqref="D21:R21">
    <cfRule type="top10" dxfId="7" priority="4" bottom="1" rank="1"/>
  </conditionalFormatting>
  <conditionalFormatting sqref="D24:R24">
    <cfRule type="top10" dxfId="6" priority="3" bottom="1" rank="1"/>
  </conditionalFormatting>
  <conditionalFormatting sqref="D27:R27">
    <cfRule type="top10" dxfId="5" priority="2" bottom="1" rank="1"/>
  </conditionalFormatting>
  <conditionalFormatting sqref="D30:R3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>
      <selection activeCell="O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45</v>
      </c>
      <c r="B2" s="28" t="s">
        <v>61</v>
      </c>
      <c r="C2" s="28" t="s">
        <v>62</v>
      </c>
      <c r="D2" s="28" t="s">
        <v>63</v>
      </c>
      <c r="E2" s="28" t="s">
        <v>64</v>
      </c>
      <c r="F2" s="28" t="s">
        <v>65</v>
      </c>
      <c r="G2" s="28" t="s">
        <v>66</v>
      </c>
      <c r="H2" s="28" t="s">
        <v>67</v>
      </c>
      <c r="I2" s="28" t="s">
        <v>68</v>
      </c>
      <c r="J2" s="28" t="s">
        <v>69</v>
      </c>
      <c r="K2" s="28" t="s">
        <v>70</v>
      </c>
      <c r="L2" s="28" t="s">
        <v>71</v>
      </c>
      <c r="M2" s="28" t="s">
        <v>72</v>
      </c>
      <c r="N2" s="28" t="s">
        <v>73</v>
      </c>
      <c r="O2" s="28" t="s">
        <v>74</v>
      </c>
    </row>
    <row r="3" spans="1:15" x14ac:dyDescent="0.25">
      <c r="A3" s="12" t="s">
        <v>46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47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48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49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50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51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52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53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54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>
      <selection activeCell="H28" sqref="H28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45</v>
      </c>
      <c r="B2" s="28" t="s">
        <v>61</v>
      </c>
      <c r="C2" s="28" t="s">
        <v>62</v>
      </c>
      <c r="D2" s="28" t="s">
        <v>63</v>
      </c>
      <c r="E2" s="28" t="s">
        <v>64</v>
      </c>
      <c r="F2" s="28" t="s">
        <v>65</v>
      </c>
      <c r="G2" s="28" t="s">
        <v>66</v>
      </c>
      <c r="H2" s="28" t="s">
        <v>67</v>
      </c>
      <c r="I2" s="28" t="s">
        <v>68</v>
      </c>
      <c r="J2" s="28" t="s">
        <v>69</v>
      </c>
      <c r="K2" s="28" t="s">
        <v>70</v>
      </c>
      <c r="L2" s="28" t="s">
        <v>71</v>
      </c>
      <c r="M2" s="28" t="s">
        <v>72</v>
      </c>
      <c r="N2" s="28" t="s">
        <v>73</v>
      </c>
      <c r="O2" s="28" t="s">
        <v>74</v>
      </c>
    </row>
    <row r="3" spans="1:15" x14ac:dyDescent="0.25">
      <c r="A3" s="2" t="s">
        <v>46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47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48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49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50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51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52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53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54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55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>
      <selection activeCell="E23" sqref="E23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13" t="s">
        <v>45</v>
      </c>
      <c r="B2" s="28" t="s">
        <v>61</v>
      </c>
      <c r="C2" s="28" t="s">
        <v>62</v>
      </c>
      <c r="D2" s="28" t="s">
        <v>63</v>
      </c>
      <c r="E2" s="28" t="s">
        <v>64</v>
      </c>
      <c r="F2" s="28" t="s">
        <v>65</v>
      </c>
      <c r="G2" s="28" t="s">
        <v>66</v>
      </c>
      <c r="H2" s="28" t="s">
        <v>67</v>
      </c>
      <c r="I2" s="28" t="s">
        <v>68</v>
      </c>
      <c r="J2" s="28" t="s">
        <v>69</v>
      </c>
      <c r="K2" s="28" t="s">
        <v>70</v>
      </c>
      <c r="L2" s="28" t="s">
        <v>71</v>
      </c>
      <c r="M2" s="28" t="s">
        <v>72</v>
      </c>
      <c r="N2" s="28" t="s">
        <v>73</v>
      </c>
      <c r="O2" s="28" t="s">
        <v>74</v>
      </c>
    </row>
    <row r="3" spans="1:15" x14ac:dyDescent="0.25">
      <c r="A3" s="12" t="s">
        <v>46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47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48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49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50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51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52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53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54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>
      <selection activeCell="G25" sqref="G25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40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45</v>
      </c>
      <c r="B2" s="28" t="s">
        <v>61</v>
      </c>
      <c r="C2" s="28" t="s">
        <v>62</v>
      </c>
      <c r="D2" s="28" t="s">
        <v>63</v>
      </c>
      <c r="E2" s="28" t="s">
        <v>64</v>
      </c>
      <c r="F2" s="28" t="s">
        <v>65</v>
      </c>
      <c r="G2" s="28" t="s">
        <v>66</v>
      </c>
      <c r="H2" s="28" t="s">
        <v>67</v>
      </c>
      <c r="I2" s="28" t="s">
        <v>68</v>
      </c>
      <c r="J2" s="28" t="s">
        <v>69</v>
      </c>
      <c r="K2" s="28" t="s">
        <v>70</v>
      </c>
      <c r="L2" s="28" t="s">
        <v>71</v>
      </c>
      <c r="M2" s="28" t="s">
        <v>72</v>
      </c>
      <c r="N2" s="28" t="s">
        <v>73</v>
      </c>
      <c r="O2" s="28" t="s">
        <v>74</v>
      </c>
    </row>
    <row r="3" spans="1:15" x14ac:dyDescent="0.25">
      <c r="A3" s="2" t="s">
        <v>46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47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48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49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50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51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52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53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54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55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2"/>
  <sheetViews>
    <sheetView workbookViewId="0">
      <selection activeCell="G29" sqref="G29"/>
    </sheetView>
  </sheetViews>
  <sheetFormatPr defaultColWidth="8.85546875"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  <col min="16" max="16384" width="8.85546875" style="7"/>
  </cols>
  <sheetData>
    <row r="1" spans="1:15" ht="15.75" thickBot="1" x14ac:dyDescent="0.3">
      <c r="A1" s="27" t="s">
        <v>41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45</v>
      </c>
      <c r="B2" s="28" t="s">
        <v>61</v>
      </c>
      <c r="C2" s="28" t="s">
        <v>62</v>
      </c>
      <c r="D2" s="28" t="s">
        <v>63</v>
      </c>
      <c r="E2" s="28" t="s">
        <v>64</v>
      </c>
      <c r="F2" s="28" t="s">
        <v>65</v>
      </c>
      <c r="G2" s="28" t="s">
        <v>66</v>
      </c>
      <c r="H2" s="28" t="s">
        <v>67</v>
      </c>
      <c r="I2" s="28" t="s">
        <v>68</v>
      </c>
      <c r="J2" s="28" t="s">
        <v>69</v>
      </c>
      <c r="K2" s="28" t="s">
        <v>70</v>
      </c>
      <c r="L2" s="28" t="s">
        <v>71</v>
      </c>
      <c r="M2" s="28" t="s">
        <v>72</v>
      </c>
      <c r="N2" s="28" t="s">
        <v>73</v>
      </c>
      <c r="O2" s="28" t="s">
        <v>74</v>
      </c>
    </row>
    <row r="3" spans="1:15" x14ac:dyDescent="0.25">
      <c r="A3" s="2" t="s">
        <v>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0" t="s">
        <v>47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x14ac:dyDescent="0.25">
      <c r="A5" s="10" t="s">
        <v>48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1:15" x14ac:dyDescent="0.25">
      <c r="A6" s="10" t="s">
        <v>49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pans="1:15" x14ac:dyDescent="0.25">
      <c r="A7" s="10" t="s">
        <v>50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1:15" x14ac:dyDescent="0.25">
      <c r="A8" s="10" t="s">
        <v>51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15" x14ac:dyDescent="0.25">
      <c r="A9" s="10" t="s">
        <v>52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spans="1:15" x14ac:dyDescent="0.25">
      <c r="A10" s="10" t="s">
        <v>53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</row>
    <row r="11" spans="1:15" x14ac:dyDescent="0.25">
      <c r="A11" s="10" t="s">
        <v>54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</row>
    <row r="12" spans="1:15" x14ac:dyDescent="0.25">
      <c r="A12" s="5" t="s">
        <v>55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B16" sqref="B16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56</v>
      </c>
    </row>
    <row r="2" spans="1:1" x14ac:dyDescent="0.25">
      <c r="A2" t="s">
        <v>57</v>
      </c>
    </row>
    <row r="3" spans="1:1" x14ac:dyDescent="0.25">
      <c r="A3" t="s">
        <v>58</v>
      </c>
    </row>
    <row r="4" spans="1:1" x14ac:dyDescent="0.25">
      <c r="A4" t="s">
        <v>59</v>
      </c>
    </row>
    <row r="5" spans="1:1" x14ac:dyDescent="0.25">
      <c r="A5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2025-12-29T19:05:40Z</dcterms:modified>
</cp:coreProperties>
</file>