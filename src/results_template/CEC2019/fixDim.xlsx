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9\"/>
    </mc:Choice>
  </mc:AlternateContent>
  <xr:revisionPtr revIDLastSave="0" documentId="13_ncr:1_{AE5D990A-BD4B-4F7F-A188-6E9979F933D4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0" i="2" l="1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AI3" i="2" a="1"/>
  <c r="AI3" i="2" s="1"/>
  <c r="Q35" i="2" s="1"/>
  <c r="Q36" i="2" s="1"/>
  <c r="AH3" i="2" a="1"/>
  <c r="AH3" i="2" s="1"/>
  <c r="P35" i="2" s="1"/>
  <c r="P36" i="2" s="1"/>
  <c r="AG3" i="2" a="1"/>
  <c r="AG3" i="2" s="1"/>
  <c r="AF3" i="2" a="1"/>
  <c r="AF3" i="2" s="1"/>
  <c r="N35" i="2" s="1"/>
  <c r="N36" i="2" s="1"/>
  <c r="AE3" i="2" a="1"/>
  <c r="AE3" i="2" s="1"/>
  <c r="AD3" i="2" a="1"/>
  <c r="AD3" i="2" s="1"/>
  <c r="L35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D35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D33" i="2" l="1"/>
  <c r="L33" i="2"/>
  <c r="R33" i="2"/>
  <c r="J33" i="2"/>
  <c r="K35" i="2"/>
  <c r="F33" i="2"/>
  <c r="H33" i="2"/>
  <c r="P33" i="2"/>
  <c r="E33" i="2"/>
  <c r="G33" i="2"/>
  <c r="O33" i="2"/>
  <c r="H35" i="2"/>
  <c r="M33" i="2"/>
  <c r="I35" i="2"/>
  <c r="K33" i="2"/>
  <c r="E35" i="2"/>
  <c r="M35" i="2"/>
  <c r="J35" i="2"/>
  <c r="R35" i="2"/>
  <c r="R36" i="2" s="1"/>
  <c r="I33" i="2"/>
  <c r="Q33" i="2"/>
  <c r="F35" i="2"/>
  <c r="G35" i="2"/>
  <c r="O35" i="2"/>
  <c r="O36" i="2" s="1"/>
  <c r="N33" i="2"/>
  <c r="G34" i="2" l="1"/>
  <c r="F36" i="2"/>
  <c r="Q34" i="2"/>
  <c r="I36" i="2"/>
  <c r="O34" i="2"/>
  <c r="H34" i="2"/>
  <c r="I34" i="2"/>
  <c r="P34" i="2"/>
  <c r="F34" i="2"/>
  <c r="M34" i="2"/>
  <c r="E34" i="2"/>
  <c r="J36" i="2"/>
  <c r="L36" i="2"/>
  <c r="D36" i="2"/>
  <c r="N34" i="2"/>
  <c r="M36" i="2"/>
  <c r="L34" i="2"/>
  <c r="K36" i="2"/>
  <c r="E36" i="2"/>
  <c r="R34" i="2"/>
  <c r="D34" i="2"/>
  <c r="G36" i="2"/>
  <c r="K34" i="2"/>
  <c r="H36" i="2"/>
  <c r="J3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<sst xmlns="http://schemas.openxmlformats.org/spreadsheetml/2006/main" count="259" uniqueCount="75">
  <si>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</si>
  <si>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</si>
  <si>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</si>
  <si>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</si>
  <si>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</si>
  <si>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</si>
  <si>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</si>
  <si>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</si>
  <si>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</si>
  <si>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</si>
  <si>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</si>
  <si>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</si>
  <si>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</si>
  <si>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Functions</t>
  </si>
  <si>
    <t>Column1</t>
  </si>
  <si>
    <t>Column2</t>
  </si>
  <si>
    <t>Multimodal
Functions</t>
  </si>
  <si>
    <t>Comparison of optimization results for the CEC benchmark functions 2019 (Fix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</si>
  <si>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</si>
  <si>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</si>
  <si>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</si>
  <si>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</si>
  <si>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2019 (fix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</si>
  <si>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</si>
  <si>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</si>
  <si>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</si>
  <si>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</si>
  <si>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</si>
  <si>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</si>
  <si>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</si>
  <si>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</si>
  <si>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</si>
  <si>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</si>
  <si>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</si>
  <si>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</si>
  <si>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</si>
  <si>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</si>
  <si>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</si>
  <si>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2019 (fix Dim)</t>
  </si>
  <si>
    <t>H-value of the T-test analysis for the CEC benchmark functions 2019 (fix Dim)</t>
  </si>
  <si>
    <t>H-value of the Wilcoxon analysis for the CEC benchmark functions 2019 (fix Dim)</t>
  </si>
  <si>
    <t>State of the Wilcoxon analysis for the CEC benchmark functions 2019 (fix Dim)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</si>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</sst>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</cellXfs>
  <cellStyles count="1">
    <cellStyle name="Normal" xfId="0" builtinId="0"/>
  </cellStyles>
  <dxfs count="29"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28" dataDxfId="27" tableBorderDxfId="26">
  <autoFilter ref="S2:T32" xr:uid="{00000000-0009-0000-0100-000001000000}"/>
  <tableColumns count="2">
    <tableColumn id="1" xr3:uid="{00000000-0010-0000-0000-000001000000}" name="Column1" dataDxfId="25"/>
    <tableColumn id="2" xr3:uid="{00000000-0010-0000-0000-000002000000}" name="Column2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topLeftCell="P1" workbookViewId="0">
      <selection activeCell="W33" sqref="W33"/>
    </sheetView>
  </sheetViews>
  <sheetFormatPr defaultColWidth="8.85546875" defaultRowHeight="15" x14ac:dyDescent="0.25"/>
  <cols>
    <col min="1" max="1" width="9.7109375" style="7" bestFit="1" customWidth="1"/>
    <col min="2" max="2" width="4" style="7" bestFit="1" customWidth="1"/>
    <col min="3" max="3" width="6" style="7" bestFit="1" customWidth="1"/>
    <col min="4" max="12" width="11.28515625" style="7" bestFit="1" customWidth="1"/>
    <col min="13" max="18" width="12.28515625" style="7" bestFit="1" customWidth="1"/>
    <col min="19" max="20" width="10.42578125" style="7" customWidth="1"/>
    <col min="21" max="21" width="8.85546875" style="7"/>
    <col min="22" max="30" width="11.28515625" bestFit="1" customWidth="1"/>
    <col min="31" max="32" width="12.28515625" bestFit="1" customWidth="1"/>
    <col min="33" max="36" width="12.28515625" style="7" bestFit="1" customWidth="1"/>
    <col min="37" max="16384" width="8.85546875" style="7"/>
  </cols>
  <sheetData>
    <row r="1" spans="1:36" ht="15.75" thickBot="1" x14ac:dyDescent="0.3">
      <c r="A1" s="19" t="s">
        <v>17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1" t="s">
        <v>13</v>
      </c>
      <c r="B2" s="1"/>
      <c r="C2" s="1"/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  <c r="Q2" s="1" t="s">
        <v>36</v>
      </c>
      <c r="R2" s="1" t="s">
        <v>37</v>
      </c>
      <c r="S2" s="4" t="s">
        <v>14</v>
      </c>
      <c r="T2" s="4" t="s">
        <v>15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2" t="s">
        <v>16</v>
      </c>
      <c r="B3" s="2" t="s">
        <v>46</v>
      </c>
      <c r="C3" s="2" t="s">
        <v>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 t="s">
        <v>0</v>
      </c>
      <c r="T3" s="2" t="s">
        <v>10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3"/>
      <c r="B4" s="10" t="s">
        <v>46</v>
      </c>
      <c r="C4" s="4" t="s">
        <v>43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4"/>
      <c r="T4" s="4" t="s">
        <v>11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3"/>
      <c r="B5" s="5" t="s">
        <v>46</v>
      </c>
      <c r="C5" s="5" t="s">
        <v>44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5" t="s">
        <v>12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3"/>
      <c r="B6" s="2" t="s">
        <v>47</v>
      </c>
      <c r="C6" s="2" t="s">
        <v>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 t="s">
        <v>1</v>
      </c>
      <c r="T6" s="2" t="s">
        <v>10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3"/>
      <c r="B7" s="10" t="s">
        <v>47</v>
      </c>
      <c r="C7" s="4" t="s">
        <v>43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4"/>
      <c r="T7" s="4" t="s">
        <v>11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3"/>
      <c r="B8" s="5" t="s">
        <v>47</v>
      </c>
      <c r="C8" s="5" t="s">
        <v>44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5" t="s">
        <v>12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ht="14.45" customHeight="1" x14ac:dyDescent="0.25">
      <c r="A9" s="23"/>
      <c r="B9" s="2" t="s">
        <v>48</v>
      </c>
      <c r="C9" s="2" t="s">
        <v>42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 t="s">
        <v>2</v>
      </c>
      <c r="T9" s="2" t="s">
        <v>10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3"/>
      <c r="B10" s="10" t="s">
        <v>48</v>
      </c>
      <c r="C10" s="4" t="s">
        <v>43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4"/>
      <c r="T10" s="4" t="s">
        <v>11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3"/>
      <c r="B11" s="5" t="s">
        <v>48</v>
      </c>
      <c r="C11" s="5" t="s">
        <v>44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5" t="s">
        <v>12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3"/>
      <c r="B12" s="2" t="s">
        <v>49</v>
      </c>
      <c r="C12" s="2" t="s">
        <v>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 t="s">
        <v>3</v>
      </c>
      <c r="T12" s="2" t="s">
        <v>10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3"/>
      <c r="B13" s="10" t="s">
        <v>49</v>
      </c>
      <c r="C13" s="4" t="s">
        <v>43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4"/>
      <c r="T13" s="4" t="s">
        <v>11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3"/>
      <c r="B14" s="5" t="s">
        <v>49</v>
      </c>
      <c r="C14" s="5" t="s">
        <v>44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5" t="s">
        <v>12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3"/>
      <c r="B15" s="2" t="s">
        <v>50</v>
      </c>
      <c r="C15" s="2" t="s">
        <v>42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 t="s">
        <v>4</v>
      </c>
      <c r="T15" s="2" t="s">
        <v>10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3"/>
      <c r="B16" s="10" t="s">
        <v>50</v>
      </c>
      <c r="C16" s="4" t="s">
        <v>43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4"/>
      <c r="T16" s="4" t="s">
        <v>11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3"/>
      <c r="B17" s="5" t="s">
        <v>50</v>
      </c>
      <c r="C17" s="5" t="s">
        <v>44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5" t="s">
        <v>12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3"/>
      <c r="B18" s="2" t="s">
        <v>51</v>
      </c>
      <c r="C18" s="2" t="s">
        <v>42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 t="s">
        <v>5</v>
      </c>
      <c r="T18" s="2" t="s">
        <v>10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3"/>
      <c r="B19" s="10" t="s">
        <v>51</v>
      </c>
      <c r="C19" s="4" t="s">
        <v>43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 t="s">
        <v>11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3"/>
      <c r="B20" s="5" t="s">
        <v>51</v>
      </c>
      <c r="C20" s="5" t="s">
        <v>44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5" t="s">
        <v>12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3"/>
      <c r="B21" s="2" t="s">
        <v>52</v>
      </c>
      <c r="C21" s="2" t="s">
        <v>42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 t="s">
        <v>6</v>
      </c>
      <c r="T21" s="2" t="s">
        <v>10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3"/>
      <c r="B22" s="10" t="s">
        <v>52</v>
      </c>
      <c r="C22" s="4" t="s">
        <v>43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 t="s">
        <v>11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3"/>
      <c r="B23" s="5" t="s">
        <v>52</v>
      </c>
      <c r="C23" s="5" t="s">
        <v>44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 t="s">
        <v>12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3"/>
      <c r="B24" s="2" t="s">
        <v>53</v>
      </c>
      <c r="C24" s="2" t="s">
        <v>42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 t="s">
        <v>7</v>
      </c>
      <c r="T24" s="2" t="s">
        <v>10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3"/>
      <c r="B25" s="10" t="s">
        <v>53</v>
      </c>
      <c r="C25" s="4" t="s">
        <v>43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4"/>
      <c r="T25" s="4" t="s">
        <v>11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3"/>
      <c r="B26" s="5" t="s">
        <v>53</v>
      </c>
      <c r="C26" s="5" t="s">
        <v>44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 t="s">
        <v>12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3"/>
      <c r="B27" s="2" t="s">
        <v>54</v>
      </c>
      <c r="C27" s="2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 t="s">
        <v>8</v>
      </c>
      <c r="T27" s="2" t="s">
        <v>10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3"/>
      <c r="B28" s="10" t="s">
        <v>54</v>
      </c>
      <c r="C28" s="4" t="s">
        <v>43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4"/>
      <c r="T28" s="4" t="s">
        <v>11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3"/>
      <c r="B29" s="5" t="s">
        <v>54</v>
      </c>
      <c r="C29" s="5" t="s">
        <v>44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 t="s">
        <v>12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3"/>
      <c r="B30" s="2" t="s">
        <v>55</v>
      </c>
      <c r="C30" s="2" t="s">
        <v>42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 t="s">
        <v>9</v>
      </c>
      <c r="T30" s="2" t="s">
        <v>10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3"/>
      <c r="B31" s="10" t="s">
        <v>55</v>
      </c>
      <c r="C31" s="4" t="s">
        <v>43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4"/>
      <c r="T31" s="4" t="s">
        <v>11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0"/>
      <c r="B32" s="5" t="s">
        <v>55</v>
      </c>
      <c r="C32" s="5" t="s">
        <v>44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 t="s">
        <v>12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ht="32.450000000000003" customHeight="1" x14ac:dyDescent="0.25">
      <c r="A33" s="22" t="s">
        <v>18</v>
      </c>
      <c r="B33" s="24"/>
      <c r="C33" s="24"/>
      <c r="D33" s="7">
        <f>COUNTIF(V3:V32,1)</f>
        <v>0</v>
      </c>
      <c r="E33" s="7">
        <f t="shared" ref="E33:R33" si="1">COUNTIF(W3:W32,1)</f>
        <v>0</v>
      </c>
      <c r="F33" s="7">
        <f t="shared" si="1"/>
        <v>0</v>
      </c>
      <c r="G33" s="7">
        <f t="shared" si="1"/>
        <v>0</v>
      </c>
      <c r="H33" s="7">
        <f t="shared" si="1"/>
        <v>0</v>
      </c>
      <c r="I33" s="7">
        <f t="shared" si="1"/>
        <v>0</v>
      </c>
      <c r="J33" s="7">
        <f t="shared" si="1"/>
        <v>0</v>
      </c>
      <c r="K33" s="7">
        <f t="shared" si="1"/>
        <v>0</v>
      </c>
      <c r="L33" s="7">
        <f t="shared" si="1"/>
        <v>0</v>
      </c>
      <c r="M33" s="7">
        <f t="shared" si="1"/>
        <v>0</v>
      </c>
      <c r="N33" s="7">
        <f t="shared" si="1"/>
        <v>0</v>
      </c>
      <c r="O33" s="7">
        <f t="shared" si="1"/>
        <v>0</v>
      </c>
      <c r="P33" s="7">
        <f t="shared" si="1"/>
        <v>0</v>
      </c>
      <c r="Q33" s="7">
        <f t="shared" si="1"/>
        <v>0</v>
      </c>
      <c r="R33" s="7">
        <f t="shared" si="1"/>
        <v>0</v>
      </c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ht="32.450000000000003" customHeight="1" x14ac:dyDescent="0.25">
      <c r="A34" s="25" t="s">
        <v>19</v>
      </c>
      <c r="B34" s="26"/>
      <c r="C34" s="26"/>
      <c r="D34" s="7">
        <f>_xlfn.RANK.EQ(D33,$D33:$R33,0)</f>
        <v>1</v>
      </c>
      <c r="E34" s="7">
        <f t="shared" ref="E34:R34" si="2">_xlfn.RANK.EQ(E33,$D33:$R33,0)</f>
        <v>1</v>
      </c>
      <c r="F34" s="7">
        <f t="shared" si="2"/>
        <v>1</v>
      </c>
      <c r="G34" s="7">
        <f t="shared" si="2"/>
        <v>1</v>
      </c>
      <c r="H34" s="7">
        <f t="shared" si="2"/>
        <v>1</v>
      </c>
      <c r="I34" s="7">
        <f t="shared" si="2"/>
        <v>1</v>
      </c>
      <c r="J34" s="7">
        <f t="shared" si="2"/>
        <v>1</v>
      </c>
      <c r="K34" s="7">
        <f t="shared" si="2"/>
        <v>1</v>
      </c>
      <c r="L34" s="7">
        <f t="shared" si="2"/>
        <v>1</v>
      </c>
      <c r="M34" s="7">
        <f t="shared" si="2"/>
        <v>1</v>
      </c>
      <c r="N34" s="7">
        <f t="shared" si="2"/>
        <v>1</v>
      </c>
      <c r="O34" s="7">
        <f t="shared" si="2"/>
        <v>1</v>
      </c>
      <c r="P34" s="7">
        <f t="shared" si="2"/>
        <v>1</v>
      </c>
      <c r="Q34" s="7">
        <f t="shared" si="2"/>
        <v>1</v>
      </c>
      <c r="R34" s="7">
        <f t="shared" si="2"/>
        <v>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32.450000000000003" customHeight="1" x14ac:dyDescent="0.25">
      <c r="A35" s="27" t="s">
        <v>20</v>
      </c>
      <c r="B35" s="26"/>
      <c r="C35" s="26"/>
      <c r="D35" s="8" t="e">
        <f>AVERAGE(V3:V32)</f>
        <v>#NUM!</v>
      </c>
      <c r="E35" s="8" t="e">
        <f t="shared" ref="E35:R35" si="3">AVERAGE(W3:W32)</f>
        <v>#NUM!</v>
      </c>
      <c r="F35" s="8" t="e">
        <f t="shared" si="3"/>
        <v>#NUM!</v>
      </c>
      <c r="G35" s="8" t="e">
        <f t="shared" si="3"/>
        <v>#NUM!</v>
      </c>
      <c r="H35" s="8" t="e">
        <f t="shared" si="3"/>
        <v>#NUM!</v>
      </c>
      <c r="I35" s="8" t="e">
        <f t="shared" si="3"/>
        <v>#NUM!</v>
      </c>
      <c r="J35" s="8" t="e">
        <f t="shared" si="3"/>
        <v>#NUM!</v>
      </c>
      <c r="K35" s="8" t="e">
        <f t="shared" si="3"/>
        <v>#NUM!</v>
      </c>
      <c r="L35" s="8" t="e">
        <f t="shared" si="3"/>
        <v>#NUM!</v>
      </c>
      <c r="M35" s="8" t="e">
        <f t="shared" si="3"/>
        <v>#NUM!</v>
      </c>
      <c r="N35" s="8" t="e">
        <f t="shared" si="3"/>
        <v>#NUM!</v>
      </c>
      <c r="O35" s="8" t="e">
        <f t="shared" si="3"/>
        <v>#NUM!</v>
      </c>
      <c r="P35" s="8" t="e">
        <f t="shared" si="3"/>
        <v>#NUM!</v>
      </c>
      <c r="Q35" s="8" t="e">
        <f t="shared" si="3"/>
        <v>#NUM!</v>
      </c>
      <c r="R35" s="8" t="e">
        <f t="shared" si="3"/>
        <v>#NUM!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ht="32.450000000000003" customHeight="1" x14ac:dyDescent="0.25">
      <c r="A36" s="20" t="s">
        <v>21</v>
      </c>
      <c r="B36" s="21"/>
      <c r="C36" s="21"/>
      <c r="D36" s="5" t="e">
        <f>_xlfn.RANK.EQ(D35,$D35:$R35,1)</f>
        <v>#NUM!</v>
      </c>
      <c r="E36" s="5" t="e">
        <f t="shared" ref="E36:R36" si="4">_xlfn.RANK.EQ(E35,$D35:$R35,1)</f>
        <v>#NUM!</v>
      </c>
      <c r="F36" s="5" t="e">
        <f t="shared" si="4"/>
        <v>#NUM!</v>
      </c>
      <c r="G36" s="5" t="e">
        <f t="shared" si="4"/>
        <v>#NUM!</v>
      </c>
      <c r="H36" s="5" t="e">
        <f t="shared" si="4"/>
        <v>#NUM!</v>
      </c>
      <c r="I36" s="5" t="e">
        <f t="shared" si="4"/>
        <v>#NUM!</v>
      </c>
      <c r="J36" s="5" t="e">
        <f t="shared" si="4"/>
        <v>#NUM!</v>
      </c>
      <c r="K36" s="5" t="e">
        <f t="shared" si="4"/>
        <v>#NUM!</v>
      </c>
      <c r="L36" s="5" t="e">
        <f t="shared" si="4"/>
        <v>#NUM!</v>
      </c>
      <c r="M36" s="5" t="e">
        <f t="shared" si="4"/>
        <v>#NUM!</v>
      </c>
      <c r="N36" s="5" t="e">
        <f t="shared" si="4"/>
        <v>#NUM!</v>
      </c>
      <c r="O36" s="5" t="e">
        <f t="shared" si="4"/>
        <v>#NUM!</v>
      </c>
      <c r="P36" s="5" t="e">
        <f t="shared" si="4"/>
        <v>#NUM!</v>
      </c>
      <c r="Q36" s="5" t="e">
        <f t="shared" si="4"/>
        <v>#NUM!</v>
      </c>
      <c r="R36" s="5" t="e">
        <f t="shared" si="4"/>
        <v>#NUM!</v>
      </c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25"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25"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25"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25"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25"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25"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6">
    <mergeCell ref="A1:R1"/>
    <mergeCell ref="A36:C36"/>
    <mergeCell ref="A3:A32"/>
    <mergeCell ref="A33:C33"/>
    <mergeCell ref="A34:C34"/>
    <mergeCell ref="A35:C35"/>
  </mergeCells>
  <phoneticPr fontId="3" type="noConversion"/>
  <conditionalFormatting sqref="D3:R3">
    <cfRule type="expression" dxfId="9" priority="10">
      <formula>ROUND(D3,2-INT(LOG10(ABS(D3))))= ROUND(MIN($D3:$R3),2-INT(LOG10(ABS(MIN($D3:$R3)))))</formula>
    </cfRule>
  </conditionalFormatting>
  <conditionalFormatting sqref="D6:R6">
    <cfRule type="expression" dxfId="8" priority="9">
      <formula>ROUND(D6,2-INT(LOG10(ABS(D6))))= ROUND(MIN($D6:$R6),2-INT(LOG10(ABS(MIN($D6:$R6)))))</formula>
    </cfRule>
  </conditionalFormatting>
  <conditionalFormatting sqref="D9:R9">
    <cfRule type="expression" dxfId="7" priority="8">
      <formula>ROUND(D9,2-INT(LOG10(ABS(D9))))= ROUND(MIN($D9:$R9),2-INT(LOG10(ABS(MIN($D9:$R9)))))</formula>
    </cfRule>
  </conditionalFormatting>
  <conditionalFormatting sqref="D12:R12">
    <cfRule type="expression" dxfId="6" priority="7">
      <formula>ROUND(D12,2-INT(LOG10(ABS(D12))))= ROUND(MIN($D12:$R12),2-INT(LOG10(ABS(MIN($D12:$R12)))))</formula>
    </cfRule>
  </conditionalFormatting>
  <conditionalFormatting sqref="D15:R15">
    <cfRule type="expression" dxfId="5" priority="6">
      <formula>ROUND(D15,2-INT(LOG10(ABS(D15))))= ROUND(MIN($D15:$R15),2-INT(LOG10(ABS(MIN($D15:$R15)))))</formula>
    </cfRule>
  </conditionalFormatting>
  <conditionalFormatting sqref="D18:R18">
    <cfRule type="expression" dxfId="4" priority="5">
      <formula>ROUND(D18,2-INT(LOG10(ABS(D18))))= ROUND(MIN($D18:$R18),2-INT(LOG10(ABS(MIN($D18:$R18)))))</formula>
    </cfRule>
  </conditionalFormatting>
  <conditionalFormatting sqref="D21:R21">
    <cfRule type="expression" dxfId="3" priority="4">
      <formula>ROUND(D21,2-INT(LOG10(ABS(D21))))= ROUND(MIN($D21:$R21),2-INT(LOG10(ABS(MIN($D21:$R21)))))</formula>
    </cfRule>
  </conditionalFormatting>
  <conditionalFormatting sqref="D24:R24">
    <cfRule type="expression" dxfId="2" priority="3">
      <formula>ROUND(D24,2-INT(LOG10(ABS(D24))))= ROUND(MIN($D24:$R24),2-INT(LOG10(ABS(MIN($D24:$R24)))))</formula>
    </cfRule>
  </conditionalFormatting>
  <conditionalFormatting sqref="D27:R27">
    <cfRule type="expression" dxfId="1" priority="2">
      <formula>ROUND(D27,2-INT(LOG10(ABS(D27))))= ROUND(MIN($D27:$R27),2-INT(LOG10(ABS(MIN($D27:$R27)))))</formula>
    </cfRule>
  </conditionalFormatting>
  <conditionalFormatting sqref="D30:R30">
    <cfRule type="expression" dxfId="0" priority="1">
      <formula>ROUND(D30,2-INT(LOG10(ABS(D30))))= ROUND(MIN($D30:$R30),2-INT(LOG10(ABS(MIN($D30:$R30)))))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>
      <selection activeCell="O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45</v>
      </c>
      <c r="B2" s="18" t="s">
        <v>61</v>
      </c>
      <c r="C2" s="18" t="s">
        <v>62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8" t="s">
        <v>68</v>
      </c>
      <c r="J2" s="18" t="s">
        <v>69</v>
      </c>
      <c r="K2" s="18" t="s">
        <v>70</v>
      </c>
      <c r="L2" s="18" t="s">
        <v>71</v>
      </c>
      <c r="M2" s="18" t="s">
        <v>72</v>
      </c>
      <c r="N2" s="18" t="s">
        <v>73</v>
      </c>
      <c r="O2" s="18" t="s">
        <v>74</v>
      </c>
    </row>
    <row r="3" spans="1:15" x14ac:dyDescent="0.25">
      <c r="A3" s="12" t="s">
        <v>46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48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49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50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51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52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53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54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activeCell="H28" sqref="H28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45</v>
      </c>
      <c r="B2" s="18" t="s">
        <v>61</v>
      </c>
      <c r="C2" s="18" t="s">
        <v>62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8" t="s">
        <v>68</v>
      </c>
      <c r="J2" s="18" t="s">
        <v>69</v>
      </c>
      <c r="K2" s="18" t="s">
        <v>70</v>
      </c>
      <c r="L2" s="18" t="s">
        <v>71</v>
      </c>
      <c r="M2" s="18" t="s">
        <v>72</v>
      </c>
      <c r="N2" s="18" t="s">
        <v>73</v>
      </c>
      <c r="O2" s="18" t="s">
        <v>74</v>
      </c>
    </row>
    <row r="3" spans="1:15" x14ac:dyDescent="0.25">
      <c r="A3" s="2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47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49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50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51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52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53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54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55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activeCell="E23" sqref="E23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22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3" t="s">
        <v>45</v>
      </c>
      <c r="B2" s="18" t="s">
        <v>61</v>
      </c>
      <c r="C2" s="18" t="s">
        <v>62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8" t="s">
        <v>68</v>
      </c>
      <c r="J2" s="18" t="s">
        <v>69</v>
      </c>
      <c r="K2" s="18" t="s">
        <v>70</v>
      </c>
      <c r="L2" s="18" t="s">
        <v>71</v>
      </c>
      <c r="M2" s="18" t="s">
        <v>72</v>
      </c>
      <c r="N2" s="18" t="s">
        <v>73</v>
      </c>
      <c r="O2" s="18" t="s">
        <v>74</v>
      </c>
    </row>
    <row r="3" spans="1:15" x14ac:dyDescent="0.25">
      <c r="A3" s="12" t="s">
        <v>46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48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49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50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51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52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53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54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activeCell="G25" sqref="G25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40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45</v>
      </c>
      <c r="B2" s="18" t="s">
        <v>61</v>
      </c>
      <c r="C2" s="18" t="s">
        <v>62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8" t="s">
        <v>68</v>
      </c>
      <c r="J2" s="18" t="s">
        <v>69</v>
      </c>
      <c r="K2" s="18" t="s">
        <v>70</v>
      </c>
      <c r="L2" s="18" t="s">
        <v>71</v>
      </c>
      <c r="M2" s="18" t="s">
        <v>72</v>
      </c>
      <c r="N2" s="18" t="s">
        <v>73</v>
      </c>
      <c r="O2" s="18" t="s">
        <v>74</v>
      </c>
    </row>
    <row r="3" spans="1:15" x14ac:dyDescent="0.25">
      <c r="A3" s="2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47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48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49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50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51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52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53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54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55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activeCell="G29" sqref="G29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8" t="s">
        <v>41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45</v>
      </c>
      <c r="B2" s="18" t="s">
        <v>61</v>
      </c>
      <c r="C2" s="18" t="s">
        <v>62</v>
      </c>
      <c r="D2" s="18" t="s">
        <v>63</v>
      </c>
      <c r="E2" s="18" t="s">
        <v>64</v>
      </c>
      <c r="F2" s="18" t="s">
        <v>65</v>
      </c>
      <c r="G2" s="18" t="s">
        <v>66</v>
      </c>
      <c r="H2" s="18" t="s">
        <v>67</v>
      </c>
      <c r="I2" s="18" t="s">
        <v>68</v>
      </c>
      <c r="J2" s="18" t="s">
        <v>69</v>
      </c>
      <c r="K2" s="18" t="s">
        <v>70</v>
      </c>
      <c r="L2" s="18" t="s">
        <v>71</v>
      </c>
      <c r="M2" s="18" t="s">
        <v>72</v>
      </c>
      <c r="N2" s="18" t="s">
        <v>73</v>
      </c>
      <c r="O2" s="18" t="s">
        <v>74</v>
      </c>
    </row>
    <row r="3" spans="1:15" x14ac:dyDescent="0.25">
      <c r="A3" s="2" t="s">
        <v>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0" t="s">
        <v>47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x14ac:dyDescent="0.25">
      <c r="A5" s="10" t="s">
        <v>48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1:15" x14ac:dyDescent="0.25">
      <c r="A6" s="10" t="s">
        <v>49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5" x14ac:dyDescent="0.25">
      <c r="A7" s="10" t="s">
        <v>50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5" x14ac:dyDescent="0.25">
      <c r="A8" s="10" t="s">
        <v>51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15" x14ac:dyDescent="0.25">
      <c r="A9" s="10" t="s">
        <v>52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spans="1:15" x14ac:dyDescent="0.25">
      <c r="A10" s="10" t="s">
        <v>53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spans="1:15" x14ac:dyDescent="0.25">
      <c r="A11" s="10" t="s">
        <v>54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</row>
    <row r="12" spans="1:15" x14ac:dyDescent="0.25">
      <c r="A12" s="5" t="s">
        <v>55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B16" sqref="B16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56</v>
      </c>
    </row>
    <row r="2" spans="1:1" x14ac:dyDescent="0.25">
      <c r="A2" t="s">
        <v>57</v>
      </c>
    </row>
    <row r="3" spans="1:1" x14ac:dyDescent="0.25">
      <c r="A3" t="s">
        <v>58</v>
      </c>
    </row>
    <row r="4" spans="1:1" x14ac:dyDescent="0.25">
      <c r="A4" t="s">
        <v>59</v>
      </c>
    </row>
    <row r="5" spans="1:1" x14ac:dyDescent="0.25">
      <c r="A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2026-08-03T06:26:30Z</dcterms:modified>
</cp:coreProperties>
</file>