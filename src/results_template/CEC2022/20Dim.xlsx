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22\"/>
    </mc:Choice>
  </mc:AlternateContent>
  <xr:revisionPtr revIDLastSave="0" documentId="13_ncr:1_{2BAE7461-08D0-4355-9337-2CCBD9895AA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6" i="2" l="1" a="1"/>
  <c r="AJ36" i="2" s="1"/>
  <c r="AI36" i="2" a="1"/>
  <c r="AI36" i="2" s="1"/>
  <c r="AH36" i="2" a="1"/>
  <c r="AH36" i="2" s="1"/>
  <c r="AG36" i="2"/>
  <c r="AG36" i="2" a="1"/>
  <c r="AF36" i="2" a="1"/>
  <c r="AF36" i="2" s="1"/>
  <c r="AE36" i="2" a="1"/>
  <c r="AE36" i="2" s="1"/>
  <c r="AD36" i="2" a="1"/>
  <c r="AD36" i="2" s="1"/>
  <c r="AC36" i="2"/>
  <c r="AC36" i="2" a="1"/>
  <c r="AB36" i="2" a="1"/>
  <c r="AB36" i="2" s="1"/>
  <c r="AA36" i="2" a="1"/>
  <c r="AA36" i="2" s="1"/>
  <c r="Z36" i="2" a="1"/>
  <c r="Z36" i="2" s="1"/>
  <c r="Y36" i="2"/>
  <c r="Y36" i="2" a="1"/>
  <c r="X36" i="2" a="1"/>
  <c r="X36" i="2" s="1"/>
  <c r="W36" i="2" a="1"/>
  <c r="W36" i="2" s="1"/>
  <c r="V36" i="2" a="1"/>
  <c r="V36" i="2" s="1"/>
  <c r="AJ33" i="2"/>
  <c r="AJ33" i="2" a="1"/>
  <c r="AI33" i="2" a="1"/>
  <c r="AI33" i="2" s="1"/>
  <c r="AH33" i="2" a="1"/>
  <c r="AH33" i="2" s="1"/>
  <c r="AG33" i="2" a="1"/>
  <c r="AG33" i="2" s="1"/>
  <c r="AF33" i="2"/>
  <c r="AF33" i="2" a="1"/>
  <c r="AE33" i="2" a="1"/>
  <c r="AE33" i="2" s="1"/>
  <c r="AD33" i="2" a="1"/>
  <c r="AD33" i="2" s="1"/>
  <c r="AC33" i="2" a="1"/>
  <c r="AC33" i="2" s="1"/>
  <c r="AB33" i="2"/>
  <c r="AB33" i="2" a="1"/>
  <c r="AA33" i="2" a="1"/>
  <c r="AA33" i="2" s="1"/>
  <c r="Z33" i="2" a="1"/>
  <c r="Z33" i="2" s="1"/>
  <c r="Y33" i="2" a="1"/>
  <c r="Y33" i="2" s="1"/>
  <c r="X33" i="2"/>
  <c r="X33" i="2" a="1"/>
  <c r="W33" i="2" a="1"/>
  <c r="W33" i="2" s="1"/>
  <c r="V33" i="2" a="1"/>
  <c r="V33" i="2" s="1"/>
  <c r="AJ30" i="2" a="1"/>
  <c r="AJ30" i="2" s="1"/>
  <c r="AI30" i="2"/>
  <c r="AI30" i="2" a="1"/>
  <c r="AH30" i="2" a="1"/>
  <c r="AH30" i="2" s="1"/>
  <c r="AG30" i="2" a="1"/>
  <c r="AG30" i="2" s="1"/>
  <c r="AF30" i="2" a="1"/>
  <c r="AF30" i="2" s="1"/>
  <c r="AE30" i="2"/>
  <c r="AE30" i="2" a="1"/>
  <c r="AD30" i="2" a="1"/>
  <c r="AD30" i="2" s="1"/>
  <c r="AC30" i="2" a="1"/>
  <c r="AC30" i="2" s="1"/>
  <c r="AB30" i="2" a="1"/>
  <c r="AB30" i="2" s="1"/>
  <c r="AA30" i="2"/>
  <c r="AA30" i="2" a="1"/>
  <c r="Z30" i="2" a="1"/>
  <c r="Z30" i="2" s="1"/>
  <c r="Y30" i="2" a="1"/>
  <c r="Y30" i="2" s="1"/>
  <c r="X30" i="2" a="1"/>
  <c r="X30" i="2" s="1"/>
  <c r="W30" i="2"/>
  <c r="W30" i="2" a="1"/>
  <c r="V30" i="2" a="1"/>
  <c r="V30" i="2" s="1"/>
  <c r="AJ27" i="2" a="1"/>
  <c r="AJ27" i="2" s="1"/>
  <c r="AI27" i="2" a="1"/>
  <c r="AI27" i="2" s="1"/>
  <c r="AH27" i="2"/>
  <c r="AH27" i="2" a="1"/>
  <c r="AG27" i="2" a="1"/>
  <c r="AG27" i="2" s="1"/>
  <c r="AF27" i="2" a="1"/>
  <c r="AF27" i="2" s="1"/>
  <c r="AE27" i="2" a="1"/>
  <c r="AE27" i="2" s="1"/>
  <c r="AD27" i="2"/>
  <c r="AD27" i="2" a="1"/>
  <c r="AC27" i="2" a="1"/>
  <c r="AC27" i="2" s="1"/>
  <c r="AB27" i="2" a="1"/>
  <c r="AB27" i="2" s="1"/>
  <c r="AA27" i="2" a="1"/>
  <c r="AA27" i="2" s="1"/>
  <c r="Z27" i="2"/>
  <c r="Z27" i="2" a="1"/>
  <c r="Y27" i="2" a="1"/>
  <c r="Y27" i="2" s="1"/>
  <c r="X27" i="2" a="1"/>
  <c r="X27" i="2" s="1"/>
  <c r="W27" i="2" a="1"/>
  <c r="W27" i="2" s="1"/>
  <c r="V27" i="2"/>
  <c r="V27" i="2" a="1"/>
  <c r="AJ24" i="2" a="1"/>
  <c r="AJ24" i="2" s="1"/>
  <c r="AI24" i="2" a="1"/>
  <c r="AI24" i="2" s="1"/>
  <c r="AH24" i="2" a="1"/>
  <c r="AH24" i="2" s="1"/>
  <c r="AG24" i="2"/>
  <c r="AG24" i="2" a="1"/>
  <c r="AF24" i="2" a="1"/>
  <c r="AF24" i="2" s="1"/>
  <c r="AE24" i="2" a="1"/>
  <c r="AE24" i="2" s="1"/>
  <c r="AD24" i="2" a="1"/>
  <c r="AD24" i="2" s="1"/>
  <c r="AC24" i="2"/>
  <c r="AC24" i="2" a="1"/>
  <c r="AB24" i="2" a="1"/>
  <c r="AB24" i="2" s="1"/>
  <c r="AA24" i="2" a="1"/>
  <c r="AA24" i="2" s="1"/>
  <c r="Z24" i="2" a="1"/>
  <c r="Z24" i="2" s="1"/>
  <c r="Y24" i="2"/>
  <c r="Y24" i="2" a="1"/>
  <c r="X24" i="2" a="1"/>
  <c r="X24" i="2" s="1"/>
  <c r="W24" i="2" a="1"/>
  <c r="W24" i="2" s="1"/>
  <c r="V24" i="2" a="1"/>
  <c r="V24" i="2" s="1"/>
  <c r="AJ21" i="2"/>
  <c r="AJ21" i="2" a="1"/>
  <c r="AI21" i="2" a="1"/>
  <c r="AI21" i="2" s="1"/>
  <c r="AH21" i="2" a="1"/>
  <c r="AH21" i="2" s="1"/>
  <c r="AG21" i="2" a="1"/>
  <c r="AG21" i="2" s="1"/>
  <c r="AF21" i="2"/>
  <c r="AF21" i="2" a="1"/>
  <c r="AE21" i="2" a="1"/>
  <c r="AE21" i="2" s="1"/>
  <c r="AD21" i="2" a="1"/>
  <c r="AD21" i="2" s="1"/>
  <c r="AC21" i="2" a="1"/>
  <c r="AC21" i="2" s="1"/>
  <c r="AB21" i="2"/>
  <c r="AB21" i="2" a="1"/>
  <c r="AA21" i="2" a="1"/>
  <c r="AA21" i="2" s="1"/>
  <c r="Z21" i="2" a="1"/>
  <c r="Z21" i="2" s="1"/>
  <c r="Y21" i="2" a="1"/>
  <c r="Y21" i="2" s="1"/>
  <c r="X21" i="2"/>
  <c r="X21" i="2" a="1"/>
  <c r="W21" i="2" a="1"/>
  <c r="W21" i="2" s="1"/>
  <c r="V21" i="2" a="1"/>
  <c r="V21" i="2" s="1"/>
  <c r="AJ18" i="2" a="1"/>
  <c r="AJ18" i="2" s="1"/>
  <c r="AI18" i="2"/>
  <c r="AI18" i="2" a="1"/>
  <c r="AH18" i="2" a="1"/>
  <c r="AH18" i="2" s="1"/>
  <c r="AG18" i="2" a="1"/>
  <c r="AG18" i="2" s="1"/>
  <c r="AF18" i="2" a="1"/>
  <c r="AF18" i="2" s="1"/>
  <c r="AE18" i="2"/>
  <c r="AE18" i="2" a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R41" i="2" s="1"/>
  <c r="R42" i="2" s="1"/>
  <c r="AI3" i="2" a="1"/>
  <c r="AI3" i="2" s="1"/>
  <c r="Q41" i="2" s="1"/>
  <c r="Q42" i="2" s="1"/>
  <c r="AH3" i="2" a="1"/>
  <c r="AH3" i="2" s="1"/>
  <c r="P41" i="2" s="1"/>
  <c r="P42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K39" i="2" l="1"/>
  <c r="D41" i="2"/>
  <c r="I39" i="2"/>
  <c r="J41" i="2"/>
  <c r="E39" i="2"/>
  <c r="M39" i="2"/>
  <c r="J39" i="2"/>
  <c r="F39" i="2"/>
  <c r="G39" i="2"/>
  <c r="H39" i="2"/>
  <c r="N39" i="2"/>
  <c r="O39" i="2"/>
  <c r="H41" i="2"/>
  <c r="Q39" i="2"/>
  <c r="L41" i="2"/>
  <c r="P39" i="2"/>
  <c r="R39" i="2"/>
  <c r="I41" i="2"/>
  <c r="K41" i="2"/>
  <c r="M41" i="2"/>
  <c r="D39" i="2"/>
  <c r="L39" i="2"/>
  <c r="F41" i="2"/>
  <c r="F42" i="2" s="1"/>
  <c r="N41" i="2"/>
  <c r="N42" i="2" s="1"/>
  <c r="E41" i="2"/>
  <c r="G41" i="2"/>
  <c r="O41" i="2"/>
  <c r="O42" i="2" s="1"/>
  <c r="D40" i="2" l="1"/>
  <c r="L40" i="2"/>
  <c r="I40" i="2"/>
  <c r="R40" i="2"/>
  <c r="F40" i="2"/>
  <c r="J40" i="2"/>
  <c r="Q40" i="2"/>
  <c r="M40" i="2"/>
  <c r="L42" i="2"/>
  <c r="K42" i="2"/>
  <c r="D42" i="2"/>
  <c r="K40" i="2"/>
  <c r="N40" i="2"/>
  <c r="E40" i="2"/>
  <c r="G42" i="2"/>
  <c r="J42" i="2"/>
  <c r="M42" i="2"/>
  <c r="P40" i="2"/>
  <c r="I42" i="2"/>
  <c r="O40" i="2"/>
  <c r="E42" i="2"/>
  <c r="H42" i="2"/>
  <c r="G40" i="2"/>
  <c r="H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<sst xmlns="http://schemas.openxmlformats.org/spreadsheetml/2006/main" count="292" uniqueCount="82">
  <si>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</si>
  <si>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</si>
  <si>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</si>
  <si>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</si>
  <si>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</si>
  <si>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</si>
  <si>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</si>
  <si>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</si>
  <si>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</si>
  <si>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</si>
  <si>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</si>
  <si>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</si>
  <si>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Mean</t>
  </si>
  <si>
    <t>Std</t>
  </si>
  <si>
    <t>CPU</t>
  </si>
  <si>
    <t>Unimodal
Functions</t>
  </si>
  <si>
    <t>Composition
Functions</t>
  </si>
  <si>
    <t>Functions</t>
  </si>
  <si>
    <t>Column1</t>
  </si>
  <si>
    <t>Column2</t>
  </si>
  <si>
    <t>Basic
Functions</t>
  </si>
  <si>
    <t>Hybrid
Functions</t>
  </si>
  <si>
    <t>Total number of 
best answers</t>
  </si>
  <si>
    <t>Rank by total number of 
best answers</t>
  </si>
  <si>
    <t>Average rating in the set</t>
  </si>
  <si>
    <t>Rank based on 
the average in the set</t>
  </si>
  <si>
    <t>Algoritm 1</t>
  </si>
  <si>
    <t>Algoritm 2</t>
  </si>
  <si>
    <t>Algoritm 3</t>
  </si>
  <si>
    <t>Algoritm 4</t>
  </si>
  <si>
    <t>Algoritm 5</t>
  </si>
  <si>
    <t>Algoritm 6</t>
  </si>
  <si>
    <t>Algoritm 7</t>
  </si>
  <si>
    <t>Algoritm 8</t>
  </si>
  <si>
    <t>Algoritm 9</t>
  </si>
  <si>
    <t>Algoritm 10</t>
  </si>
  <si>
    <t>Algoritm 11</t>
  </si>
  <si>
    <t>Algoritm 12</t>
  </si>
  <si>
    <t>Algoritm 13</t>
  </si>
  <si>
    <t>Algoritm 14</t>
  </si>
  <si>
    <t>Algoritm 15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</si>
  <si>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</si>
  <si>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</si>
  <si>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</si>
  <si>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</si>
  <si>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</si>
  <si>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</si>
  <si>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</si>
  <si>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</si>
  <si>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</si>
  <si>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</si>
  <si>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</si>
  <si>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</si>
  <si>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</si>
  <si>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</si>
  <si>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</si>
  <si>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</si>
  <si>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</si>
  <si>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</si>
  <si>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</si>
  <si>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</si>
  <si>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</si>
  <si>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</si>
  <si>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</si>
  <si>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</si>
  <si>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</si>
  <si>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</si>
  <si>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</si>
  <si>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</si>
  <si>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</si>
  <si>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</si>
  <si>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</si>
  <si>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</si>
  <si>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</si>
  <si>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</si>
  <si>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</si>
  <si>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2022 (20 Dim)</t>
  </si>
  <si>
    <t>P-value of the T-test analysis for the CEC benchmark functions 2022 (20 Dim)</t>
  </si>
  <si>
    <t>H-value of the T-test analysis for the CEC benchmark functions 2022 (20 Dim)</t>
  </si>
  <si>
    <t>P-value of the Wilcoxon analysis for the CEC benchmark functions 2022 (20 Dim)</t>
  </si>
  <si>
    <t>H-value of the Wilcoxon analysis for the CEC benchmark functions 2022 (20 Dim)</t>
  </si>
  <si>
    <t>State of the Wilcoxon analysis for the CEC benchmark functions 2022 (20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</si>
</sst>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2" fontId="0" fillId="0" borderId="4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5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11" fontId="0" fillId="0" borderId="0" xfId="0" applyNumberFormat="1" applyAlignment="1">
      <alignment horizontal="left" vertical="top"/>
    </xf>
  </cellXfs>
  <cellStyles count="1">
    <cellStyle name="Normal" xfId="0" builtinId="0"/>
  </cellStyles>
  <dxfs count="33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8" totalsRowShown="0" headerRowDxfId="0" dataDxfId="1" tableBorderDxfId="32">
  <autoFilter ref="S2:T38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U39" sqref="U39"/>
    </sheetView>
  </sheetViews>
  <sheetFormatPr defaultColWidth="8.85546875" defaultRowHeight="15" x14ac:dyDescent="0.25"/>
  <cols>
    <col min="1" max="1" width="11.140625" style="7" bestFit="1" customWidth="1"/>
    <col min="2" max="2" width="4.140625" style="7" bestFit="1" customWidth="1"/>
    <col min="3" max="3" width="6.140625" style="7" bestFit="1" customWidth="1"/>
    <col min="4" max="4" width="12.85546875" style="7" bestFit="1" customWidth="1"/>
    <col min="5" max="11" width="8.7109375" style="7" bestFit="1" customWidth="1"/>
    <col min="12" max="12" width="10.140625" style="7" bestFit="1" customWidth="1"/>
    <col min="13" max="20" width="11.140625" style="7" bestFit="1" customWidth="1"/>
    <col min="21" max="21" width="8.85546875" style="7"/>
    <col min="22" max="30" width="10.140625" bestFit="1" customWidth="1"/>
    <col min="31" max="32" width="11.140625" bestFit="1" customWidth="1"/>
    <col min="33" max="36" width="11.140625" style="7" bestFit="1" customWidth="1"/>
    <col min="37" max="16384" width="8.85546875" style="7"/>
  </cols>
  <sheetData>
    <row r="1" spans="1:36" ht="15.75" thickBot="1" x14ac:dyDescent="0.3">
      <c r="A1" s="24" t="s">
        <v>76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pans="1:36" x14ac:dyDescent="0.25">
      <c r="A2" s="12" t="s">
        <v>17</v>
      </c>
      <c r="B2" s="12"/>
      <c r="C2" s="12"/>
      <c r="D2" s="12" t="s">
        <v>26</v>
      </c>
      <c r="E2" s="12" t="s">
        <v>27</v>
      </c>
      <c r="F2" s="12" t="s">
        <v>28</v>
      </c>
      <c r="G2" s="12" t="s">
        <v>29</v>
      </c>
      <c r="H2" s="12" t="s">
        <v>30</v>
      </c>
      <c r="I2" s="12" t="s">
        <v>31</v>
      </c>
      <c r="J2" s="12" t="s">
        <v>32</v>
      </c>
      <c r="K2" s="12" t="s">
        <v>33</v>
      </c>
      <c r="L2" s="12" t="s">
        <v>34</v>
      </c>
      <c r="M2" s="12" t="s">
        <v>35</v>
      </c>
      <c r="N2" s="12" t="s">
        <v>36</v>
      </c>
      <c r="O2" s="12" t="s">
        <v>37</v>
      </c>
      <c r="P2" s="12" t="s">
        <v>38</v>
      </c>
      <c r="Q2" s="12" t="s">
        <v>39</v>
      </c>
      <c r="R2" s="12" t="s">
        <v>40</v>
      </c>
      <c r="S2" s="21" t="s">
        <v>18</v>
      </c>
      <c r="T2" s="21" t="s">
        <v>19</v>
      </c>
      <c r="V2" s="1" t="str">
        <f>D2</f>
        <v>Algoritm 1</v>
      </c>
      <c r="W2" s="1" t="str">
        <f t="shared" ref="W2:AJ2" si="0">E2</f>
        <v>Algoritm 2</v>
      </c>
      <c r="X2" s="1" t="str">
        <f t="shared" si="0"/>
        <v>Algoritm 3</v>
      </c>
      <c r="Y2" s="1" t="str">
        <f t="shared" si="0"/>
        <v>Algoritm 4</v>
      </c>
      <c r="Z2" s="1" t="str">
        <f t="shared" si="0"/>
        <v>Algoritm 5</v>
      </c>
      <c r="AA2" s="1" t="str">
        <f t="shared" si="0"/>
        <v>Algoritm 6</v>
      </c>
      <c r="AB2" s="1" t="str">
        <f t="shared" si="0"/>
        <v>Algoritm 7</v>
      </c>
      <c r="AC2" s="1" t="str">
        <f t="shared" si="0"/>
        <v>Algoritm 8</v>
      </c>
      <c r="AD2" s="1" t="str">
        <f t="shared" si="0"/>
        <v>Algoritm 9</v>
      </c>
      <c r="AE2" s="1" t="str">
        <f t="shared" si="0"/>
        <v>Algoritm 10</v>
      </c>
      <c r="AF2" s="1" t="str">
        <f t="shared" si="0"/>
        <v>Algoritm 11</v>
      </c>
      <c r="AG2" s="1" t="str">
        <f t="shared" si="0"/>
        <v>Algoritm 12</v>
      </c>
      <c r="AH2" s="1" t="str">
        <f t="shared" si="0"/>
        <v>Algoritm 13</v>
      </c>
      <c r="AI2" s="1" t="str">
        <f t="shared" si="0"/>
        <v>Algoritm 14</v>
      </c>
      <c r="AJ2" s="1" t="str">
        <f t="shared" si="0"/>
        <v>Algoritm 15</v>
      </c>
    </row>
    <row r="3" spans="1:36" ht="14.45" customHeight="1" x14ac:dyDescent="0.25">
      <c r="A3" s="30" t="s">
        <v>15</v>
      </c>
      <c r="B3" s="23" t="s">
        <v>45</v>
      </c>
      <c r="C3" s="23" t="s">
        <v>41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3" t="s">
        <v>0</v>
      </c>
      <c r="T3" s="23" t="s">
        <v>12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5"/>
      <c r="B4" s="21" t="s">
        <v>45</v>
      </c>
      <c r="C4" s="21" t="s">
        <v>42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21"/>
      <c r="T4" s="21" t="s">
        <v>13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8"/>
      <c r="B5" s="22" t="s">
        <v>45</v>
      </c>
      <c r="C5" s="22" t="s">
        <v>43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22"/>
      <c r="T5" s="22" t="s">
        <v>14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30" t="s">
        <v>20</v>
      </c>
      <c r="B6" s="23" t="s">
        <v>46</v>
      </c>
      <c r="C6" s="23" t="s">
        <v>41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3" t="s">
        <v>1</v>
      </c>
      <c r="T6" s="23" t="s">
        <v>12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5"/>
      <c r="B7" s="21" t="s">
        <v>46</v>
      </c>
      <c r="C7" s="21" t="s">
        <v>42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21"/>
      <c r="T7" s="21" t="s">
        <v>13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5"/>
      <c r="B8" s="22" t="s">
        <v>46</v>
      </c>
      <c r="C8" s="22" t="s">
        <v>43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22"/>
      <c r="T8" s="22" t="s">
        <v>14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5"/>
      <c r="B9" s="23" t="s">
        <v>47</v>
      </c>
      <c r="C9" s="23" t="s">
        <v>41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3" t="s">
        <v>2</v>
      </c>
      <c r="T9" s="23" t="s">
        <v>12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5"/>
      <c r="B10" s="21" t="s">
        <v>47</v>
      </c>
      <c r="C10" s="21" t="s">
        <v>42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21"/>
      <c r="T10" s="21" t="s">
        <v>13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5"/>
      <c r="B11" s="22" t="s">
        <v>47</v>
      </c>
      <c r="C11" s="22" t="s">
        <v>43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22"/>
      <c r="T11" s="22" t="s">
        <v>14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5"/>
      <c r="B12" s="23" t="s">
        <v>48</v>
      </c>
      <c r="C12" s="23" t="s">
        <v>41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3" t="s">
        <v>3</v>
      </c>
      <c r="T12" s="23" t="s">
        <v>12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5"/>
      <c r="B13" s="21" t="s">
        <v>48</v>
      </c>
      <c r="C13" s="21" t="s">
        <v>42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21"/>
      <c r="T13" s="21" t="s">
        <v>13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5"/>
      <c r="B14" s="22" t="s">
        <v>48</v>
      </c>
      <c r="C14" s="22" t="s">
        <v>43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22"/>
      <c r="T14" s="22" t="s">
        <v>14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5"/>
      <c r="B15" s="23" t="s">
        <v>49</v>
      </c>
      <c r="C15" s="23" t="s">
        <v>41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3" t="s">
        <v>4</v>
      </c>
      <c r="T15" s="23" t="s">
        <v>12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5"/>
      <c r="B16" s="21" t="s">
        <v>49</v>
      </c>
      <c r="C16" s="21" t="s">
        <v>42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21"/>
      <c r="T16" s="21" t="s">
        <v>13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8"/>
      <c r="B17" s="22" t="s">
        <v>49</v>
      </c>
      <c r="C17" s="22" t="s">
        <v>43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22"/>
      <c r="T17" s="22" t="s">
        <v>14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30" t="s">
        <v>21</v>
      </c>
      <c r="B18" s="23" t="s">
        <v>50</v>
      </c>
      <c r="C18" s="23" t="s">
        <v>41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3" t="s">
        <v>5</v>
      </c>
      <c r="T18" s="23" t="s">
        <v>12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5"/>
      <c r="B19" s="21" t="s">
        <v>50</v>
      </c>
      <c r="C19" s="21" t="s">
        <v>42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21"/>
      <c r="T19" s="21" t="s">
        <v>13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5"/>
      <c r="B20" s="22" t="s">
        <v>50</v>
      </c>
      <c r="C20" s="22" t="s">
        <v>43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22"/>
      <c r="T20" s="22" t="s">
        <v>14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5"/>
      <c r="B21" s="23" t="s">
        <v>51</v>
      </c>
      <c r="C21" s="23" t="s">
        <v>41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3" t="s">
        <v>6</v>
      </c>
      <c r="T21" s="23" t="s">
        <v>12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5"/>
      <c r="B22" s="21" t="s">
        <v>51</v>
      </c>
      <c r="C22" s="21" t="s">
        <v>42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21"/>
      <c r="T22" s="21" t="s">
        <v>13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5"/>
      <c r="B23" s="22" t="s">
        <v>51</v>
      </c>
      <c r="C23" s="22" t="s">
        <v>43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22"/>
      <c r="T23" s="22" t="s">
        <v>14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5"/>
      <c r="B24" s="23" t="s">
        <v>52</v>
      </c>
      <c r="C24" s="23" t="s">
        <v>41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3" t="s">
        <v>7</v>
      </c>
      <c r="T24" s="23" t="s">
        <v>12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5"/>
      <c r="B25" s="21" t="s">
        <v>52</v>
      </c>
      <c r="C25" s="21" t="s">
        <v>42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21"/>
      <c r="T25" s="21" t="s">
        <v>13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8"/>
      <c r="B26" s="22" t="s">
        <v>52</v>
      </c>
      <c r="C26" s="22" t="s">
        <v>43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22"/>
      <c r="T26" s="22" t="s">
        <v>14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30" t="s">
        <v>16</v>
      </c>
      <c r="B27" s="23" t="s">
        <v>53</v>
      </c>
      <c r="C27" s="23" t="s">
        <v>41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3" t="s">
        <v>8</v>
      </c>
      <c r="T27" s="23" t="s">
        <v>12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5"/>
      <c r="B28" s="21" t="s">
        <v>53</v>
      </c>
      <c r="C28" s="21" t="s">
        <v>42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21"/>
      <c r="T28" s="21" t="s">
        <v>13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5"/>
      <c r="B29" s="22" t="s">
        <v>53</v>
      </c>
      <c r="C29" s="22" t="s">
        <v>43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22"/>
      <c r="T29" s="22" t="s">
        <v>14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5"/>
      <c r="B30" s="23" t="s">
        <v>54</v>
      </c>
      <c r="C30" s="23" t="s">
        <v>41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3" t="s">
        <v>9</v>
      </c>
      <c r="T30" s="23" t="s">
        <v>12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5"/>
      <c r="B31" s="21" t="s">
        <v>54</v>
      </c>
      <c r="C31" s="21" t="s">
        <v>42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21"/>
      <c r="T31" s="21" t="s">
        <v>13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5"/>
      <c r="B32" s="22" t="s">
        <v>54</v>
      </c>
      <c r="C32" s="22" t="s">
        <v>43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22"/>
      <c r="T32" s="22" t="s">
        <v>14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5"/>
      <c r="B33" s="23" t="s">
        <v>55</v>
      </c>
      <c r="C33" s="23" t="s">
        <v>41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3" t="s">
        <v>10</v>
      </c>
      <c r="T33" s="23" t="s">
        <v>12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5"/>
      <c r="B34" s="21" t="s">
        <v>55</v>
      </c>
      <c r="C34" s="21" t="s">
        <v>42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21"/>
      <c r="T34" s="21" t="s">
        <v>13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5"/>
      <c r="B35" s="22" t="s">
        <v>55</v>
      </c>
      <c r="C35" s="22" t="s">
        <v>43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22"/>
      <c r="T35" s="22" t="s">
        <v>14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5"/>
      <c r="B36" s="23" t="s">
        <v>56</v>
      </c>
      <c r="C36" s="23" t="s">
        <v>41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3" t="s">
        <v>11</v>
      </c>
      <c r="T36" s="23" t="s">
        <v>12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5"/>
      <c r="B37" s="21" t="s">
        <v>56</v>
      </c>
      <c r="C37" s="21" t="s">
        <v>42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21"/>
      <c r="T37" s="21" t="s">
        <v>13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8"/>
      <c r="B38" s="22" t="s">
        <v>56</v>
      </c>
      <c r="C38" s="22" t="s">
        <v>43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21"/>
      <c r="T38" s="21" t="s">
        <v>14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ht="32.450000000000003" customHeight="1" x14ac:dyDescent="0.25">
      <c r="A39" s="30" t="s">
        <v>22</v>
      </c>
      <c r="B39" s="31"/>
      <c r="C39" s="31"/>
      <c r="D39" s="23">
        <f>COUNTIF(V3:V38,1)</f>
        <v>0</v>
      </c>
      <c r="E39" s="23">
        <f t="shared" ref="E39:R39" si="1">COUNTIF(W3:W38,1)</f>
        <v>0</v>
      </c>
      <c r="F39" s="23">
        <f t="shared" si="1"/>
        <v>0</v>
      </c>
      <c r="G39" s="23">
        <f t="shared" si="1"/>
        <v>0</v>
      </c>
      <c r="H39" s="23">
        <f t="shared" si="1"/>
        <v>0</v>
      </c>
      <c r="I39" s="23">
        <f t="shared" si="1"/>
        <v>0</v>
      </c>
      <c r="J39" s="23">
        <f t="shared" si="1"/>
        <v>0</v>
      </c>
      <c r="K39" s="23">
        <f t="shared" si="1"/>
        <v>0</v>
      </c>
      <c r="L39" s="23">
        <f t="shared" si="1"/>
        <v>0</v>
      </c>
      <c r="M39" s="23">
        <f t="shared" si="1"/>
        <v>0</v>
      </c>
      <c r="N39" s="23">
        <f t="shared" si="1"/>
        <v>0</v>
      </c>
      <c r="O39" s="23">
        <f t="shared" si="1"/>
        <v>0</v>
      </c>
      <c r="P39" s="23">
        <f t="shared" si="1"/>
        <v>0</v>
      </c>
      <c r="Q39" s="23">
        <f t="shared" si="1"/>
        <v>0</v>
      </c>
      <c r="R39" s="23">
        <f t="shared" si="1"/>
        <v>0</v>
      </c>
      <c r="V39" s="33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6" ht="32.450000000000003" customHeight="1" x14ac:dyDescent="0.25">
      <c r="A40" s="25" t="s">
        <v>23</v>
      </c>
      <c r="B40" s="26"/>
      <c r="C40" s="26"/>
      <c r="D40" s="21">
        <f>_xlfn.RANK.EQ(D39,$D39:$R39,0)</f>
        <v>1</v>
      </c>
      <c r="E40" s="21">
        <f t="shared" ref="E40:R40" si="2">_xlfn.RANK.EQ(E39,$D39:$R39,0)</f>
        <v>1</v>
      </c>
      <c r="F40" s="21">
        <f t="shared" si="2"/>
        <v>1</v>
      </c>
      <c r="G40" s="21">
        <f t="shared" si="2"/>
        <v>1</v>
      </c>
      <c r="H40" s="21">
        <f t="shared" si="2"/>
        <v>1</v>
      </c>
      <c r="I40" s="21">
        <f t="shared" si="2"/>
        <v>1</v>
      </c>
      <c r="J40" s="21">
        <f t="shared" si="2"/>
        <v>1</v>
      </c>
      <c r="K40" s="21">
        <f t="shared" si="2"/>
        <v>1</v>
      </c>
      <c r="L40" s="21">
        <f t="shared" si="2"/>
        <v>1</v>
      </c>
      <c r="M40" s="21">
        <f t="shared" si="2"/>
        <v>1</v>
      </c>
      <c r="N40" s="21">
        <f t="shared" si="2"/>
        <v>1</v>
      </c>
      <c r="O40" s="21">
        <f t="shared" si="2"/>
        <v>1</v>
      </c>
      <c r="P40" s="21">
        <f t="shared" si="2"/>
        <v>1</v>
      </c>
      <c r="Q40" s="21">
        <f t="shared" si="2"/>
        <v>1</v>
      </c>
      <c r="R40" s="21">
        <f t="shared" si="2"/>
        <v>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ht="32.450000000000003" customHeight="1" x14ac:dyDescent="0.25">
      <c r="A41" s="27" t="s">
        <v>24</v>
      </c>
      <c r="B41" s="26"/>
      <c r="C41" s="26"/>
      <c r="D41" s="11" t="e">
        <f>AVERAGE(V3:V38)</f>
        <v>#NUM!</v>
      </c>
      <c r="E41" s="11" t="e">
        <f t="shared" ref="E41:R41" si="3">AVERAGE(W3:W38)</f>
        <v>#NUM!</v>
      </c>
      <c r="F41" s="11" t="e">
        <f t="shared" si="3"/>
        <v>#NUM!</v>
      </c>
      <c r="G41" s="11" t="e">
        <f t="shared" si="3"/>
        <v>#NUM!</v>
      </c>
      <c r="H41" s="11" t="e">
        <f t="shared" si="3"/>
        <v>#NUM!</v>
      </c>
      <c r="I41" s="11" t="e">
        <f t="shared" si="3"/>
        <v>#NUM!</v>
      </c>
      <c r="J41" s="11" t="e">
        <f t="shared" si="3"/>
        <v>#NUM!</v>
      </c>
      <c r="K41" s="11" t="e">
        <f t="shared" si="3"/>
        <v>#NUM!</v>
      </c>
      <c r="L41" s="11" t="e">
        <f t="shared" si="3"/>
        <v>#NUM!</v>
      </c>
      <c r="M41" s="11" t="e">
        <f t="shared" si="3"/>
        <v>#NUM!</v>
      </c>
      <c r="N41" s="11" t="e">
        <f t="shared" si="3"/>
        <v>#NUM!</v>
      </c>
      <c r="O41" s="11" t="e">
        <f t="shared" si="3"/>
        <v>#NUM!</v>
      </c>
      <c r="P41" s="11" t="e">
        <f t="shared" si="3"/>
        <v>#NUM!</v>
      </c>
      <c r="Q41" s="11" t="e">
        <f t="shared" si="3"/>
        <v>#NUM!</v>
      </c>
      <c r="R41" s="11" t="e">
        <f t="shared" si="3"/>
        <v>#NUM!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ht="32.450000000000003" customHeight="1" x14ac:dyDescent="0.25">
      <c r="A42" s="28" t="s">
        <v>25</v>
      </c>
      <c r="B42" s="29"/>
      <c r="C42" s="29"/>
      <c r="D42" s="22" t="e">
        <f>_xlfn.RANK.EQ(D41,$D41:$R41,1)</f>
        <v>#NUM!</v>
      </c>
      <c r="E42" s="22" t="e">
        <f t="shared" ref="E42:R42" si="4">_xlfn.RANK.EQ(E41,$D41:$R41,1)</f>
        <v>#NUM!</v>
      </c>
      <c r="F42" s="22" t="e">
        <f t="shared" si="4"/>
        <v>#NUM!</v>
      </c>
      <c r="G42" s="22" t="e">
        <f t="shared" si="4"/>
        <v>#NUM!</v>
      </c>
      <c r="H42" s="22" t="e">
        <f t="shared" si="4"/>
        <v>#NUM!</v>
      </c>
      <c r="I42" s="22" t="e">
        <f t="shared" si="4"/>
        <v>#NUM!</v>
      </c>
      <c r="J42" s="22" t="e">
        <f t="shared" si="4"/>
        <v>#NUM!</v>
      </c>
      <c r="K42" s="22" t="e">
        <f t="shared" si="4"/>
        <v>#NUM!</v>
      </c>
      <c r="L42" s="22" t="e">
        <f t="shared" si="4"/>
        <v>#NUM!</v>
      </c>
      <c r="M42" s="22" t="e">
        <f t="shared" si="4"/>
        <v>#NUM!</v>
      </c>
      <c r="N42" s="22" t="e">
        <f t="shared" si="4"/>
        <v>#NUM!</v>
      </c>
      <c r="O42" s="22" t="e">
        <f t="shared" si="4"/>
        <v>#NUM!</v>
      </c>
      <c r="P42" s="22" t="e">
        <f t="shared" si="4"/>
        <v>#NUM!</v>
      </c>
      <c r="Q42" s="22" t="e">
        <f t="shared" si="4"/>
        <v>#NUM!</v>
      </c>
      <c r="R42" s="22" t="e">
        <f t="shared" si="4"/>
        <v>#NUM!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9">
    <mergeCell ref="A1:R1"/>
    <mergeCell ref="A40:C40"/>
    <mergeCell ref="A41:C41"/>
    <mergeCell ref="A42:C42"/>
    <mergeCell ref="A39:C39"/>
    <mergeCell ref="A3:A5"/>
    <mergeCell ref="A6:A17"/>
    <mergeCell ref="A18:A26"/>
    <mergeCell ref="A27:A38"/>
  </mergeCells>
  <phoneticPr fontId="3" type="noConversion"/>
  <conditionalFormatting sqref="D3:R3">
    <cfRule type="expression" dxfId="15" priority="12">
      <formula>ROUND(D3,2-INT(LOG10(ABS(D3))))= ROUND(MIN($D3:$R3),2-INT(LOG10(ABS(MIN($D3:$R3)))))</formula>
    </cfRule>
  </conditionalFormatting>
  <conditionalFormatting sqref="D6:R6">
    <cfRule type="expression" dxfId="14" priority="11">
      <formula>ROUND(D6,2-INT(LOG10(ABS(D6))))= ROUND(MIN($D6:$R6),2-INT(LOG10(ABS(MIN($D6:$R6)))))</formula>
    </cfRule>
  </conditionalFormatting>
  <conditionalFormatting sqref="D9:R9">
    <cfRule type="expression" dxfId="13" priority="10">
      <formula>ROUND(D9,2-INT(LOG10(ABS(D9))))= ROUND(MIN($D9:$R9),2-INT(LOG10(ABS(MIN($D9:$R9)))))</formula>
    </cfRule>
  </conditionalFormatting>
  <conditionalFormatting sqref="D12:R12">
    <cfRule type="expression" dxfId="12" priority="9">
      <formula>ROUND(D12,2-INT(LOG10(ABS(D12))))= ROUND(MIN($D12:$R12),2-INT(LOG10(ABS(MIN($D12:$R12)))))</formula>
    </cfRule>
  </conditionalFormatting>
  <conditionalFormatting sqref="D15:R15">
    <cfRule type="expression" dxfId="11" priority="8">
      <formula>ROUND(D15,2-INT(LOG10(ABS(D15))))= ROUND(MIN($D15:$R15),2-INT(LOG10(ABS(MIN($D15:$R15)))))</formula>
    </cfRule>
  </conditionalFormatting>
  <conditionalFormatting sqref="D18:R18">
    <cfRule type="expression" dxfId="10" priority="7">
      <formula>ROUND(D18,2-INT(LOG10(ABS(D18))))= ROUND(MIN($D18:$R18),2-INT(LOG10(ABS(MIN($D18:$R18)))))</formula>
    </cfRule>
  </conditionalFormatting>
  <conditionalFormatting sqref="D21:R21">
    <cfRule type="expression" dxfId="9" priority="6">
      <formula>ROUND(D21,2-INT(LOG10(ABS(D21))))= ROUND(MIN($D21:$R21),2-INT(LOG10(ABS(MIN($D21:$R21)))))</formula>
    </cfRule>
  </conditionalFormatting>
  <conditionalFormatting sqref="D24:R24">
    <cfRule type="expression" dxfId="8" priority="5">
      <formula>ROUND(D24,2-INT(LOG10(ABS(D24))))= ROUND(MIN($D24:$R24),2-INT(LOG10(ABS(MIN($D24:$R24)))))</formula>
    </cfRule>
  </conditionalFormatting>
  <conditionalFormatting sqref="D27:R27">
    <cfRule type="expression" dxfId="7" priority="4">
      <formula>ROUND(D27,2-INT(LOG10(ABS(D27))))= ROUND(MIN($D27:$R27),2-INT(LOG10(ABS(MIN($D27:$R27)))))</formula>
    </cfRule>
  </conditionalFormatting>
  <conditionalFormatting sqref="D30:R30">
    <cfRule type="expression" dxfId="6" priority="3">
      <formula>ROUND(D30,2-INT(LOG10(ABS(D30))))= ROUND(MIN($D30:$R30),2-INT(LOG10(ABS(MIN($D30:$R30)))))</formula>
    </cfRule>
  </conditionalFormatting>
  <conditionalFormatting sqref="D33:R33">
    <cfRule type="expression" dxfId="5" priority="2">
      <formula>ROUND(D33,2-INT(LOG10(ABS(D33))))= ROUND(MIN($D33:$R33),2-INT(LOG10(ABS(MIN($D33:$R33)))))</formula>
    </cfRule>
  </conditionalFormatting>
  <conditionalFormatting sqref="D36:R36">
    <cfRule type="expression" dxfId="4" priority="1">
      <formula>ROUND(D36,2-INT(LOG10(ABS(D36))))= ROUND(MIN($D36:$R36),2-INT(LOG10(ABS(MIN($D36:$R36)))))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Normal="100"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  <col min="16" max="16" width="8.140625" customWidth="1"/>
  </cols>
  <sheetData>
    <row r="1" spans="1:16" ht="15.75" thickBot="1" x14ac:dyDescent="0.3">
      <c r="A1" s="32" t="s">
        <v>77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46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47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48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49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50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51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52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53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54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55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56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9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78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x14ac:dyDescent="0.25">
      <c r="A4" s="9" t="s">
        <v>46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1:16" x14ac:dyDescent="0.25">
      <c r="A5" s="9" t="s">
        <v>47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9" t="s">
        <v>48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9" t="s">
        <v>49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</row>
    <row r="8" spans="1:16" x14ac:dyDescent="0.25">
      <c r="A8" s="9" t="s">
        <v>50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</row>
    <row r="9" spans="1:16" x14ac:dyDescent="0.25">
      <c r="A9" s="9" t="s">
        <v>51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x14ac:dyDescent="0.25">
      <c r="A10" s="9" t="s">
        <v>52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spans="1:16" x14ac:dyDescent="0.25">
      <c r="A11" s="9" t="s">
        <v>53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spans="1:16" x14ac:dyDescent="0.25">
      <c r="A12" s="9" t="s">
        <v>54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9" t="s">
        <v>55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5" t="s">
        <v>56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</sheetData>
  <mergeCells count="1">
    <mergeCell ref="A1:P1"/>
  </mergeCells>
  <conditionalFormatting sqref="B3:P14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79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46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47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48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49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50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51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52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53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54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55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56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7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80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x14ac:dyDescent="0.25">
      <c r="A4" s="9" t="s">
        <v>46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1:16" x14ac:dyDescent="0.25">
      <c r="A5" s="9" t="s">
        <v>47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9" t="s">
        <v>48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9" t="s">
        <v>49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</row>
    <row r="8" spans="1:16" x14ac:dyDescent="0.25">
      <c r="A8" s="9" t="s">
        <v>50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</row>
    <row r="9" spans="1:16" x14ac:dyDescent="0.25">
      <c r="A9" s="9" t="s">
        <v>51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x14ac:dyDescent="0.25">
      <c r="A10" s="9" t="s">
        <v>52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spans="1:16" x14ac:dyDescent="0.25">
      <c r="A11" s="9" t="s">
        <v>53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spans="1:16" x14ac:dyDescent="0.25">
      <c r="A12" s="9" t="s">
        <v>54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9" t="s">
        <v>55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5" t="s">
        <v>56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</sheetData>
  <mergeCells count="1">
    <mergeCell ref="A1:P1"/>
  </mergeCells>
  <conditionalFormatting sqref="B3:P14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"/>
  <sheetViews>
    <sheetView workbookViewId="0">
      <selection sqref="A1:P1"/>
    </sheetView>
  </sheetViews>
  <sheetFormatPr defaultColWidth="8.85546875" defaultRowHeight="15" x14ac:dyDescent="0.25"/>
  <cols>
    <col min="1" max="1" width="8.7109375" style="13" bestFit="1" customWidth="1"/>
    <col min="2" max="9" width="15.140625" style="13" bestFit="1" customWidth="1"/>
    <col min="10" max="15" width="16.140625" style="13" bestFit="1" customWidth="1"/>
    <col min="16" max="16384" width="8.85546875" style="13"/>
  </cols>
  <sheetData>
    <row r="1" spans="1:16" ht="15.75" thickBot="1" x14ac:dyDescent="0.3">
      <c r="A1" s="32" t="s">
        <v>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14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4"/>
    </row>
    <row r="3" spans="1:16" x14ac:dyDescent="0.25">
      <c r="A3" s="15" t="s">
        <v>45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5">
      <c r="A4" s="16" t="s">
        <v>46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</row>
    <row r="5" spans="1:16" x14ac:dyDescent="0.25">
      <c r="A5" s="16" t="s">
        <v>47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 spans="1:16" x14ac:dyDescent="0.25">
      <c r="A6" s="16" t="s">
        <v>48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</row>
    <row r="7" spans="1:16" x14ac:dyDescent="0.25">
      <c r="A7" s="16" t="s">
        <v>49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</row>
    <row r="8" spans="1:16" x14ac:dyDescent="0.25">
      <c r="A8" s="16" t="s">
        <v>50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spans="1:16" x14ac:dyDescent="0.25">
      <c r="A9" s="16" t="s">
        <v>51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</row>
    <row r="10" spans="1:16" x14ac:dyDescent="0.25">
      <c r="A10" s="16" t="s">
        <v>52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</row>
    <row r="11" spans="1:16" x14ac:dyDescent="0.25">
      <c r="A11" s="16" t="s">
        <v>53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spans="1:16" x14ac:dyDescent="0.25">
      <c r="A12" s="16" t="s">
        <v>54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</row>
    <row r="13" spans="1:16" x14ac:dyDescent="0.25">
      <c r="A13" s="16" t="s">
        <v>55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</row>
    <row r="14" spans="1:16" x14ac:dyDescent="0.25">
      <c r="A14" s="17" t="s">
        <v>56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E21" sqref="E21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2026-08-03T06:23:20Z</dcterms:modified>
</cp:coreProperties>
</file>