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_template\CEC2022\"/>
    </mc:Choice>
  </mc:AlternateContent>
  <xr:revisionPtr revIDLastSave="0" documentId="13_ncr:1_{C3944F22-AAD0-48BE-BAF4-4C1F8EBDA6C9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6" i="2" l="1" a="1"/>
  <c r="AJ36" i="2" s="1"/>
  <c r="AI36" i="2" a="1"/>
  <c r="AI36" i="2" s="1"/>
  <c r="AH36" i="2" a="1"/>
  <c r="AH36" i="2" s="1"/>
  <c r="AG36" i="2" a="1"/>
  <c r="AG36" i="2" s="1"/>
  <c r="AF36" i="2" a="1"/>
  <c r="AF36" i="2" s="1"/>
  <c r="AE36" i="2" a="1"/>
  <c r="AE36" i="2" s="1"/>
  <c r="AD36" i="2" a="1"/>
  <c r="AD36" i="2" s="1"/>
  <c r="AC36" i="2" a="1"/>
  <c r="AC36" i="2" s="1"/>
  <c r="AB36" i="2" a="1"/>
  <c r="AB36" i="2" s="1"/>
  <c r="AA36" i="2" a="1"/>
  <c r="AA36" i="2" s="1"/>
  <c r="Z36" i="2" a="1"/>
  <c r="Z36" i="2" s="1"/>
  <c r="Y36" i="2" a="1"/>
  <c r="Y36" i="2" s="1"/>
  <c r="X36" i="2" a="1"/>
  <c r="X36" i="2" s="1"/>
  <c r="W36" i="2" a="1"/>
  <c r="W36" i="2" s="1"/>
  <c r="V36" i="2" a="1"/>
  <c r="V36" i="2" s="1"/>
  <c r="AJ33" i="2" a="1"/>
  <c r="AJ33" i="2" s="1"/>
  <c r="AI33" i="2" a="1"/>
  <c r="AI33" i="2" s="1"/>
  <c r="AH33" i="2" a="1"/>
  <c r="AH33" i="2" s="1"/>
  <c r="AG33" i="2" a="1"/>
  <c r="AG33" i="2" s="1"/>
  <c r="AF33" i="2" a="1"/>
  <c r="AF33" i="2" s="1"/>
  <c r="AE33" i="2" a="1"/>
  <c r="AE33" i="2" s="1"/>
  <c r="AD33" i="2" a="1"/>
  <c r="AD33" i="2" s="1"/>
  <c r="AC33" i="2" a="1"/>
  <c r="AC33" i="2" s="1"/>
  <c r="AB33" i="2" a="1"/>
  <c r="AB33" i="2" s="1"/>
  <c r="AA33" i="2" a="1"/>
  <c r="AA33" i="2" s="1"/>
  <c r="Z33" i="2" a="1"/>
  <c r="Z33" i="2" s="1"/>
  <c r="Y33" i="2" a="1"/>
  <c r="Y33" i="2" s="1"/>
  <c r="X33" i="2" a="1"/>
  <c r="X33" i="2" s="1"/>
  <c r="W33" i="2" a="1"/>
  <c r="W33" i="2" s="1"/>
  <c r="V33" i="2" a="1"/>
  <c r="V33" i="2" s="1"/>
  <c r="AJ30" i="2" a="1"/>
  <c r="AJ30" i="2" s="1"/>
  <c r="AI30" i="2" a="1"/>
  <c r="AI30" i="2" s="1"/>
  <c r="AH30" i="2" a="1"/>
  <c r="AH30" i="2" s="1"/>
  <c r="AG30" i="2" a="1"/>
  <c r="AG30" i="2" s="1"/>
  <c r="AF30" i="2" a="1"/>
  <c r="AF30" i="2" s="1"/>
  <c r="AE30" i="2" a="1"/>
  <c r="AE30" i="2" s="1"/>
  <c r="AD30" i="2" a="1"/>
  <c r="AD30" i="2" s="1"/>
  <c r="AC30" i="2" a="1"/>
  <c r="AC30" i="2" s="1"/>
  <c r="AB30" i="2" a="1"/>
  <c r="AB30" i="2" s="1"/>
  <c r="AA30" i="2" a="1"/>
  <c r="AA30" i="2" s="1"/>
  <c r="Z30" i="2" a="1"/>
  <c r="Z30" i="2" s="1"/>
  <c r="Y30" i="2" a="1"/>
  <c r="Y30" i="2" s="1"/>
  <c r="X30" i="2" a="1"/>
  <c r="X30" i="2" s="1"/>
  <c r="W30" i="2" a="1"/>
  <c r="W30" i="2" s="1"/>
  <c r="V30" i="2" a="1"/>
  <c r="V30" i="2" s="1"/>
  <c r="AJ27" i="2" a="1"/>
  <c r="AJ27" i="2" s="1"/>
  <c r="AI27" i="2" a="1"/>
  <c r="AI27" i="2" s="1"/>
  <c r="AH27" i="2" a="1"/>
  <c r="AH27" i="2" s="1"/>
  <c r="AG27" i="2" a="1"/>
  <c r="AG27" i="2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AJ24" i="2" a="1"/>
  <c r="AJ24" i="2" s="1"/>
  <c r="AI24" i="2" a="1"/>
  <c r="AI24" i="2" s="1"/>
  <c r="AH24" i="2" a="1"/>
  <c r="AH24" i="2" s="1"/>
  <c r="AG24" i="2" a="1"/>
  <c r="AG24" i="2" s="1"/>
  <c r="AF24" i="2" a="1"/>
  <c r="AF24" i="2" s="1"/>
  <c r="AE24" i="2" a="1"/>
  <c r="AE24" i="2" s="1"/>
  <c r="AD24" i="2" a="1"/>
  <c r="AD24" i="2" s="1"/>
  <c r="AC24" i="2" a="1"/>
  <c r="AC24" i="2" s="1"/>
  <c r="AB24" i="2" a="1"/>
  <c r="AB24" i="2" s="1"/>
  <c r="AA24" i="2" a="1"/>
  <c r="AA24" i="2" s="1"/>
  <c r="Z24" i="2" a="1"/>
  <c r="Z24" i="2" s="1"/>
  <c r="Y24" i="2" a="1"/>
  <c r="Y24" i="2" s="1"/>
  <c r="X24" i="2" a="1"/>
  <c r="X24" i="2" s="1"/>
  <c r="W24" i="2" a="1"/>
  <c r="W24" i="2" s="1"/>
  <c r="V24" i="2" a="1"/>
  <c r="V24" i="2" s="1"/>
  <c r="AJ21" i="2" a="1"/>
  <c r="AJ21" i="2" s="1"/>
  <c r="AI21" i="2" a="1"/>
  <c r="AI21" i="2" s="1"/>
  <c r="AH21" i="2" a="1"/>
  <c r="AH21" i="2" s="1"/>
  <c r="AG21" i="2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AJ18" i="2" a="1"/>
  <c r="AJ18" i="2" s="1"/>
  <c r="AI18" i="2" a="1"/>
  <c r="AI18" i="2" s="1"/>
  <c r="AH18" i="2" a="1"/>
  <c r="AH18" i="2" s="1"/>
  <c r="AG18" i="2" a="1"/>
  <c r="AG18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W18" i="2" a="1"/>
  <c r="W18" i="2" s="1"/>
  <c r="V18" i="2" a="1"/>
  <c r="V18" i="2" s="1"/>
  <c r="AJ15" i="2" a="1"/>
  <c r="AJ15" i="2" s="1"/>
  <c r="AI15" i="2" a="1"/>
  <c r="AI15" i="2" s="1"/>
  <c r="AH15" i="2" a="1"/>
  <c r="AH15" i="2" s="1"/>
  <c r="AG15" i="2" a="1"/>
  <c r="AG15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W15" i="2" a="1"/>
  <c r="W15" i="2" s="1"/>
  <c r="V15" i="2" a="1"/>
  <c r="V15" i="2" s="1"/>
  <c r="AJ12" i="2" a="1"/>
  <c r="AJ12" i="2" s="1"/>
  <c r="AI12" i="2" a="1"/>
  <c r="AI12" i="2" s="1"/>
  <c r="AH12" i="2" a="1"/>
  <c r="AH12" i="2" s="1"/>
  <c r="AG12" i="2" a="1"/>
  <c r="AG12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AJ9" i="2" a="1"/>
  <c r="AJ9" i="2" s="1"/>
  <c r="AI9" i="2" a="1"/>
  <c r="AI9" i="2" s="1"/>
  <c r="AH9" i="2" a="1"/>
  <c r="AH9" i="2" s="1"/>
  <c r="AG9" i="2" a="1"/>
  <c r="AG9" i="2" s="1"/>
  <c r="AF9" i="2" a="1"/>
  <c r="AF9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AJ6" i="2" a="1"/>
  <c r="AJ6" i="2" s="1"/>
  <c r="AI6" i="2" a="1"/>
  <c r="AI6" i="2" s="1"/>
  <c r="AH6" i="2" a="1"/>
  <c r="AH6" i="2" s="1"/>
  <c r="AG6" i="2" a="1"/>
  <c r="AG6" i="2" s="1"/>
  <c r="AF6" i="2" a="1"/>
  <c r="AF6" i="2" s="1"/>
  <c r="AE6" i="2" a="1"/>
  <c r="AE6" i="2" s="1"/>
  <c r="AD6" i="2" a="1"/>
  <c r="AD6" i="2" s="1"/>
  <c r="AC6" i="2" a="1"/>
  <c r="AC6" i="2" s="1"/>
  <c r="AB6" i="2" a="1"/>
  <c r="AB6" i="2" s="1"/>
  <c r="AA6" i="2" a="1"/>
  <c r="AA6" i="2" s="1"/>
  <c r="Z6" i="2" a="1"/>
  <c r="Z6" i="2" s="1"/>
  <c r="Y6" i="2" a="1"/>
  <c r="Y6" i="2" s="1"/>
  <c r="X6" i="2" a="1"/>
  <c r="X6" i="2" s="1"/>
  <c r="W6" i="2" a="1"/>
  <c r="W6" i="2" s="1"/>
  <c r="V6" i="2" a="1"/>
  <c r="V6" i="2" s="1"/>
  <c r="AJ3" i="2" a="1"/>
  <c r="AJ3" i="2" s="1"/>
  <c r="R41" i="2" s="1"/>
  <c r="R42" i="2" s="1"/>
  <c r="AI3" i="2" a="1"/>
  <c r="AI3" i="2" s="1"/>
  <c r="Q41" i="2" s="1"/>
  <c r="Q42" i="2" s="1"/>
  <c r="AH3" i="2" a="1"/>
  <c r="AH3" i="2" s="1"/>
  <c r="P41" i="2" s="1"/>
  <c r="P42" i="2" s="1"/>
  <c r="AG3" i="2" a="1"/>
  <c r="AG3" i="2" s="1"/>
  <c r="AF3" i="2" a="1"/>
  <c r="AF3" i="2" s="1"/>
  <c r="AE3" i="2" a="1"/>
  <c r="AE3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K39" i="2" l="1"/>
  <c r="D41" i="2"/>
  <c r="I39" i="2"/>
  <c r="J41" i="2"/>
  <c r="E39" i="2"/>
  <c r="M39" i="2"/>
  <c r="J39" i="2"/>
  <c r="F39" i="2"/>
  <c r="G39" i="2"/>
  <c r="H39" i="2"/>
  <c r="N39" i="2"/>
  <c r="O39" i="2"/>
  <c r="H41" i="2"/>
  <c r="Q39" i="2"/>
  <c r="L41" i="2"/>
  <c r="P39" i="2"/>
  <c r="R39" i="2"/>
  <c r="I41" i="2"/>
  <c r="K41" i="2"/>
  <c r="M41" i="2"/>
  <c r="D39" i="2"/>
  <c r="L39" i="2"/>
  <c r="F41" i="2"/>
  <c r="F42" i="2" s="1"/>
  <c r="N41" i="2"/>
  <c r="N42" i="2" s="1"/>
  <c r="E41" i="2"/>
  <c r="G41" i="2"/>
  <c r="O41" i="2"/>
  <c r="O42" i="2" s="1"/>
  <c r="D40" i="2" l="1"/>
  <c r="L40" i="2"/>
  <c r="I40" i="2"/>
  <c r="R40" i="2"/>
  <c r="F40" i="2"/>
  <c r="J40" i="2"/>
  <c r="Q40" i="2"/>
  <c r="M40" i="2"/>
  <c r="L42" i="2"/>
  <c r="K42" i="2"/>
  <c r="D42" i="2"/>
  <c r="K40" i="2"/>
  <c r="N40" i="2"/>
  <c r="E40" i="2"/>
  <c r="G42" i="2"/>
  <c r="J42" i="2"/>
  <c r="M42" i="2"/>
  <c r="P40" i="2"/>
  <c r="I42" i="2"/>
  <c r="O40" i="2"/>
  <c r="E42" i="2"/>
  <c r="H42" i="2"/>
  <c r="G40" i="2"/>
  <c r="H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<sst xmlns="http://schemas.openxmlformats.org/spreadsheetml/2006/main" count="292" uniqueCount="82">
  <si>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</si>
  <si>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</si>
  <si>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</si>
  <si>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</si>
  <si>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</si>
  <si>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</si>
  <si>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</si>
  <si>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</si>
  <si>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</si>
  <si>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</si>
  <si>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</si>
  <si>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</si>
  <si>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Mean</t>
  </si>
  <si>
    <t>Std</t>
  </si>
  <si>
    <t>CPU</t>
  </si>
  <si>
    <t>Unimodal
Functions</t>
  </si>
  <si>
    <t>Composition
Functions</t>
  </si>
  <si>
    <t>Functions</t>
  </si>
  <si>
    <t>Column1</t>
  </si>
  <si>
    <t>Column2</t>
  </si>
  <si>
    <t>Basic
Functions</t>
  </si>
  <si>
    <t>Hybrid
Functions</t>
  </si>
  <si>
    <t>Comparison of optimization results for the CEC benchmark functions 2022 (10 Dim)</t>
  </si>
  <si>
    <t>Total number of 
best answers</t>
  </si>
  <si>
    <t>Rank by total number of 
best answers</t>
  </si>
  <si>
    <t>Average rating in the set</t>
  </si>
  <si>
    <t>Rank based on 
the average in the set</t>
  </si>
  <si>
    <t>P-value of the Wilcoxon analysis for the CEC benchmark functions 2022 (10 Dim)</t>
  </si>
  <si>
    <t>Algoritm 1</t>
  </si>
  <si>
    <t>Algoritm 2</t>
  </si>
  <si>
    <t>Algoritm 3</t>
  </si>
  <si>
    <t>Algoritm 4</t>
  </si>
  <si>
    <t>Algoritm 5</t>
  </si>
  <si>
    <t>Algoritm 6</t>
  </si>
  <si>
    <t>Algoritm 7</t>
  </si>
  <si>
    <t>Algoritm 8</t>
  </si>
  <si>
    <t>Algoritm 9</t>
  </si>
  <si>
    <t>Algoritm 10</t>
  </si>
  <si>
    <t>Algoritm 11</t>
  </si>
  <si>
    <t>Algoritm 12</t>
  </si>
  <si>
    <t>Algoritm 13</t>
  </si>
  <si>
    <t>Algoritm 14</t>
  </si>
  <si>
    <t>Algoritm 15</t>
  </si>
  <si>
    <t>P-value of the T-test analysis for the CEC benchmark functions 2022 (10 Dim)</t>
  </si>
  <si>
    <t>H-value of the T-test analysis for the CEC benchmark functions 2022 (10 Dim)</t>
  </si>
  <si>
    <t>H-value of the Wilcoxon analysis for the CEC benchmark functions 2022 (10 Dim)</t>
  </si>
  <si>
    <t>State of the Wilcoxon analysis for the CEC benchmark functions 2022 (10 Dim)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</si>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</sst>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2" fontId="0" fillId="0" borderId="4" xfId="0" applyNumberForma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1" fontId="2" fillId="0" borderId="5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1" fontId="0" fillId="0" borderId="0" xfId="0" applyNumberFormat="1" applyAlignment="1">
      <alignment horizontal="left" vertical="top"/>
    </xf>
  </cellXfs>
  <cellStyles count="1">
    <cellStyle name="Normal" xfId="0" builtinId="0"/>
  </cellStyles>
  <dxfs count="33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38" totalsRowShown="0" headerRowDxfId="0" dataDxfId="1" tableBorderDxfId="32">
  <autoFilter ref="S2:T38" xr:uid="{00000000-0009-0000-0100-000001000000}"/>
  <tableColumns count="2">
    <tableColumn id="1" xr3:uid="{00000000-0010-0000-0000-000001000000}" name="Column1" dataDxfId="3"/>
    <tableColumn id="2" xr3:uid="{00000000-0010-0000-0000-000002000000}" name="Colum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zoomScaleNormal="100" workbookViewId="0">
      <selection activeCell="X41" sqref="X41"/>
    </sheetView>
  </sheetViews>
  <sheetFormatPr defaultColWidth="8.85546875" defaultRowHeight="15" x14ac:dyDescent="0.25"/>
  <cols>
    <col min="1" max="1" width="11.140625" style="7" bestFit="1" customWidth="1"/>
    <col min="2" max="2" width="4.140625" style="7" bestFit="1" customWidth="1"/>
    <col min="3" max="3" width="6.140625" style="7" bestFit="1" customWidth="1"/>
    <col min="4" max="4" width="12.85546875" style="7" bestFit="1" customWidth="1"/>
    <col min="5" max="11" width="8.7109375" style="7" bestFit="1" customWidth="1"/>
    <col min="12" max="12" width="10.140625" style="7" bestFit="1" customWidth="1"/>
    <col min="13" max="20" width="11.140625" style="7" bestFit="1" customWidth="1"/>
    <col min="21" max="21" width="8.85546875" style="7"/>
    <col min="22" max="30" width="10.140625" bestFit="1" customWidth="1"/>
    <col min="31" max="32" width="11.140625" bestFit="1" customWidth="1"/>
    <col min="33" max="36" width="11.140625" style="7" bestFit="1" customWidth="1"/>
    <col min="37" max="16384" width="8.85546875" style="7"/>
  </cols>
  <sheetData>
    <row r="1" spans="1:36" ht="15.75" thickBot="1" x14ac:dyDescent="0.3">
      <c r="A1" s="24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36" x14ac:dyDescent="0.25">
      <c r="A2" s="12" t="s">
        <v>17</v>
      </c>
      <c r="B2" s="12"/>
      <c r="C2" s="12"/>
      <c r="D2" s="12" t="s">
        <v>28</v>
      </c>
      <c r="E2" s="12" t="s">
        <v>29</v>
      </c>
      <c r="F2" s="12" t="s">
        <v>30</v>
      </c>
      <c r="G2" s="12" t="s">
        <v>31</v>
      </c>
      <c r="H2" s="12" t="s">
        <v>32</v>
      </c>
      <c r="I2" s="12" t="s">
        <v>33</v>
      </c>
      <c r="J2" s="12" t="s">
        <v>34</v>
      </c>
      <c r="K2" s="12" t="s">
        <v>35</v>
      </c>
      <c r="L2" s="12" t="s">
        <v>36</v>
      </c>
      <c r="M2" s="12" t="s">
        <v>37</v>
      </c>
      <c r="N2" s="12" t="s">
        <v>38</v>
      </c>
      <c r="O2" s="12" t="s">
        <v>39</v>
      </c>
      <c r="P2" s="12" t="s">
        <v>40</v>
      </c>
      <c r="Q2" s="12" t="s">
        <v>41</v>
      </c>
      <c r="R2" s="12" t="s">
        <v>42</v>
      </c>
      <c r="S2" s="21" t="s">
        <v>18</v>
      </c>
      <c r="T2" s="21" t="s">
        <v>19</v>
      </c>
      <c r="V2" s="1" t="str">
        <f>D2</f>
        <v>Algoritm 1</v>
      </c>
      <c r="W2" s="1" t="str">
        <f t="shared" ref="W2:AJ2" si="0">E2</f>
        <v>Algoritm 2</v>
      </c>
      <c r="X2" s="1" t="str">
        <f t="shared" si="0"/>
        <v>Algoritm 3</v>
      </c>
      <c r="Y2" s="1" t="str">
        <f t="shared" si="0"/>
        <v>Algoritm 4</v>
      </c>
      <c r="Z2" s="1" t="str">
        <f t="shared" si="0"/>
        <v>Algoritm 5</v>
      </c>
      <c r="AA2" s="1" t="str">
        <f t="shared" si="0"/>
        <v>Algoritm 6</v>
      </c>
      <c r="AB2" s="1" t="str">
        <f t="shared" si="0"/>
        <v>Algoritm 7</v>
      </c>
      <c r="AC2" s="1" t="str">
        <f t="shared" si="0"/>
        <v>Algoritm 8</v>
      </c>
      <c r="AD2" s="1" t="str">
        <f t="shared" si="0"/>
        <v>Algoritm 9</v>
      </c>
      <c r="AE2" s="1" t="str">
        <f t="shared" si="0"/>
        <v>Algoritm 10</v>
      </c>
      <c r="AF2" s="1" t="str">
        <f t="shared" si="0"/>
        <v>Algoritm 11</v>
      </c>
      <c r="AG2" s="1" t="str">
        <f t="shared" si="0"/>
        <v>Algoritm 12</v>
      </c>
      <c r="AH2" s="1" t="str">
        <f t="shared" si="0"/>
        <v>Algoritm 13</v>
      </c>
      <c r="AI2" s="1" t="str">
        <f t="shared" si="0"/>
        <v>Algoritm 14</v>
      </c>
      <c r="AJ2" s="1" t="str">
        <f t="shared" si="0"/>
        <v>Algoritm 15</v>
      </c>
    </row>
    <row r="3" spans="1:36" ht="14.45" customHeight="1" x14ac:dyDescent="0.25">
      <c r="A3" s="30" t="s">
        <v>15</v>
      </c>
      <c r="B3" s="23" t="s">
        <v>51</v>
      </c>
      <c r="C3" s="23" t="s">
        <v>47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3" t="s">
        <v>0</v>
      </c>
      <c r="T3" s="23" t="s">
        <v>12</v>
      </c>
      <c r="V3" s="7" t="e" cm="1">
        <f t="array" ref="V3">SUMPRODUCT(--(ROUND($D3:$R3,2-INT(LOG10(ABS($D3:$R3))))&lt;ROUND(D3,2-INT(LOG10(ABS(D3))))))+1</f>
        <v>#NUM!</v>
      </c>
      <c r="W3" s="7" t="e" cm="1">
        <f t="array" ref="W3">SUMPRODUCT(--(ROUND($D3:$R3,2-INT(LOG10(ABS($D3:$R3))))&lt;ROUND(E3,2-INT(LOG10(ABS(E3))))))+1</f>
        <v>#NUM!</v>
      </c>
      <c r="X3" s="7" t="e" cm="1">
        <f t="array" ref="X3">SUMPRODUCT(--(ROUND($D3:$R3,2-INT(LOG10(ABS($D3:$R3))))&lt;ROUND(F3,2-INT(LOG10(ABS(F3))))))+1</f>
        <v>#NUM!</v>
      </c>
      <c r="Y3" s="7" t="e" cm="1">
        <f t="array" ref="Y3">SUMPRODUCT(--(ROUND($D3:$R3,2-INT(LOG10(ABS($D3:$R3))))&lt;ROUND(G3,2-INT(LOG10(ABS(G3))))))+1</f>
        <v>#NUM!</v>
      </c>
      <c r="Z3" s="7" t="e" cm="1">
        <f t="array" ref="Z3">SUMPRODUCT(--(ROUND($D3:$R3,2-INT(LOG10(ABS($D3:$R3))))&lt;ROUND(H3,2-INT(LOG10(ABS(H3))))))+1</f>
        <v>#NUM!</v>
      </c>
      <c r="AA3" s="7" t="e" cm="1">
        <f t="array" ref="AA3">SUMPRODUCT(--(ROUND($D3:$R3,2-INT(LOG10(ABS($D3:$R3))))&lt;ROUND(I3,2-INT(LOG10(ABS(I3))))))+1</f>
        <v>#NUM!</v>
      </c>
      <c r="AB3" s="7" t="e" cm="1">
        <f t="array" ref="AB3">SUMPRODUCT(--(ROUND($D3:$R3,2-INT(LOG10(ABS($D3:$R3))))&lt;ROUND(J3,2-INT(LOG10(ABS(J3))))))+1</f>
        <v>#NUM!</v>
      </c>
      <c r="AC3" s="7" t="e" cm="1">
        <f t="array" ref="AC3">SUMPRODUCT(--(ROUND($D3:$R3,2-INT(LOG10(ABS($D3:$R3))))&lt;ROUND(K3,2-INT(LOG10(ABS(K3))))))+1</f>
        <v>#NUM!</v>
      </c>
      <c r="AD3" s="7" t="e" cm="1">
        <f t="array" ref="AD3">SUMPRODUCT(--(ROUND($D3:$R3,2-INT(LOG10(ABS($D3:$R3))))&lt;ROUND(L3,2-INT(LOG10(ABS(L3))))))+1</f>
        <v>#NUM!</v>
      </c>
      <c r="AE3" s="7" t="e" cm="1">
        <f t="array" ref="AE3">SUMPRODUCT(--(ROUND($D3:$R3,2-INT(LOG10(ABS($D3:$R3))))&lt;ROUND(M3,2-INT(LOG10(ABS(M3))))))+1</f>
        <v>#NUM!</v>
      </c>
      <c r="AF3" s="7" t="e" cm="1">
        <f t="array" ref="AF3">SUMPRODUCT(--(ROUND($D3:$R3,2-INT(LOG10(ABS($D3:$R3))))&lt;ROUND(N3,2-INT(LOG10(ABS(N3))))))+1</f>
        <v>#NUM!</v>
      </c>
      <c r="AG3" s="7" t="e" cm="1">
        <f t="array" ref="AG3">SUMPRODUCT(--(ROUND($D3:$R3,2-INT(LOG10(ABS($D3:$R3))))&lt;ROUND(O3,2-INT(LOG10(ABS(O3))))))+1</f>
        <v>#NUM!</v>
      </c>
      <c r="AH3" s="7" t="e" cm="1">
        <f t="array" ref="AH3">SUMPRODUCT(--(ROUND($D3:$R3,2-INT(LOG10(ABS($D3:$R3))))&lt;ROUND(P3,2-INT(LOG10(ABS(P3))))))+1</f>
        <v>#NUM!</v>
      </c>
      <c r="AI3" s="7" t="e" cm="1">
        <f t="array" ref="AI3">SUMPRODUCT(--(ROUND($D3:$R3,2-INT(LOG10(ABS($D3:$R3))))&lt;ROUND(Q3,2-INT(LOG10(ABS(Q3))))))+1</f>
        <v>#NUM!</v>
      </c>
      <c r="AJ3" s="7" t="e" cm="1">
        <f t="array" ref="AJ3">SUMPRODUCT(--(ROUND($D3:$R3,2-INT(LOG10(ABS($D3:$R3))))&lt;ROUND(R3,2-INT(LOG10(ABS(R3))))))+1</f>
        <v>#NUM!</v>
      </c>
    </row>
    <row r="4" spans="1:36" x14ac:dyDescent="0.25">
      <c r="A4" s="25"/>
      <c r="B4" s="21" t="s">
        <v>51</v>
      </c>
      <c r="C4" s="21" t="s">
        <v>48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21"/>
      <c r="T4" s="21" t="s">
        <v>13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6" x14ac:dyDescent="0.25">
      <c r="A5" s="28"/>
      <c r="B5" s="22" t="s">
        <v>51</v>
      </c>
      <c r="C5" s="22" t="s">
        <v>49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22"/>
      <c r="T5" s="22" t="s">
        <v>14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6" x14ac:dyDescent="0.25">
      <c r="A6" s="30" t="s">
        <v>20</v>
      </c>
      <c r="B6" s="23" t="s">
        <v>52</v>
      </c>
      <c r="C6" s="23" t="s">
        <v>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3" t="s">
        <v>1</v>
      </c>
      <c r="T6" s="23" t="s">
        <v>12</v>
      </c>
      <c r="V6" s="7" t="e" cm="1">
        <f t="array" ref="V6">SUMPRODUCT(--(ROUND($D6:$R6,2-INT(LOG10(ABS($D6:$R6))))&lt;ROUND(D6,2-INT(LOG10(ABS(D6))))))+1</f>
        <v>#NUM!</v>
      </c>
      <c r="W6" s="7" t="e" cm="1">
        <f t="array" ref="W6">SUMPRODUCT(--(ROUND($D6:$R6,2-INT(LOG10(ABS($D6:$R6))))&lt;ROUND(E6,2-INT(LOG10(ABS(E6))))))+1</f>
        <v>#NUM!</v>
      </c>
      <c r="X6" s="7" t="e" cm="1">
        <f t="array" ref="X6">SUMPRODUCT(--(ROUND($D6:$R6,2-INT(LOG10(ABS($D6:$R6))))&lt;ROUND(F6,2-INT(LOG10(ABS(F6))))))+1</f>
        <v>#NUM!</v>
      </c>
      <c r="Y6" s="7" t="e" cm="1">
        <f t="array" ref="Y6">SUMPRODUCT(--(ROUND($D6:$R6,2-INT(LOG10(ABS($D6:$R6))))&lt;ROUND(G6,2-INT(LOG10(ABS(G6))))))+1</f>
        <v>#NUM!</v>
      </c>
      <c r="Z6" s="7" t="e" cm="1">
        <f t="array" ref="Z6">SUMPRODUCT(--(ROUND($D6:$R6,2-INT(LOG10(ABS($D6:$R6))))&lt;ROUND(H6,2-INT(LOG10(ABS(H6))))))+1</f>
        <v>#NUM!</v>
      </c>
      <c r="AA6" s="7" t="e" cm="1">
        <f t="array" ref="AA6">SUMPRODUCT(--(ROUND($D6:$R6,2-INT(LOG10(ABS($D6:$R6))))&lt;ROUND(I6,2-INT(LOG10(ABS(I6))))))+1</f>
        <v>#NUM!</v>
      </c>
      <c r="AB6" s="7" t="e" cm="1">
        <f t="array" ref="AB6">SUMPRODUCT(--(ROUND($D6:$R6,2-INT(LOG10(ABS($D6:$R6))))&lt;ROUND(J6,2-INT(LOG10(ABS(J6))))))+1</f>
        <v>#NUM!</v>
      </c>
      <c r="AC6" s="7" t="e" cm="1">
        <f t="array" ref="AC6">SUMPRODUCT(--(ROUND($D6:$R6,2-INT(LOG10(ABS($D6:$R6))))&lt;ROUND(K6,2-INT(LOG10(ABS(K6))))))+1</f>
        <v>#NUM!</v>
      </c>
      <c r="AD6" s="7" t="e" cm="1">
        <f t="array" ref="AD6">SUMPRODUCT(--(ROUND($D6:$R6,2-INT(LOG10(ABS($D6:$R6))))&lt;ROUND(L6,2-INT(LOG10(ABS(L6))))))+1</f>
        <v>#NUM!</v>
      </c>
      <c r="AE6" s="7" t="e" cm="1">
        <f t="array" ref="AE6">SUMPRODUCT(--(ROUND($D6:$R6,2-INT(LOG10(ABS($D6:$R6))))&lt;ROUND(M6,2-INT(LOG10(ABS(M6))))))+1</f>
        <v>#NUM!</v>
      </c>
      <c r="AF6" s="7" t="e" cm="1">
        <f t="array" ref="AF6">SUMPRODUCT(--(ROUND($D6:$R6,2-INT(LOG10(ABS($D6:$R6))))&lt;ROUND(N6,2-INT(LOG10(ABS(N6))))))+1</f>
        <v>#NUM!</v>
      </c>
      <c r="AG6" s="7" t="e" cm="1">
        <f t="array" ref="AG6">SUMPRODUCT(--(ROUND($D6:$R6,2-INT(LOG10(ABS($D6:$R6))))&lt;ROUND(O6,2-INT(LOG10(ABS(O6))))))+1</f>
        <v>#NUM!</v>
      </c>
      <c r="AH6" s="7" t="e" cm="1">
        <f t="array" ref="AH6">SUMPRODUCT(--(ROUND($D6:$R6,2-INT(LOG10(ABS($D6:$R6))))&lt;ROUND(P6,2-INT(LOG10(ABS(P6))))))+1</f>
        <v>#NUM!</v>
      </c>
      <c r="AI6" s="7" t="e" cm="1">
        <f t="array" ref="AI6">SUMPRODUCT(--(ROUND($D6:$R6,2-INT(LOG10(ABS($D6:$R6))))&lt;ROUND(Q6,2-INT(LOG10(ABS(Q6))))))+1</f>
        <v>#NUM!</v>
      </c>
      <c r="AJ6" s="7" t="e" cm="1">
        <f t="array" ref="AJ6">SUMPRODUCT(--(ROUND($D6:$R6,2-INT(LOG10(ABS($D6:$R6))))&lt;ROUND(R6,2-INT(LOG10(ABS(R6))))))+1</f>
        <v>#NUM!</v>
      </c>
    </row>
    <row r="7" spans="1:36" x14ac:dyDescent="0.25">
      <c r="A7" s="25"/>
      <c r="B7" s="21" t="s">
        <v>52</v>
      </c>
      <c r="C7" s="21" t="s">
        <v>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21"/>
      <c r="T7" s="21" t="s">
        <v>13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6" x14ac:dyDescent="0.25">
      <c r="A8" s="25"/>
      <c r="B8" s="22" t="s">
        <v>52</v>
      </c>
      <c r="C8" s="22" t="s">
        <v>49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22"/>
      <c r="T8" s="22" t="s">
        <v>14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6" x14ac:dyDescent="0.25">
      <c r="A9" s="25"/>
      <c r="B9" s="23" t="s">
        <v>53</v>
      </c>
      <c r="C9" s="23" t="s">
        <v>47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23" t="s">
        <v>2</v>
      </c>
      <c r="T9" s="23" t="s">
        <v>12</v>
      </c>
      <c r="V9" s="7" t="e" cm="1">
        <f t="array" ref="V9">SUMPRODUCT(--(ROUND($D9:$R9,2-INT(LOG10(ABS($D9:$R9))))&lt;ROUND(D9,2-INT(LOG10(ABS(D9))))))+1</f>
        <v>#NUM!</v>
      </c>
      <c r="W9" s="7" t="e" cm="1">
        <f t="array" ref="W9">SUMPRODUCT(--(ROUND($D9:$R9,2-INT(LOG10(ABS($D9:$R9))))&lt;ROUND(E9,2-INT(LOG10(ABS(E9))))))+1</f>
        <v>#NUM!</v>
      </c>
      <c r="X9" s="7" t="e" cm="1">
        <f t="array" ref="X9">SUMPRODUCT(--(ROUND($D9:$R9,2-INT(LOG10(ABS($D9:$R9))))&lt;ROUND(F9,2-INT(LOG10(ABS(F9))))))+1</f>
        <v>#NUM!</v>
      </c>
      <c r="Y9" s="7" t="e" cm="1">
        <f t="array" ref="Y9">SUMPRODUCT(--(ROUND($D9:$R9,2-INT(LOG10(ABS($D9:$R9))))&lt;ROUND(G9,2-INT(LOG10(ABS(G9))))))+1</f>
        <v>#NUM!</v>
      </c>
      <c r="Z9" s="7" t="e" cm="1">
        <f t="array" ref="Z9">SUMPRODUCT(--(ROUND($D9:$R9,2-INT(LOG10(ABS($D9:$R9))))&lt;ROUND(H9,2-INT(LOG10(ABS(H9))))))+1</f>
        <v>#NUM!</v>
      </c>
      <c r="AA9" s="7" t="e" cm="1">
        <f t="array" ref="AA9">SUMPRODUCT(--(ROUND($D9:$R9,2-INT(LOG10(ABS($D9:$R9))))&lt;ROUND(I9,2-INT(LOG10(ABS(I9))))))+1</f>
        <v>#NUM!</v>
      </c>
      <c r="AB9" s="7" t="e" cm="1">
        <f t="array" ref="AB9">SUMPRODUCT(--(ROUND($D9:$R9,2-INT(LOG10(ABS($D9:$R9))))&lt;ROUND(J9,2-INT(LOG10(ABS(J9))))))+1</f>
        <v>#NUM!</v>
      </c>
      <c r="AC9" s="7" t="e" cm="1">
        <f t="array" ref="AC9">SUMPRODUCT(--(ROUND($D9:$R9,2-INT(LOG10(ABS($D9:$R9))))&lt;ROUND(K9,2-INT(LOG10(ABS(K9))))))+1</f>
        <v>#NUM!</v>
      </c>
      <c r="AD9" s="7" t="e" cm="1">
        <f t="array" ref="AD9">SUMPRODUCT(--(ROUND($D9:$R9,2-INT(LOG10(ABS($D9:$R9))))&lt;ROUND(L9,2-INT(LOG10(ABS(L9))))))+1</f>
        <v>#NUM!</v>
      </c>
      <c r="AE9" s="7" t="e" cm="1">
        <f t="array" ref="AE9">SUMPRODUCT(--(ROUND($D9:$R9,2-INT(LOG10(ABS($D9:$R9))))&lt;ROUND(M9,2-INT(LOG10(ABS(M9))))))+1</f>
        <v>#NUM!</v>
      </c>
      <c r="AF9" s="7" t="e" cm="1">
        <f t="array" ref="AF9">SUMPRODUCT(--(ROUND($D9:$R9,2-INT(LOG10(ABS($D9:$R9))))&lt;ROUND(N9,2-INT(LOG10(ABS(N9))))))+1</f>
        <v>#NUM!</v>
      </c>
      <c r="AG9" s="7" t="e" cm="1">
        <f t="array" ref="AG9">SUMPRODUCT(--(ROUND($D9:$R9,2-INT(LOG10(ABS($D9:$R9))))&lt;ROUND(O9,2-INT(LOG10(ABS(O9))))))+1</f>
        <v>#NUM!</v>
      </c>
      <c r="AH9" s="7" t="e" cm="1">
        <f t="array" ref="AH9">SUMPRODUCT(--(ROUND($D9:$R9,2-INT(LOG10(ABS($D9:$R9))))&lt;ROUND(P9,2-INT(LOG10(ABS(P9))))))+1</f>
        <v>#NUM!</v>
      </c>
      <c r="AI9" s="7" t="e" cm="1">
        <f t="array" ref="AI9">SUMPRODUCT(--(ROUND($D9:$R9,2-INT(LOG10(ABS($D9:$R9))))&lt;ROUND(Q9,2-INT(LOG10(ABS(Q9))))))+1</f>
        <v>#NUM!</v>
      </c>
      <c r="AJ9" s="7" t="e" cm="1">
        <f t="array" ref="AJ9">SUMPRODUCT(--(ROUND($D9:$R9,2-INT(LOG10(ABS($D9:$R9))))&lt;ROUND(R9,2-INT(LOG10(ABS(R9))))))+1</f>
        <v>#NUM!</v>
      </c>
    </row>
    <row r="10" spans="1:36" x14ac:dyDescent="0.25">
      <c r="A10" s="25"/>
      <c r="B10" s="21" t="s">
        <v>53</v>
      </c>
      <c r="C10" s="21" t="s">
        <v>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21"/>
      <c r="T10" s="21" t="s">
        <v>13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6" x14ac:dyDescent="0.25">
      <c r="A11" s="25"/>
      <c r="B11" s="22" t="s">
        <v>53</v>
      </c>
      <c r="C11" s="22" t="s">
        <v>49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2"/>
      <c r="T11" s="22" t="s">
        <v>14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6" ht="14.45" customHeight="1" x14ac:dyDescent="0.25">
      <c r="A12" s="25"/>
      <c r="B12" s="23" t="s">
        <v>54</v>
      </c>
      <c r="C12" s="23" t="s">
        <v>47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23" t="s">
        <v>3</v>
      </c>
      <c r="T12" s="23" t="s">
        <v>12</v>
      </c>
      <c r="V12" s="7" t="e" cm="1">
        <f t="array" ref="V12">SUMPRODUCT(--(ROUND($D12:$R12,2-INT(LOG10(ABS($D12:$R12))))&lt;ROUND(D12,2-INT(LOG10(ABS(D12))))))+1</f>
        <v>#NUM!</v>
      </c>
      <c r="W12" s="7" t="e" cm="1">
        <f t="array" ref="W12">SUMPRODUCT(--(ROUND($D12:$R12,2-INT(LOG10(ABS($D12:$R12))))&lt;ROUND(E12,2-INT(LOG10(ABS(E12))))))+1</f>
        <v>#NUM!</v>
      </c>
      <c r="X12" s="7" t="e" cm="1">
        <f t="array" ref="X12">SUMPRODUCT(--(ROUND($D12:$R12,2-INT(LOG10(ABS($D12:$R12))))&lt;ROUND(F12,2-INT(LOG10(ABS(F12))))))+1</f>
        <v>#NUM!</v>
      </c>
      <c r="Y12" s="7" t="e" cm="1">
        <f t="array" ref="Y12">SUMPRODUCT(--(ROUND($D12:$R12,2-INT(LOG10(ABS($D12:$R12))))&lt;ROUND(G12,2-INT(LOG10(ABS(G12))))))+1</f>
        <v>#NUM!</v>
      </c>
      <c r="Z12" s="7" t="e" cm="1">
        <f t="array" ref="Z12">SUMPRODUCT(--(ROUND($D12:$R12,2-INT(LOG10(ABS($D12:$R12))))&lt;ROUND(H12,2-INT(LOG10(ABS(H12))))))+1</f>
        <v>#NUM!</v>
      </c>
      <c r="AA12" s="7" t="e" cm="1">
        <f t="array" ref="AA12">SUMPRODUCT(--(ROUND($D12:$R12,2-INT(LOG10(ABS($D12:$R12))))&lt;ROUND(I12,2-INT(LOG10(ABS(I12))))))+1</f>
        <v>#NUM!</v>
      </c>
      <c r="AB12" s="7" t="e" cm="1">
        <f t="array" ref="AB12">SUMPRODUCT(--(ROUND($D12:$R12,2-INT(LOG10(ABS($D12:$R12))))&lt;ROUND(J12,2-INT(LOG10(ABS(J12))))))+1</f>
        <v>#NUM!</v>
      </c>
      <c r="AC12" s="7" t="e" cm="1">
        <f t="array" ref="AC12">SUMPRODUCT(--(ROUND($D12:$R12,2-INT(LOG10(ABS($D12:$R12))))&lt;ROUND(K12,2-INT(LOG10(ABS(K12))))))+1</f>
        <v>#NUM!</v>
      </c>
      <c r="AD12" s="7" t="e" cm="1">
        <f t="array" ref="AD12">SUMPRODUCT(--(ROUND($D12:$R12,2-INT(LOG10(ABS($D12:$R12))))&lt;ROUND(L12,2-INT(LOG10(ABS(L12))))))+1</f>
        <v>#NUM!</v>
      </c>
      <c r="AE12" s="7" t="e" cm="1">
        <f t="array" ref="AE12">SUMPRODUCT(--(ROUND($D12:$R12,2-INT(LOG10(ABS($D12:$R12))))&lt;ROUND(M12,2-INT(LOG10(ABS(M12))))))+1</f>
        <v>#NUM!</v>
      </c>
      <c r="AF12" s="7" t="e" cm="1">
        <f t="array" ref="AF12">SUMPRODUCT(--(ROUND($D12:$R12,2-INT(LOG10(ABS($D12:$R12))))&lt;ROUND(N12,2-INT(LOG10(ABS(N12))))))+1</f>
        <v>#NUM!</v>
      </c>
      <c r="AG12" s="7" t="e" cm="1">
        <f t="array" ref="AG12">SUMPRODUCT(--(ROUND($D12:$R12,2-INT(LOG10(ABS($D12:$R12))))&lt;ROUND(O12,2-INT(LOG10(ABS(O12))))))+1</f>
        <v>#NUM!</v>
      </c>
      <c r="AH12" s="7" t="e" cm="1">
        <f t="array" ref="AH12">SUMPRODUCT(--(ROUND($D12:$R12,2-INT(LOG10(ABS($D12:$R12))))&lt;ROUND(P12,2-INT(LOG10(ABS(P12))))))+1</f>
        <v>#NUM!</v>
      </c>
      <c r="AI12" s="7" t="e" cm="1">
        <f t="array" ref="AI12">SUMPRODUCT(--(ROUND($D12:$R12,2-INT(LOG10(ABS($D12:$R12))))&lt;ROUND(Q12,2-INT(LOG10(ABS(Q12))))))+1</f>
        <v>#NUM!</v>
      </c>
      <c r="AJ12" s="7" t="e" cm="1">
        <f t="array" ref="AJ12">SUMPRODUCT(--(ROUND($D12:$R12,2-INT(LOG10(ABS($D12:$R12))))&lt;ROUND(R12,2-INT(LOG10(ABS(R12))))))+1</f>
        <v>#NUM!</v>
      </c>
    </row>
    <row r="13" spans="1:36" x14ac:dyDescent="0.25">
      <c r="A13" s="25"/>
      <c r="B13" s="21" t="s">
        <v>54</v>
      </c>
      <c r="C13" s="21" t="s">
        <v>48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21"/>
      <c r="T13" s="21" t="s">
        <v>13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6" x14ac:dyDescent="0.25">
      <c r="A14" s="25"/>
      <c r="B14" s="22" t="s">
        <v>54</v>
      </c>
      <c r="C14" s="22" t="s">
        <v>49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22"/>
      <c r="T14" s="22" t="s">
        <v>14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6" x14ac:dyDescent="0.25">
      <c r="A15" s="25"/>
      <c r="B15" s="23" t="s">
        <v>55</v>
      </c>
      <c r="C15" s="23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3" t="s">
        <v>4</v>
      </c>
      <c r="T15" s="23" t="s">
        <v>12</v>
      </c>
      <c r="V15" s="7" t="e" cm="1">
        <f t="array" ref="V15">SUMPRODUCT(--(ROUND($D15:$R15,2-INT(LOG10(ABS($D15:$R15))))&lt;ROUND(D15,2-INT(LOG10(ABS(D15))))))+1</f>
        <v>#NUM!</v>
      </c>
      <c r="W15" s="7" t="e" cm="1">
        <f t="array" ref="W15">SUMPRODUCT(--(ROUND($D15:$R15,2-INT(LOG10(ABS($D15:$R15))))&lt;ROUND(E15,2-INT(LOG10(ABS(E15))))))+1</f>
        <v>#NUM!</v>
      </c>
      <c r="X15" s="7" t="e" cm="1">
        <f t="array" ref="X15">SUMPRODUCT(--(ROUND($D15:$R15,2-INT(LOG10(ABS($D15:$R15))))&lt;ROUND(F15,2-INT(LOG10(ABS(F15))))))+1</f>
        <v>#NUM!</v>
      </c>
      <c r="Y15" s="7" t="e" cm="1">
        <f t="array" ref="Y15">SUMPRODUCT(--(ROUND($D15:$R15,2-INT(LOG10(ABS($D15:$R15))))&lt;ROUND(G15,2-INT(LOG10(ABS(G15))))))+1</f>
        <v>#NUM!</v>
      </c>
      <c r="Z15" s="7" t="e" cm="1">
        <f t="array" ref="Z15">SUMPRODUCT(--(ROUND($D15:$R15,2-INT(LOG10(ABS($D15:$R15))))&lt;ROUND(H15,2-INT(LOG10(ABS(H15))))))+1</f>
        <v>#NUM!</v>
      </c>
      <c r="AA15" s="7" t="e" cm="1">
        <f t="array" ref="AA15">SUMPRODUCT(--(ROUND($D15:$R15,2-INT(LOG10(ABS($D15:$R15))))&lt;ROUND(I15,2-INT(LOG10(ABS(I15))))))+1</f>
        <v>#NUM!</v>
      </c>
      <c r="AB15" s="7" t="e" cm="1">
        <f t="array" ref="AB15">SUMPRODUCT(--(ROUND($D15:$R15,2-INT(LOG10(ABS($D15:$R15))))&lt;ROUND(J15,2-INT(LOG10(ABS(J15))))))+1</f>
        <v>#NUM!</v>
      </c>
      <c r="AC15" s="7" t="e" cm="1">
        <f t="array" ref="AC15">SUMPRODUCT(--(ROUND($D15:$R15,2-INT(LOG10(ABS($D15:$R15))))&lt;ROUND(K15,2-INT(LOG10(ABS(K15))))))+1</f>
        <v>#NUM!</v>
      </c>
      <c r="AD15" s="7" t="e" cm="1">
        <f t="array" ref="AD15">SUMPRODUCT(--(ROUND($D15:$R15,2-INT(LOG10(ABS($D15:$R15))))&lt;ROUND(L15,2-INT(LOG10(ABS(L15))))))+1</f>
        <v>#NUM!</v>
      </c>
      <c r="AE15" s="7" t="e" cm="1">
        <f t="array" ref="AE15">SUMPRODUCT(--(ROUND($D15:$R15,2-INT(LOG10(ABS($D15:$R15))))&lt;ROUND(M15,2-INT(LOG10(ABS(M15))))))+1</f>
        <v>#NUM!</v>
      </c>
      <c r="AF15" s="7" t="e" cm="1">
        <f t="array" ref="AF15">SUMPRODUCT(--(ROUND($D15:$R15,2-INT(LOG10(ABS($D15:$R15))))&lt;ROUND(N15,2-INT(LOG10(ABS(N15))))))+1</f>
        <v>#NUM!</v>
      </c>
      <c r="AG15" s="7" t="e" cm="1">
        <f t="array" ref="AG15">SUMPRODUCT(--(ROUND($D15:$R15,2-INT(LOG10(ABS($D15:$R15))))&lt;ROUND(O15,2-INT(LOG10(ABS(O15))))))+1</f>
        <v>#NUM!</v>
      </c>
      <c r="AH15" s="7" t="e" cm="1">
        <f t="array" ref="AH15">SUMPRODUCT(--(ROUND($D15:$R15,2-INT(LOG10(ABS($D15:$R15))))&lt;ROUND(P15,2-INT(LOG10(ABS(P15))))))+1</f>
        <v>#NUM!</v>
      </c>
      <c r="AI15" s="7" t="e" cm="1">
        <f t="array" ref="AI15">SUMPRODUCT(--(ROUND($D15:$R15,2-INT(LOG10(ABS($D15:$R15))))&lt;ROUND(Q15,2-INT(LOG10(ABS(Q15))))))+1</f>
        <v>#NUM!</v>
      </c>
      <c r="AJ15" s="7" t="e" cm="1">
        <f t="array" ref="AJ15">SUMPRODUCT(--(ROUND($D15:$R15,2-INT(LOG10(ABS($D15:$R15))))&lt;ROUND(R15,2-INT(LOG10(ABS(R15))))))+1</f>
        <v>#NUM!</v>
      </c>
    </row>
    <row r="16" spans="1:36" x14ac:dyDescent="0.25">
      <c r="A16" s="25"/>
      <c r="B16" s="21" t="s">
        <v>55</v>
      </c>
      <c r="C16" s="21" t="s">
        <v>48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21"/>
      <c r="T16" s="21" t="s">
        <v>13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6" x14ac:dyDescent="0.25">
      <c r="A17" s="28"/>
      <c r="B17" s="22" t="s">
        <v>55</v>
      </c>
      <c r="C17" s="22" t="s">
        <v>49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2"/>
      <c r="T17" s="22" t="s">
        <v>14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6" x14ac:dyDescent="0.25">
      <c r="A18" s="30" t="s">
        <v>21</v>
      </c>
      <c r="B18" s="23" t="s">
        <v>56</v>
      </c>
      <c r="C18" s="23" t="s">
        <v>47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3" t="s">
        <v>5</v>
      </c>
      <c r="T18" s="23" t="s">
        <v>12</v>
      </c>
      <c r="V18" s="7" t="e" cm="1">
        <f t="array" ref="V18">SUMPRODUCT(--(ROUND($D18:$R18,2-INT(LOG10(ABS($D18:$R18))))&lt;ROUND(D18,2-INT(LOG10(ABS(D18))))))+1</f>
        <v>#NUM!</v>
      </c>
      <c r="W18" s="7" t="e" cm="1">
        <f t="array" ref="W18">SUMPRODUCT(--(ROUND($D18:$R18,2-INT(LOG10(ABS($D18:$R18))))&lt;ROUND(E18,2-INT(LOG10(ABS(E18))))))+1</f>
        <v>#NUM!</v>
      </c>
      <c r="X18" s="7" t="e" cm="1">
        <f t="array" ref="X18">SUMPRODUCT(--(ROUND($D18:$R18,2-INT(LOG10(ABS($D18:$R18))))&lt;ROUND(F18,2-INT(LOG10(ABS(F18))))))+1</f>
        <v>#NUM!</v>
      </c>
      <c r="Y18" s="7" t="e" cm="1">
        <f t="array" ref="Y18">SUMPRODUCT(--(ROUND($D18:$R18,2-INT(LOG10(ABS($D18:$R18))))&lt;ROUND(G18,2-INT(LOG10(ABS(G18))))))+1</f>
        <v>#NUM!</v>
      </c>
      <c r="Z18" s="7" t="e" cm="1">
        <f t="array" ref="Z18">SUMPRODUCT(--(ROUND($D18:$R18,2-INT(LOG10(ABS($D18:$R18))))&lt;ROUND(H18,2-INT(LOG10(ABS(H18))))))+1</f>
        <v>#NUM!</v>
      </c>
      <c r="AA18" s="7" t="e" cm="1">
        <f t="array" ref="AA18">SUMPRODUCT(--(ROUND($D18:$R18,2-INT(LOG10(ABS($D18:$R18))))&lt;ROUND(I18,2-INT(LOG10(ABS(I18))))))+1</f>
        <v>#NUM!</v>
      </c>
      <c r="AB18" s="7" t="e" cm="1">
        <f t="array" ref="AB18">SUMPRODUCT(--(ROUND($D18:$R18,2-INT(LOG10(ABS($D18:$R18))))&lt;ROUND(J18,2-INT(LOG10(ABS(J18))))))+1</f>
        <v>#NUM!</v>
      </c>
      <c r="AC18" s="7" t="e" cm="1">
        <f t="array" ref="AC18">SUMPRODUCT(--(ROUND($D18:$R18,2-INT(LOG10(ABS($D18:$R18))))&lt;ROUND(K18,2-INT(LOG10(ABS(K18))))))+1</f>
        <v>#NUM!</v>
      </c>
      <c r="AD18" s="7" t="e" cm="1">
        <f t="array" ref="AD18">SUMPRODUCT(--(ROUND($D18:$R18,2-INT(LOG10(ABS($D18:$R18))))&lt;ROUND(L18,2-INT(LOG10(ABS(L18))))))+1</f>
        <v>#NUM!</v>
      </c>
      <c r="AE18" s="7" t="e" cm="1">
        <f t="array" ref="AE18">SUMPRODUCT(--(ROUND($D18:$R18,2-INT(LOG10(ABS($D18:$R18))))&lt;ROUND(M18,2-INT(LOG10(ABS(M18))))))+1</f>
        <v>#NUM!</v>
      </c>
      <c r="AF18" s="7" t="e" cm="1">
        <f t="array" ref="AF18">SUMPRODUCT(--(ROUND($D18:$R18,2-INT(LOG10(ABS($D18:$R18))))&lt;ROUND(N18,2-INT(LOG10(ABS(N18))))))+1</f>
        <v>#NUM!</v>
      </c>
      <c r="AG18" s="7" t="e" cm="1">
        <f t="array" ref="AG18">SUMPRODUCT(--(ROUND($D18:$R18,2-INT(LOG10(ABS($D18:$R18))))&lt;ROUND(O18,2-INT(LOG10(ABS(O18))))))+1</f>
        <v>#NUM!</v>
      </c>
      <c r="AH18" s="7" t="e" cm="1">
        <f t="array" ref="AH18">SUMPRODUCT(--(ROUND($D18:$R18,2-INT(LOG10(ABS($D18:$R18))))&lt;ROUND(P18,2-INT(LOG10(ABS(P18))))))+1</f>
        <v>#NUM!</v>
      </c>
      <c r="AI18" s="7" t="e" cm="1">
        <f t="array" ref="AI18">SUMPRODUCT(--(ROUND($D18:$R18,2-INT(LOG10(ABS($D18:$R18))))&lt;ROUND(Q18,2-INT(LOG10(ABS(Q18))))))+1</f>
        <v>#NUM!</v>
      </c>
      <c r="AJ18" s="7" t="e" cm="1">
        <f t="array" ref="AJ18">SUMPRODUCT(--(ROUND($D18:$R18,2-INT(LOG10(ABS($D18:$R18))))&lt;ROUND(R18,2-INT(LOG10(ABS(R18))))))+1</f>
        <v>#NUM!</v>
      </c>
    </row>
    <row r="19" spans="1:36" x14ac:dyDescent="0.25">
      <c r="A19" s="25"/>
      <c r="B19" s="21" t="s">
        <v>56</v>
      </c>
      <c r="C19" s="21" t="s">
        <v>48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21"/>
      <c r="T19" s="21" t="s">
        <v>13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6" x14ac:dyDescent="0.25">
      <c r="A20" s="25"/>
      <c r="B20" s="22" t="s">
        <v>56</v>
      </c>
      <c r="C20" s="22" t="s">
        <v>49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2"/>
      <c r="T20" s="22" t="s">
        <v>14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6" x14ac:dyDescent="0.25">
      <c r="A21" s="25"/>
      <c r="B21" s="23" t="s">
        <v>57</v>
      </c>
      <c r="C21" s="23" t="s">
        <v>47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3" t="s">
        <v>6</v>
      </c>
      <c r="T21" s="23" t="s">
        <v>12</v>
      </c>
      <c r="V21" s="7" t="e" cm="1">
        <f t="array" ref="V21">SUMPRODUCT(--(ROUND($D21:$R21,2-INT(LOG10(ABS($D21:$R21))))&lt;ROUND(D21,2-INT(LOG10(ABS(D21))))))+1</f>
        <v>#NUM!</v>
      </c>
      <c r="W21" s="7" t="e" cm="1">
        <f t="array" ref="W21">SUMPRODUCT(--(ROUND($D21:$R21,2-INT(LOG10(ABS($D21:$R21))))&lt;ROUND(E21,2-INT(LOG10(ABS(E21))))))+1</f>
        <v>#NUM!</v>
      </c>
      <c r="X21" s="7" t="e" cm="1">
        <f t="array" ref="X21">SUMPRODUCT(--(ROUND($D21:$R21,2-INT(LOG10(ABS($D21:$R21))))&lt;ROUND(F21,2-INT(LOG10(ABS(F21))))))+1</f>
        <v>#NUM!</v>
      </c>
      <c r="Y21" s="7" t="e" cm="1">
        <f t="array" ref="Y21">SUMPRODUCT(--(ROUND($D21:$R21,2-INT(LOG10(ABS($D21:$R21))))&lt;ROUND(G21,2-INT(LOG10(ABS(G21))))))+1</f>
        <v>#NUM!</v>
      </c>
      <c r="Z21" s="7" t="e" cm="1">
        <f t="array" ref="Z21">SUMPRODUCT(--(ROUND($D21:$R21,2-INT(LOG10(ABS($D21:$R21))))&lt;ROUND(H21,2-INT(LOG10(ABS(H21))))))+1</f>
        <v>#NUM!</v>
      </c>
      <c r="AA21" s="7" t="e" cm="1">
        <f t="array" ref="AA21">SUMPRODUCT(--(ROUND($D21:$R21,2-INT(LOG10(ABS($D21:$R21))))&lt;ROUND(I21,2-INT(LOG10(ABS(I21))))))+1</f>
        <v>#NUM!</v>
      </c>
      <c r="AB21" s="7" t="e" cm="1">
        <f t="array" ref="AB21">SUMPRODUCT(--(ROUND($D21:$R21,2-INT(LOG10(ABS($D21:$R21))))&lt;ROUND(J21,2-INT(LOG10(ABS(J21))))))+1</f>
        <v>#NUM!</v>
      </c>
      <c r="AC21" s="7" t="e" cm="1">
        <f t="array" ref="AC21">SUMPRODUCT(--(ROUND($D21:$R21,2-INT(LOG10(ABS($D21:$R21))))&lt;ROUND(K21,2-INT(LOG10(ABS(K21))))))+1</f>
        <v>#NUM!</v>
      </c>
      <c r="AD21" s="7" t="e" cm="1">
        <f t="array" ref="AD21">SUMPRODUCT(--(ROUND($D21:$R21,2-INT(LOG10(ABS($D21:$R21))))&lt;ROUND(L21,2-INT(LOG10(ABS(L21))))))+1</f>
        <v>#NUM!</v>
      </c>
      <c r="AE21" s="7" t="e" cm="1">
        <f t="array" ref="AE21">SUMPRODUCT(--(ROUND($D21:$R21,2-INT(LOG10(ABS($D21:$R21))))&lt;ROUND(M21,2-INT(LOG10(ABS(M21))))))+1</f>
        <v>#NUM!</v>
      </c>
      <c r="AF21" s="7" t="e" cm="1">
        <f t="array" ref="AF21">SUMPRODUCT(--(ROUND($D21:$R21,2-INT(LOG10(ABS($D21:$R21))))&lt;ROUND(N21,2-INT(LOG10(ABS(N21))))))+1</f>
        <v>#NUM!</v>
      </c>
      <c r="AG21" s="7" t="e" cm="1">
        <f t="array" ref="AG21">SUMPRODUCT(--(ROUND($D21:$R21,2-INT(LOG10(ABS($D21:$R21))))&lt;ROUND(O21,2-INT(LOG10(ABS(O21))))))+1</f>
        <v>#NUM!</v>
      </c>
      <c r="AH21" s="7" t="e" cm="1">
        <f t="array" ref="AH21">SUMPRODUCT(--(ROUND($D21:$R21,2-INT(LOG10(ABS($D21:$R21))))&lt;ROUND(P21,2-INT(LOG10(ABS(P21))))))+1</f>
        <v>#NUM!</v>
      </c>
      <c r="AI21" s="7" t="e" cm="1">
        <f t="array" ref="AI21">SUMPRODUCT(--(ROUND($D21:$R21,2-INT(LOG10(ABS($D21:$R21))))&lt;ROUND(Q21,2-INT(LOG10(ABS(Q21))))))+1</f>
        <v>#NUM!</v>
      </c>
      <c r="AJ21" s="7" t="e" cm="1">
        <f t="array" ref="AJ21">SUMPRODUCT(--(ROUND($D21:$R21,2-INT(LOG10(ABS($D21:$R21))))&lt;ROUND(R21,2-INT(LOG10(ABS(R21))))))+1</f>
        <v>#NUM!</v>
      </c>
    </row>
    <row r="22" spans="1:36" x14ac:dyDescent="0.25">
      <c r="A22" s="25"/>
      <c r="B22" s="21" t="s">
        <v>57</v>
      </c>
      <c r="C22" s="21" t="s">
        <v>48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21"/>
      <c r="T22" s="21" t="s">
        <v>13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6" x14ac:dyDescent="0.25">
      <c r="A23" s="25"/>
      <c r="B23" s="22" t="s">
        <v>57</v>
      </c>
      <c r="C23" s="22" t="s">
        <v>49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2"/>
      <c r="T23" s="22" t="s">
        <v>14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6" x14ac:dyDescent="0.25">
      <c r="A24" s="25"/>
      <c r="B24" s="23" t="s">
        <v>58</v>
      </c>
      <c r="C24" s="23" t="s">
        <v>47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3" t="s">
        <v>7</v>
      </c>
      <c r="T24" s="23" t="s">
        <v>12</v>
      </c>
      <c r="V24" s="7" t="e" cm="1">
        <f t="array" ref="V24">SUMPRODUCT(--(ROUND($D24:$R24,2-INT(LOG10(ABS($D24:$R24))))&lt;ROUND(D24,2-INT(LOG10(ABS(D24))))))+1</f>
        <v>#NUM!</v>
      </c>
      <c r="W24" s="7" t="e" cm="1">
        <f t="array" ref="W24">SUMPRODUCT(--(ROUND($D24:$R24,2-INT(LOG10(ABS($D24:$R24))))&lt;ROUND(E24,2-INT(LOG10(ABS(E24))))))+1</f>
        <v>#NUM!</v>
      </c>
      <c r="X24" s="7" t="e" cm="1">
        <f t="array" ref="X24">SUMPRODUCT(--(ROUND($D24:$R24,2-INT(LOG10(ABS($D24:$R24))))&lt;ROUND(F24,2-INT(LOG10(ABS(F24))))))+1</f>
        <v>#NUM!</v>
      </c>
      <c r="Y24" s="7" t="e" cm="1">
        <f t="array" ref="Y24">SUMPRODUCT(--(ROUND($D24:$R24,2-INT(LOG10(ABS($D24:$R24))))&lt;ROUND(G24,2-INT(LOG10(ABS(G24))))))+1</f>
        <v>#NUM!</v>
      </c>
      <c r="Z24" s="7" t="e" cm="1">
        <f t="array" ref="Z24">SUMPRODUCT(--(ROUND($D24:$R24,2-INT(LOG10(ABS($D24:$R24))))&lt;ROUND(H24,2-INT(LOG10(ABS(H24))))))+1</f>
        <v>#NUM!</v>
      </c>
      <c r="AA24" s="7" t="e" cm="1">
        <f t="array" ref="AA24">SUMPRODUCT(--(ROUND($D24:$R24,2-INT(LOG10(ABS($D24:$R24))))&lt;ROUND(I24,2-INT(LOG10(ABS(I24))))))+1</f>
        <v>#NUM!</v>
      </c>
      <c r="AB24" s="7" t="e" cm="1">
        <f t="array" ref="AB24">SUMPRODUCT(--(ROUND($D24:$R24,2-INT(LOG10(ABS($D24:$R24))))&lt;ROUND(J24,2-INT(LOG10(ABS(J24))))))+1</f>
        <v>#NUM!</v>
      </c>
      <c r="AC24" s="7" t="e" cm="1">
        <f t="array" ref="AC24">SUMPRODUCT(--(ROUND($D24:$R24,2-INT(LOG10(ABS($D24:$R24))))&lt;ROUND(K24,2-INT(LOG10(ABS(K24))))))+1</f>
        <v>#NUM!</v>
      </c>
      <c r="AD24" s="7" t="e" cm="1">
        <f t="array" ref="AD24">SUMPRODUCT(--(ROUND($D24:$R24,2-INT(LOG10(ABS($D24:$R24))))&lt;ROUND(L24,2-INT(LOG10(ABS(L24))))))+1</f>
        <v>#NUM!</v>
      </c>
      <c r="AE24" s="7" t="e" cm="1">
        <f t="array" ref="AE24">SUMPRODUCT(--(ROUND($D24:$R24,2-INT(LOG10(ABS($D24:$R24))))&lt;ROUND(M24,2-INT(LOG10(ABS(M24))))))+1</f>
        <v>#NUM!</v>
      </c>
      <c r="AF24" s="7" t="e" cm="1">
        <f t="array" ref="AF24">SUMPRODUCT(--(ROUND($D24:$R24,2-INT(LOG10(ABS($D24:$R24))))&lt;ROUND(N24,2-INT(LOG10(ABS(N24))))))+1</f>
        <v>#NUM!</v>
      </c>
      <c r="AG24" s="7" t="e" cm="1">
        <f t="array" ref="AG24">SUMPRODUCT(--(ROUND($D24:$R24,2-INT(LOG10(ABS($D24:$R24))))&lt;ROUND(O24,2-INT(LOG10(ABS(O24))))))+1</f>
        <v>#NUM!</v>
      </c>
      <c r="AH24" s="7" t="e" cm="1">
        <f t="array" ref="AH24">SUMPRODUCT(--(ROUND($D24:$R24,2-INT(LOG10(ABS($D24:$R24))))&lt;ROUND(P24,2-INT(LOG10(ABS(P24))))))+1</f>
        <v>#NUM!</v>
      </c>
      <c r="AI24" s="7" t="e" cm="1">
        <f t="array" ref="AI24">SUMPRODUCT(--(ROUND($D24:$R24,2-INT(LOG10(ABS($D24:$R24))))&lt;ROUND(Q24,2-INT(LOG10(ABS(Q24))))))+1</f>
        <v>#NUM!</v>
      </c>
      <c r="AJ24" s="7" t="e" cm="1">
        <f t="array" ref="AJ24">SUMPRODUCT(--(ROUND($D24:$R24,2-INT(LOG10(ABS($D24:$R24))))&lt;ROUND(R24,2-INT(LOG10(ABS(R24))))))+1</f>
        <v>#NUM!</v>
      </c>
    </row>
    <row r="25" spans="1:36" x14ac:dyDescent="0.25">
      <c r="A25" s="25"/>
      <c r="B25" s="21" t="s">
        <v>58</v>
      </c>
      <c r="C25" s="21" t="s">
        <v>48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1"/>
      <c r="T25" s="21" t="s">
        <v>13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6" x14ac:dyDescent="0.25">
      <c r="A26" s="28"/>
      <c r="B26" s="22" t="s">
        <v>58</v>
      </c>
      <c r="C26" s="22" t="s">
        <v>49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2"/>
      <c r="T26" s="22" t="s">
        <v>14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6" x14ac:dyDescent="0.25">
      <c r="A27" s="30" t="s">
        <v>16</v>
      </c>
      <c r="B27" s="23" t="s">
        <v>59</v>
      </c>
      <c r="C27" s="23" t="s">
        <v>47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3" t="s">
        <v>8</v>
      </c>
      <c r="T27" s="23" t="s">
        <v>12</v>
      </c>
      <c r="V27" s="7" t="e" cm="1">
        <f t="array" ref="V27">SUMPRODUCT(--(ROUND($D27:$R27,2-INT(LOG10(ABS($D27:$R27))))&lt;ROUND(D27,2-INT(LOG10(ABS(D27))))))+1</f>
        <v>#NUM!</v>
      </c>
      <c r="W27" s="7" t="e" cm="1">
        <f t="array" ref="W27">SUMPRODUCT(--(ROUND($D27:$R27,2-INT(LOG10(ABS($D27:$R27))))&lt;ROUND(E27,2-INT(LOG10(ABS(E27))))))+1</f>
        <v>#NUM!</v>
      </c>
      <c r="X27" s="7" t="e" cm="1">
        <f t="array" ref="X27">SUMPRODUCT(--(ROUND($D27:$R27,2-INT(LOG10(ABS($D27:$R27))))&lt;ROUND(F27,2-INT(LOG10(ABS(F27))))))+1</f>
        <v>#NUM!</v>
      </c>
      <c r="Y27" s="7" t="e" cm="1">
        <f t="array" ref="Y27">SUMPRODUCT(--(ROUND($D27:$R27,2-INT(LOG10(ABS($D27:$R27))))&lt;ROUND(G27,2-INT(LOG10(ABS(G27))))))+1</f>
        <v>#NUM!</v>
      </c>
      <c r="Z27" s="7" t="e" cm="1">
        <f t="array" ref="Z27">SUMPRODUCT(--(ROUND($D27:$R27,2-INT(LOG10(ABS($D27:$R27))))&lt;ROUND(H27,2-INT(LOG10(ABS(H27))))))+1</f>
        <v>#NUM!</v>
      </c>
      <c r="AA27" s="7" t="e" cm="1">
        <f t="array" ref="AA27">SUMPRODUCT(--(ROUND($D27:$R27,2-INT(LOG10(ABS($D27:$R27))))&lt;ROUND(I27,2-INT(LOG10(ABS(I27))))))+1</f>
        <v>#NUM!</v>
      </c>
      <c r="AB27" s="7" t="e" cm="1">
        <f t="array" ref="AB27">SUMPRODUCT(--(ROUND($D27:$R27,2-INT(LOG10(ABS($D27:$R27))))&lt;ROUND(J27,2-INT(LOG10(ABS(J27))))))+1</f>
        <v>#NUM!</v>
      </c>
      <c r="AC27" s="7" t="e" cm="1">
        <f t="array" ref="AC27">SUMPRODUCT(--(ROUND($D27:$R27,2-INT(LOG10(ABS($D27:$R27))))&lt;ROUND(K27,2-INT(LOG10(ABS(K27))))))+1</f>
        <v>#NUM!</v>
      </c>
      <c r="AD27" s="7" t="e" cm="1">
        <f t="array" ref="AD27">SUMPRODUCT(--(ROUND($D27:$R27,2-INT(LOG10(ABS($D27:$R27))))&lt;ROUND(L27,2-INT(LOG10(ABS(L27))))))+1</f>
        <v>#NUM!</v>
      </c>
      <c r="AE27" s="7" t="e" cm="1">
        <f t="array" ref="AE27">SUMPRODUCT(--(ROUND($D27:$R27,2-INT(LOG10(ABS($D27:$R27))))&lt;ROUND(M27,2-INT(LOG10(ABS(M27))))))+1</f>
        <v>#NUM!</v>
      </c>
      <c r="AF27" s="7" t="e" cm="1">
        <f t="array" ref="AF27">SUMPRODUCT(--(ROUND($D27:$R27,2-INT(LOG10(ABS($D27:$R27))))&lt;ROUND(N27,2-INT(LOG10(ABS(N27))))))+1</f>
        <v>#NUM!</v>
      </c>
      <c r="AG27" s="7" t="e" cm="1">
        <f t="array" ref="AG27">SUMPRODUCT(--(ROUND($D27:$R27,2-INT(LOG10(ABS($D27:$R27))))&lt;ROUND(O27,2-INT(LOG10(ABS(O27))))))+1</f>
        <v>#NUM!</v>
      </c>
      <c r="AH27" s="7" t="e" cm="1">
        <f t="array" ref="AH27">SUMPRODUCT(--(ROUND($D27:$R27,2-INT(LOG10(ABS($D27:$R27))))&lt;ROUND(P27,2-INT(LOG10(ABS(P27))))))+1</f>
        <v>#NUM!</v>
      </c>
      <c r="AI27" s="7" t="e" cm="1">
        <f t="array" ref="AI27">SUMPRODUCT(--(ROUND($D27:$R27,2-INT(LOG10(ABS($D27:$R27))))&lt;ROUND(Q27,2-INT(LOG10(ABS(Q27))))))+1</f>
        <v>#NUM!</v>
      </c>
      <c r="AJ27" s="7" t="e" cm="1">
        <f t="array" ref="AJ27">SUMPRODUCT(--(ROUND($D27:$R27,2-INT(LOG10(ABS($D27:$R27))))&lt;ROUND(R27,2-INT(LOG10(ABS(R27))))))+1</f>
        <v>#NUM!</v>
      </c>
    </row>
    <row r="28" spans="1:36" x14ac:dyDescent="0.25">
      <c r="A28" s="25"/>
      <c r="B28" s="21" t="s">
        <v>59</v>
      </c>
      <c r="C28" s="21" t="s">
        <v>48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1"/>
      <c r="T28" s="21" t="s">
        <v>13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6" x14ac:dyDescent="0.25">
      <c r="A29" s="25"/>
      <c r="B29" s="22" t="s">
        <v>59</v>
      </c>
      <c r="C29" s="22" t="s">
        <v>49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2"/>
      <c r="T29" s="22" t="s">
        <v>14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6" x14ac:dyDescent="0.25">
      <c r="A30" s="25"/>
      <c r="B30" s="23" t="s">
        <v>60</v>
      </c>
      <c r="C30" s="23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3" t="s">
        <v>9</v>
      </c>
      <c r="T30" s="23" t="s">
        <v>12</v>
      </c>
      <c r="V30" s="7" t="e" cm="1">
        <f t="array" ref="V30">SUMPRODUCT(--(ROUND($D30:$R30,2-INT(LOG10(ABS($D30:$R30))))&lt;ROUND(D30,2-INT(LOG10(ABS(D30))))))+1</f>
        <v>#NUM!</v>
      </c>
      <c r="W30" s="7" t="e" cm="1">
        <f t="array" ref="W30">SUMPRODUCT(--(ROUND($D30:$R30,2-INT(LOG10(ABS($D30:$R30))))&lt;ROUND(E30,2-INT(LOG10(ABS(E30))))))+1</f>
        <v>#NUM!</v>
      </c>
      <c r="X30" s="7" t="e" cm="1">
        <f t="array" ref="X30">SUMPRODUCT(--(ROUND($D30:$R30,2-INT(LOG10(ABS($D30:$R30))))&lt;ROUND(F30,2-INT(LOG10(ABS(F30))))))+1</f>
        <v>#NUM!</v>
      </c>
      <c r="Y30" s="7" t="e" cm="1">
        <f t="array" ref="Y30">SUMPRODUCT(--(ROUND($D30:$R30,2-INT(LOG10(ABS($D30:$R30))))&lt;ROUND(G30,2-INT(LOG10(ABS(G30))))))+1</f>
        <v>#NUM!</v>
      </c>
      <c r="Z30" s="7" t="e" cm="1">
        <f t="array" ref="Z30">SUMPRODUCT(--(ROUND($D30:$R30,2-INT(LOG10(ABS($D30:$R30))))&lt;ROUND(H30,2-INT(LOG10(ABS(H30))))))+1</f>
        <v>#NUM!</v>
      </c>
      <c r="AA30" s="7" t="e" cm="1">
        <f t="array" ref="AA30">SUMPRODUCT(--(ROUND($D30:$R30,2-INT(LOG10(ABS($D30:$R30))))&lt;ROUND(I30,2-INT(LOG10(ABS(I30))))))+1</f>
        <v>#NUM!</v>
      </c>
      <c r="AB30" s="7" t="e" cm="1">
        <f t="array" ref="AB30">SUMPRODUCT(--(ROUND($D30:$R30,2-INT(LOG10(ABS($D30:$R30))))&lt;ROUND(J30,2-INT(LOG10(ABS(J30))))))+1</f>
        <v>#NUM!</v>
      </c>
      <c r="AC30" s="7" t="e" cm="1">
        <f t="array" ref="AC30">SUMPRODUCT(--(ROUND($D30:$R30,2-INT(LOG10(ABS($D30:$R30))))&lt;ROUND(K30,2-INT(LOG10(ABS(K30))))))+1</f>
        <v>#NUM!</v>
      </c>
      <c r="AD30" s="7" t="e" cm="1">
        <f t="array" ref="AD30">SUMPRODUCT(--(ROUND($D30:$R30,2-INT(LOG10(ABS($D30:$R30))))&lt;ROUND(L30,2-INT(LOG10(ABS(L30))))))+1</f>
        <v>#NUM!</v>
      </c>
      <c r="AE30" s="7" t="e" cm="1">
        <f t="array" ref="AE30">SUMPRODUCT(--(ROUND($D30:$R30,2-INT(LOG10(ABS($D30:$R30))))&lt;ROUND(M30,2-INT(LOG10(ABS(M30))))))+1</f>
        <v>#NUM!</v>
      </c>
      <c r="AF30" s="7" t="e" cm="1">
        <f t="array" ref="AF30">SUMPRODUCT(--(ROUND($D30:$R30,2-INT(LOG10(ABS($D30:$R30))))&lt;ROUND(N30,2-INT(LOG10(ABS(N30))))))+1</f>
        <v>#NUM!</v>
      </c>
      <c r="AG30" s="7" t="e" cm="1">
        <f t="array" ref="AG30">SUMPRODUCT(--(ROUND($D30:$R30,2-INT(LOG10(ABS($D30:$R30))))&lt;ROUND(O30,2-INT(LOG10(ABS(O30))))))+1</f>
        <v>#NUM!</v>
      </c>
      <c r="AH30" s="7" t="e" cm="1">
        <f t="array" ref="AH30">SUMPRODUCT(--(ROUND($D30:$R30,2-INT(LOG10(ABS($D30:$R30))))&lt;ROUND(P30,2-INT(LOG10(ABS(P30))))))+1</f>
        <v>#NUM!</v>
      </c>
      <c r="AI30" s="7" t="e" cm="1">
        <f t="array" ref="AI30">SUMPRODUCT(--(ROUND($D30:$R30,2-INT(LOG10(ABS($D30:$R30))))&lt;ROUND(Q30,2-INT(LOG10(ABS(Q30))))))+1</f>
        <v>#NUM!</v>
      </c>
      <c r="AJ30" s="7" t="e" cm="1">
        <f t="array" ref="AJ30">SUMPRODUCT(--(ROUND($D30:$R30,2-INT(LOG10(ABS($D30:$R30))))&lt;ROUND(R30,2-INT(LOG10(ABS(R30))))))+1</f>
        <v>#NUM!</v>
      </c>
    </row>
    <row r="31" spans="1:36" x14ac:dyDescent="0.25">
      <c r="A31" s="25"/>
      <c r="B31" s="21" t="s">
        <v>60</v>
      </c>
      <c r="C31" s="21" t="s">
        <v>48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1"/>
      <c r="T31" s="21" t="s">
        <v>13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6" x14ac:dyDescent="0.25">
      <c r="A32" s="25"/>
      <c r="B32" s="22" t="s">
        <v>60</v>
      </c>
      <c r="C32" s="22" t="s">
        <v>49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22"/>
      <c r="T32" s="22" t="s">
        <v>14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6" x14ac:dyDescent="0.25">
      <c r="A33" s="25"/>
      <c r="B33" s="23" t="s">
        <v>61</v>
      </c>
      <c r="C33" s="23" t="s">
        <v>47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3" t="s">
        <v>10</v>
      </c>
      <c r="T33" s="23" t="s">
        <v>12</v>
      </c>
      <c r="V33" s="7" t="e" cm="1">
        <f t="array" ref="V33">SUMPRODUCT(--(ROUND($D33:$R33,2-INT(LOG10(ABS($D33:$R33))))&lt;ROUND(D33,2-INT(LOG10(ABS(D33))))))+1</f>
        <v>#NUM!</v>
      </c>
      <c r="W33" s="7" t="e" cm="1">
        <f t="array" ref="W33">SUMPRODUCT(--(ROUND($D33:$R33,2-INT(LOG10(ABS($D33:$R33))))&lt;ROUND(E33,2-INT(LOG10(ABS(E33))))))+1</f>
        <v>#NUM!</v>
      </c>
      <c r="X33" s="7" t="e" cm="1">
        <f t="array" ref="X33">SUMPRODUCT(--(ROUND($D33:$R33,2-INT(LOG10(ABS($D33:$R33))))&lt;ROUND(F33,2-INT(LOG10(ABS(F33))))))+1</f>
        <v>#NUM!</v>
      </c>
      <c r="Y33" s="7" t="e" cm="1">
        <f t="array" ref="Y33">SUMPRODUCT(--(ROUND($D33:$R33,2-INT(LOG10(ABS($D33:$R33))))&lt;ROUND(G33,2-INT(LOG10(ABS(G33))))))+1</f>
        <v>#NUM!</v>
      </c>
      <c r="Z33" s="7" t="e" cm="1">
        <f t="array" ref="Z33">SUMPRODUCT(--(ROUND($D33:$R33,2-INT(LOG10(ABS($D33:$R33))))&lt;ROUND(H33,2-INT(LOG10(ABS(H33))))))+1</f>
        <v>#NUM!</v>
      </c>
      <c r="AA33" s="7" t="e" cm="1">
        <f t="array" ref="AA33">SUMPRODUCT(--(ROUND($D33:$R33,2-INT(LOG10(ABS($D33:$R33))))&lt;ROUND(I33,2-INT(LOG10(ABS(I33))))))+1</f>
        <v>#NUM!</v>
      </c>
      <c r="AB33" s="7" t="e" cm="1">
        <f t="array" ref="AB33">SUMPRODUCT(--(ROUND($D33:$R33,2-INT(LOG10(ABS($D33:$R33))))&lt;ROUND(J33,2-INT(LOG10(ABS(J33))))))+1</f>
        <v>#NUM!</v>
      </c>
      <c r="AC33" s="7" t="e" cm="1">
        <f t="array" ref="AC33">SUMPRODUCT(--(ROUND($D33:$R33,2-INT(LOG10(ABS($D33:$R33))))&lt;ROUND(K33,2-INT(LOG10(ABS(K33))))))+1</f>
        <v>#NUM!</v>
      </c>
      <c r="AD33" s="7" t="e" cm="1">
        <f t="array" ref="AD33">SUMPRODUCT(--(ROUND($D33:$R33,2-INT(LOG10(ABS($D33:$R33))))&lt;ROUND(L33,2-INT(LOG10(ABS(L33))))))+1</f>
        <v>#NUM!</v>
      </c>
      <c r="AE33" s="7" t="e" cm="1">
        <f t="array" ref="AE33">SUMPRODUCT(--(ROUND($D33:$R33,2-INT(LOG10(ABS($D33:$R33))))&lt;ROUND(M33,2-INT(LOG10(ABS(M33))))))+1</f>
        <v>#NUM!</v>
      </c>
      <c r="AF33" s="7" t="e" cm="1">
        <f t="array" ref="AF33">SUMPRODUCT(--(ROUND($D33:$R33,2-INT(LOG10(ABS($D33:$R33))))&lt;ROUND(N33,2-INT(LOG10(ABS(N33))))))+1</f>
        <v>#NUM!</v>
      </c>
      <c r="AG33" s="7" t="e" cm="1">
        <f t="array" ref="AG33">SUMPRODUCT(--(ROUND($D33:$R33,2-INT(LOG10(ABS($D33:$R33))))&lt;ROUND(O33,2-INT(LOG10(ABS(O33))))))+1</f>
        <v>#NUM!</v>
      </c>
      <c r="AH33" s="7" t="e" cm="1">
        <f t="array" ref="AH33">SUMPRODUCT(--(ROUND($D33:$R33,2-INT(LOG10(ABS($D33:$R33))))&lt;ROUND(P33,2-INT(LOG10(ABS(P33))))))+1</f>
        <v>#NUM!</v>
      </c>
      <c r="AI33" s="7" t="e" cm="1">
        <f t="array" ref="AI33">SUMPRODUCT(--(ROUND($D33:$R33,2-INT(LOG10(ABS($D33:$R33))))&lt;ROUND(Q33,2-INT(LOG10(ABS(Q33))))))+1</f>
        <v>#NUM!</v>
      </c>
      <c r="AJ33" s="7" t="e" cm="1">
        <f t="array" ref="AJ33">SUMPRODUCT(--(ROUND($D33:$R33,2-INT(LOG10(ABS($D33:$R33))))&lt;ROUND(R33,2-INT(LOG10(ABS(R33))))))+1</f>
        <v>#NUM!</v>
      </c>
    </row>
    <row r="34" spans="1:36" x14ac:dyDescent="0.25">
      <c r="A34" s="25"/>
      <c r="B34" s="21" t="s">
        <v>61</v>
      </c>
      <c r="C34" s="21" t="s">
        <v>48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1"/>
      <c r="T34" s="21" t="s">
        <v>13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6" x14ac:dyDescent="0.25">
      <c r="A35" s="25"/>
      <c r="B35" s="22" t="s">
        <v>61</v>
      </c>
      <c r="C35" s="22" t="s">
        <v>49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2"/>
      <c r="T35" s="22" t="s">
        <v>14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6" x14ac:dyDescent="0.25">
      <c r="A36" s="25"/>
      <c r="B36" s="23" t="s">
        <v>62</v>
      </c>
      <c r="C36" s="23" t="s">
        <v>47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3" t="s">
        <v>11</v>
      </c>
      <c r="T36" s="23" t="s">
        <v>12</v>
      </c>
      <c r="V36" s="7" t="e" cm="1">
        <f t="array" ref="V36">SUMPRODUCT(--(ROUND($D36:$R36,2-INT(LOG10(ABS($D36:$R36))))&lt;ROUND(D36,2-INT(LOG10(ABS(D36))))))+1</f>
        <v>#NUM!</v>
      </c>
      <c r="W36" s="7" t="e" cm="1">
        <f t="array" ref="W36">SUMPRODUCT(--(ROUND($D36:$R36,2-INT(LOG10(ABS($D36:$R36))))&lt;ROUND(E36,2-INT(LOG10(ABS(E36))))))+1</f>
        <v>#NUM!</v>
      </c>
      <c r="X36" s="7" t="e" cm="1">
        <f t="array" ref="X36">SUMPRODUCT(--(ROUND($D36:$R36,2-INT(LOG10(ABS($D36:$R36))))&lt;ROUND(F36,2-INT(LOG10(ABS(F36))))))+1</f>
        <v>#NUM!</v>
      </c>
      <c r="Y36" s="7" t="e" cm="1">
        <f t="array" ref="Y36">SUMPRODUCT(--(ROUND($D36:$R36,2-INT(LOG10(ABS($D36:$R36))))&lt;ROUND(G36,2-INT(LOG10(ABS(G36))))))+1</f>
        <v>#NUM!</v>
      </c>
      <c r="Z36" s="7" t="e" cm="1">
        <f t="array" ref="Z36">SUMPRODUCT(--(ROUND($D36:$R36,2-INT(LOG10(ABS($D36:$R36))))&lt;ROUND(H36,2-INT(LOG10(ABS(H36))))))+1</f>
        <v>#NUM!</v>
      </c>
      <c r="AA36" s="7" t="e" cm="1">
        <f t="array" ref="AA36">SUMPRODUCT(--(ROUND($D36:$R36,2-INT(LOG10(ABS($D36:$R36))))&lt;ROUND(I36,2-INT(LOG10(ABS(I36))))))+1</f>
        <v>#NUM!</v>
      </c>
      <c r="AB36" s="7" t="e" cm="1">
        <f t="array" ref="AB36">SUMPRODUCT(--(ROUND($D36:$R36,2-INT(LOG10(ABS($D36:$R36))))&lt;ROUND(J36,2-INT(LOG10(ABS(J36))))))+1</f>
        <v>#NUM!</v>
      </c>
      <c r="AC36" s="7" t="e" cm="1">
        <f t="array" ref="AC36">SUMPRODUCT(--(ROUND($D36:$R36,2-INT(LOG10(ABS($D36:$R36))))&lt;ROUND(K36,2-INT(LOG10(ABS(K36))))))+1</f>
        <v>#NUM!</v>
      </c>
      <c r="AD36" s="7" t="e" cm="1">
        <f t="array" ref="AD36">SUMPRODUCT(--(ROUND($D36:$R36,2-INT(LOG10(ABS($D36:$R36))))&lt;ROUND(L36,2-INT(LOG10(ABS(L36))))))+1</f>
        <v>#NUM!</v>
      </c>
      <c r="AE36" s="7" t="e" cm="1">
        <f t="array" ref="AE36">SUMPRODUCT(--(ROUND($D36:$R36,2-INT(LOG10(ABS($D36:$R36))))&lt;ROUND(M36,2-INT(LOG10(ABS(M36))))))+1</f>
        <v>#NUM!</v>
      </c>
      <c r="AF36" s="7" t="e" cm="1">
        <f t="array" ref="AF36">SUMPRODUCT(--(ROUND($D36:$R36,2-INT(LOG10(ABS($D36:$R36))))&lt;ROUND(N36,2-INT(LOG10(ABS(N36))))))+1</f>
        <v>#NUM!</v>
      </c>
      <c r="AG36" s="7" t="e" cm="1">
        <f t="array" ref="AG36">SUMPRODUCT(--(ROUND($D36:$R36,2-INT(LOG10(ABS($D36:$R36))))&lt;ROUND(O36,2-INT(LOG10(ABS(O36))))))+1</f>
        <v>#NUM!</v>
      </c>
      <c r="AH36" s="7" t="e" cm="1">
        <f t="array" ref="AH36">SUMPRODUCT(--(ROUND($D36:$R36,2-INT(LOG10(ABS($D36:$R36))))&lt;ROUND(P36,2-INT(LOG10(ABS(P36))))))+1</f>
        <v>#NUM!</v>
      </c>
      <c r="AI36" s="7" t="e" cm="1">
        <f t="array" ref="AI36">SUMPRODUCT(--(ROUND($D36:$R36,2-INT(LOG10(ABS($D36:$R36))))&lt;ROUND(Q36,2-INT(LOG10(ABS(Q36))))))+1</f>
        <v>#NUM!</v>
      </c>
      <c r="AJ36" s="7" t="e" cm="1">
        <f t="array" ref="AJ36">SUMPRODUCT(--(ROUND($D36:$R36,2-INT(LOG10(ABS($D36:$R36))))&lt;ROUND(R36,2-INT(LOG10(ABS(R36))))))+1</f>
        <v>#NUM!</v>
      </c>
    </row>
    <row r="37" spans="1:36" x14ac:dyDescent="0.25">
      <c r="A37" s="25"/>
      <c r="B37" s="21" t="s">
        <v>62</v>
      </c>
      <c r="C37" s="21" t="s">
        <v>48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21"/>
      <c r="T37" s="21" t="s">
        <v>13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6" x14ac:dyDescent="0.25">
      <c r="A38" s="28"/>
      <c r="B38" s="22" t="s">
        <v>62</v>
      </c>
      <c r="C38" s="22" t="s">
        <v>49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21"/>
      <c r="T38" s="21" t="s">
        <v>14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6" ht="32.450000000000003" customHeight="1" x14ac:dyDescent="0.25">
      <c r="A39" s="30" t="s">
        <v>23</v>
      </c>
      <c r="B39" s="31"/>
      <c r="C39" s="31"/>
      <c r="D39" s="23">
        <f>COUNTIF(V3:V38,1)</f>
        <v>0</v>
      </c>
      <c r="E39" s="23">
        <f t="shared" ref="E39:R39" si="1">COUNTIF(W3:W38,1)</f>
        <v>0</v>
      </c>
      <c r="F39" s="23">
        <f t="shared" si="1"/>
        <v>0</v>
      </c>
      <c r="G39" s="23">
        <f t="shared" si="1"/>
        <v>0</v>
      </c>
      <c r="H39" s="23">
        <f t="shared" si="1"/>
        <v>0</v>
      </c>
      <c r="I39" s="23">
        <f t="shared" si="1"/>
        <v>0</v>
      </c>
      <c r="J39" s="23">
        <f t="shared" si="1"/>
        <v>0</v>
      </c>
      <c r="K39" s="23">
        <f t="shared" si="1"/>
        <v>0</v>
      </c>
      <c r="L39" s="23">
        <f t="shared" si="1"/>
        <v>0</v>
      </c>
      <c r="M39" s="23">
        <f t="shared" si="1"/>
        <v>0</v>
      </c>
      <c r="N39" s="23">
        <f t="shared" si="1"/>
        <v>0</v>
      </c>
      <c r="O39" s="23">
        <f t="shared" si="1"/>
        <v>0</v>
      </c>
      <c r="P39" s="23">
        <f t="shared" si="1"/>
        <v>0</v>
      </c>
      <c r="Q39" s="23">
        <f t="shared" si="1"/>
        <v>0</v>
      </c>
      <c r="R39" s="23">
        <f t="shared" si="1"/>
        <v>0</v>
      </c>
      <c r="V39" s="33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6" ht="32.450000000000003" customHeight="1" x14ac:dyDescent="0.25">
      <c r="A40" s="25" t="s">
        <v>24</v>
      </c>
      <c r="B40" s="26"/>
      <c r="C40" s="26"/>
      <c r="D40" s="21">
        <f>_xlfn.RANK.EQ(D39,$D39:$R39,0)</f>
        <v>1</v>
      </c>
      <c r="E40" s="21">
        <f t="shared" ref="E40:R40" si="2">_xlfn.RANK.EQ(E39,$D39:$R39,0)</f>
        <v>1</v>
      </c>
      <c r="F40" s="21">
        <f t="shared" si="2"/>
        <v>1</v>
      </c>
      <c r="G40" s="21">
        <f t="shared" si="2"/>
        <v>1</v>
      </c>
      <c r="H40" s="21">
        <f t="shared" si="2"/>
        <v>1</v>
      </c>
      <c r="I40" s="21">
        <f t="shared" si="2"/>
        <v>1</v>
      </c>
      <c r="J40" s="21">
        <f t="shared" si="2"/>
        <v>1</v>
      </c>
      <c r="K40" s="21">
        <f t="shared" si="2"/>
        <v>1</v>
      </c>
      <c r="L40" s="21">
        <f t="shared" si="2"/>
        <v>1</v>
      </c>
      <c r="M40" s="21">
        <f t="shared" si="2"/>
        <v>1</v>
      </c>
      <c r="N40" s="21">
        <f t="shared" si="2"/>
        <v>1</v>
      </c>
      <c r="O40" s="21">
        <f t="shared" si="2"/>
        <v>1</v>
      </c>
      <c r="P40" s="21">
        <f t="shared" si="2"/>
        <v>1</v>
      </c>
      <c r="Q40" s="21">
        <f t="shared" si="2"/>
        <v>1</v>
      </c>
      <c r="R40" s="21">
        <f t="shared" si="2"/>
        <v>1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6" ht="32.450000000000003" customHeight="1" x14ac:dyDescent="0.25">
      <c r="A41" s="27" t="s">
        <v>25</v>
      </c>
      <c r="B41" s="26"/>
      <c r="C41" s="26"/>
      <c r="D41" s="11" t="e">
        <f>AVERAGE(V3:V38)</f>
        <v>#NUM!</v>
      </c>
      <c r="E41" s="11" t="e">
        <f t="shared" ref="E41:R41" si="3">AVERAGE(W3:W38)</f>
        <v>#NUM!</v>
      </c>
      <c r="F41" s="11" t="e">
        <f t="shared" si="3"/>
        <v>#NUM!</v>
      </c>
      <c r="G41" s="11" t="e">
        <f t="shared" si="3"/>
        <v>#NUM!</v>
      </c>
      <c r="H41" s="11" t="e">
        <f t="shared" si="3"/>
        <v>#NUM!</v>
      </c>
      <c r="I41" s="11" t="e">
        <f t="shared" si="3"/>
        <v>#NUM!</v>
      </c>
      <c r="J41" s="11" t="e">
        <f t="shared" si="3"/>
        <v>#NUM!</v>
      </c>
      <c r="K41" s="11" t="e">
        <f t="shared" si="3"/>
        <v>#NUM!</v>
      </c>
      <c r="L41" s="11" t="e">
        <f t="shared" si="3"/>
        <v>#NUM!</v>
      </c>
      <c r="M41" s="11" t="e">
        <f t="shared" si="3"/>
        <v>#NUM!</v>
      </c>
      <c r="N41" s="11" t="e">
        <f t="shared" si="3"/>
        <v>#NUM!</v>
      </c>
      <c r="O41" s="11" t="e">
        <f t="shared" si="3"/>
        <v>#NUM!</v>
      </c>
      <c r="P41" s="11" t="e">
        <f t="shared" si="3"/>
        <v>#NUM!</v>
      </c>
      <c r="Q41" s="11" t="e">
        <f t="shared" si="3"/>
        <v>#NUM!</v>
      </c>
      <c r="R41" s="11" t="e">
        <f t="shared" si="3"/>
        <v>#NUM!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6" ht="32.450000000000003" customHeight="1" x14ac:dyDescent="0.25">
      <c r="A42" s="28" t="s">
        <v>26</v>
      </c>
      <c r="B42" s="29"/>
      <c r="C42" s="29"/>
      <c r="D42" s="22" t="e">
        <f>_xlfn.RANK.EQ(D41,$D41:$R41,1)</f>
        <v>#NUM!</v>
      </c>
      <c r="E42" s="22" t="e">
        <f t="shared" ref="E42:R42" si="4">_xlfn.RANK.EQ(E41,$D41:$R41,1)</f>
        <v>#NUM!</v>
      </c>
      <c r="F42" s="22" t="e">
        <f t="shared" si="4"/>
        <v>#NUM!</v>
      </c>
      <c r="G42" s="22" t="e">
        <f t="shared" si="4"/>
        <v>#NUM!</v>
      </c>
      <c r="H42" s="22" t="e">
        <f t="shared" si="4"/>
        <v>#NUM!</v>
      </c>
      <c r="I42" s="22" t="e">
        <f t="shared" si="4"/>
        <v>#NUM!</v>
      </c>
      <c r="J42" s="22" t="e">
        <f t="shared" si="4"/>
        <v>#NUM!</v>
      </c>
      <c r="K42" s="22" t="e">
        <f t="shared" si="4"/>
        <v>#NUM!</v>
      </c>
      <c r="L42" s="22" t="e">
        <f t="shared" si="4"/>
        <v>#NUM!</v>
      </c>
      <c r="M42" s="22" t="e">
        <f t="shared" si="4"/>
        <v>#NUM!</v>
      </c>
      <c r="N42" s="22" t="e">
        <f t="shared" si="4"/>
        <v>#NUM!</v>
      </c>
      <c r="O42" s="22" t="e">
        <f t="shared" si="4"/>
        <v>#NUM!</v>
      </c>
      <c r="P42" s="22" t="e">
        <f t="shared" si="4"/>
        <v>#NUM!</v>
      </c>
      <c r="Q42" s="22" t="e">
        <f t="shared" si="4"/>
        <v>#NUM!</v>
      </c>
      <c r="R42" s="22" t="e">
        <f t="shared" si="4"/>
        <v>#NUM!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</sheetData>
  <mergeCells count="9">
    <mergeCell ref="A1:R1"/>
    <mergeCell ref="A40:C40"/>
    <mergeCell ref="A41:C41"/>
    <mergeCell ref="A42:C42"/>
    <mergeCell ref="A39:C39"/>
    <mergeCell ref="A3:A5"/>
    <mergeCell ref="A6:A17"/>
    <mergeCell ref="A18:A26"/>
    <mergeCell ref="A27:A38"/>
  </mergeCells>
  <phoneticPr fontId="3" type="noConversion"/>
  <conditionalFormatting sqref="D3:R3">
    <cfRule type="expression" dxfId="15" priority="12">
      <formula>ROUND(D3,2-INT(LOG10(ABS(D3))))= ROUND(MIN($D3:$R3),2-INT(LOG10(ABS(MIN($D3:$R3)))))</formula>
    </cfRule>
  </conditionalFormatting>
  <conditionalFormatting sqref="D6:R6">
    <cfRule type="expression" dxfId="14" priority="11">
      <formula>ROUND(D6,2-INT(LOG10(ABS(D6))))= ROUND(MIN($D6:$R6),2-INT(LOG10(ABS(MIN($D6:$R6)))))</formula>
    </cfRule>
  </conditionalFormatting>
  <conditionalFormatting sqref="D9:R9">
    <cfRule type="expression" dxfId="13" priority="10">
      <formula>ROUND(D9,2-INT(LOG10(ABS(D9))))= ROUND(MIN($D9:$R9),2-INT(LOG10(ABS(MIN($D9:$R9)))))</formula>
    </cfRule>
  </conditionalFormatting>
  <conditionalFormatting sqref="D12:R12">
    <cfRule type="expression" dxfId="12" priority="9">
      <formula>ROUND(D12,2-INT(LOG10(ABS(D12))))= ROUND(MIN($D12:$R12),2-INT(LOG10(ABS(MIN($D12:$R12)))))</formula>
    </cfRule>
  </conditionalFormatting>
  <conditionalFormatting sqref="D15:R15">
    <cfRule type="expression" dxfId="11" priority="8">
      <formula>ROUND(D15,2-INT(LOG10(ABS(D15))))= ROUND(MIN($D15:$R15),2-INT(LOG10(ABS(MIN($D15:$R15)))))</formula>
    </cfRule>
  </conditionalFormatting>
  <conditionalFormatting sqref="D18:R18">
    <cfRule type="expression" dxfId="10" priority="7">
      <formula>ROUND(D18,2-INT(LOG10(ABS(D18))))= ROUND(MIN($D18:$R18),2-INT(LOG10(ABS(MIN($D18:$R18)))))</formula>
    </cfRule>
  </conditionalFormatting>
  <conditionalFormatting sqref="D21:R21">
    <cfRule type="expression" dxfId="9" priority="6">
      <formula>ROUND(D21,2-INT(LOG10(ABS(D21))))= ROUND(MIN($D21:$R21),2-INT(LOG10(ABS(MIN($D21:$R21)))))</formula>
    </cfRule>
  </conditionalFormatting>
  <conditionalFormatting sqref="D24:R24">
    <cfRule type="expression" dxfId="8" priority="5">
      <formula>ROUND(D24,2-INT(LOG10(ABS(D24))))= ROUND(MIN($D24:$R24),2-INT(LOG10(ABS(MIN($D24:$R24)))))</formula>
    </cfRule>
  </conditionalFormatting>
  <conditionalFormatting sqref="D27:R27">
    <cfRule type="expression" dxfId="7" priority="4">
      <formula>ROUND(D27,2-INT(LOG10(ABS(D27))))= ROUND(MIN($D27:$R27),2-INT(LOG10(ABS(MIN($D27:$R27)))))</formula>
    </cfRule>
  </conditionalFormatting>
  <conditionalFormatting sqref="D30:R30">
    <cfRule type="expression" dxfId="6" priority="3">
      <formula>ROUND(D30,2-INT(LOG10(ABS(D30))))= ROUND(MIN($D30:$R30),2-INT(LOG10(ABS(MIN($D30:$R30)))))</formula>
    </cfRule>
  </conditionalFormatting>
  <conditionalFormatting sqref="D33:R33">
    <cfRule type="expression" dxfId="5" priority="2">
      <formula>ROUND(D33,2-INT(LOG10(ABS(D33))))= ROUND(MIN($D33:$R33),2-INT(LOG10(ABS(MIN($D33:$R33)))))</formula>
    </cfRule>
  </conditionalFormatting>
  <conditionalFormatting sqref="D36:R36">
    <cfRule type="expression" dxfId="4" priority="1">
      <formula>ROUND(D36,2-INT(LOG10(ABS(D36))))= ROUND(MIN($D36:$R36),2-INT(LOG10(ABS(MIN($D36:$R36)))))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zoomScaleNormal="100" workbookViewId="0">
      <selection activeCell="P2" sqref="P1:P1048576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  <col min="16" max="16" width="8.140625" customWidth="1"/>
  </cols>
  <sheetData>
    <row r="1" spans="1:16" ht="15.75" thickBot="1" x14ac:dyDescent="0.3">
      <c r="A1" s="32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2" t="s">
        <v>50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"/>
    </row>
    <row r="3" spans="1:16" x14ac:dyDescent="0.25">
      <c r="A3" s="3" t="s">
        <v>51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9" t="s">
        <v>52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9" t="s">
        <v>53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9" t="s">
        <v>54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9" t="s">
        <v>55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9" t="s">
        <v>56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9" t="s">
        <v>57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 t="s">
        <v>58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 t="s">
        <v>59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 t="s">
        <v>60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 t="s">
        <v>61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5" t="s">
        <v>62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conditionalFormatting sqref="B3:P14">
    <cfRule type="cellIs" dxfId="19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20" sqref="N20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6" ht="15.75" thickBot="1" x14ac:dyDescent="0.3">
      <c r="A1" s="32" t="s">
        <v>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2" t="s">
        <v>50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"/>
    </row>
    <row r="3" spans="1:16" x14ac:dyDescent="0.25">
      <c r="A3" s="3" t="s">
        <v>51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9" t="s">
        <v>52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25">
      <c r="A5" s="9" t="s">
        <v>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5">
      <c r="A6" s="9" t="s">
        <v>54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25">
      <c r="A7" s="9" t="s">
        <v>55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25">
      <c r="A8" s="9" t="s">
        <v>56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25">
      <c r="A9" s="9" t="s">
        <v>57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25">
      <c r="A10" s="9" t="s">
        <v>58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25">
      <c r="A11" s="9" t="s">
        <v>59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25">
      <c r="A12" s="9" t="s">
        <v>60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25">
      <c r="A13" s="9" t="s">
        <v>61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5">
      <c r="A14" s="5" t="s">
        <v>62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</sheetData>
  <mergeCells count="1">
    <mergeCell ref="A1:P1"/>
  </mergeCells>
  <conditionalFormatting sqref="B3:P14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>
      <selection activeCell="B3" sqref="B3:J14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6" ht="15.75" thickBot="1" x14ac:dyDescent="0.3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2" t="s">
        <v>50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"/>
    </row>
    <row r="3" spans="1:16" x14ac:dyDescent="0.25">
      <c r="A3" s="3" t="s">
        <v>51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9" t="s">
        <v>52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9" t="s">
        <v>53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9" t="s">
        <v>54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9" t="s">
        <v>55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9" t="s">
        <v>56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9" t="s">
        <v>57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 t="s">
        <v>58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 t="s">
        <v>59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 t="s">
        <v>60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 t="s">
        <v>61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5" t="s">
        <v>62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</sheetData>
  <mergeCells count="1">
    <mergeCell ref="A1:P1"/>
  </mergeCells>
  <conditionalFormatting sqref="B3:P14">
    <cfRule type="cellIs" dxfId="17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>
      <selection activeCell="H25" sqref="H25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6" ht="15.75" thickBot="1" x14ac:dyDescent="0.3">
      <c r="A1" s="32" t="s">
        <v>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2" t="s">
        <v>50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"/>
    </row>
    <row r="3" spans="1:16" x14ac:dyDescent="0.25">
      <c r="A3" s="3" t="s">
        <v>51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9" t="s">
        <v>52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25">
      <c r="A5" s="9" t="s">
        <v>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5">
      <c r="A6" s="9" t="s">
        <v>54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25">
      <c r="A7" s="9" t="s">
        <v>55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25">
      <c r="A8" s="9" t="s">
        <v>56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25">
      <c r="A9" s="9" t="s">
        <v>57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25">
      <c r="A10" s="9" t="s">
        <v>58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25">
      <c r="A11" s="9" t="s">
        <v>59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25">
      <c r="A12" s="9" t="s">
        <v>60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25">
      <c r="A13" s="9" t="s">
        <v>61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5">
      <c r="A14" s="5" t="s">
        <v>62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</sheetData>
  <mergeCells count="1">
    <mergeCell ref="A1:P1"/>
  </mergeCells>
  <conditionalFormatting sqref="B3:P14">
    <cfRule type="cellIs" dxfId="16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workbookViewId="0">
      <selection activeCell="H26" sqref="H26"/>
    </sheetView>
  </sheetViews>
  <sheetFormatPr defaultColWidth="8.85546875" defaultRowHeight="15" x14ac:dyDescent="0.25"/>
  <cols>
    <col min="1" max="1" width="8.7109375" style="13" bestFit="1" customWidth="1"/>
    <col min="2" max="9" width="15.140625" style="13" bestFit="1" customWidth="1"/>
    <col min="10" max="15" width="16.140625" style="13" bestFit="1" customWidth="1"/>
    <col min="16" max="16384" width="8.85546875" style="13"/>
  </cols>
  <sheetData>
    <row r="1" spans="1:16" ht="15.75" thickBot="1" x14ac:dyDescent="0.3">
      <c r="A1" s="32" t="s">
        <v>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14" t="s">
        <v>50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4"/>
    </row>
    <row r="3" spans="1:16" x14ac:dyDescent="0.25">
      <c r="A3" s="15" t="s">
        <v>51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25">
      <c r="A4" s="16" t="s">
        <v>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x14ac:dyDescent="0.25">
      <c r="A5" s="16" t="s">
        <v>53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x14ac:dyDescent="0.25">
      <c r="A6" s="16" t="s">
        <v>54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x14ac:dyDescent="0.25">
      <c r="A7" s="16" t="s">
        <v>55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x14ac:dyDescent="0.25">
      <c r="A8" s="16" t="s">
        <v>56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x14ac:dyDescent="0.25">
      <c r="A9" s="16" t="s">
        <v>57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5">
      <c r="A10" s="16" t="s">
        <v>58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 x14ac:dyDescent="0.25">
      <c r="A11" s="16" t="s">
        <v>59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16" x14ac:dyDescent="0.25">
      <c r="A12" s="16" t="s">
        <v>60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x14ac:dyDescent="0.25">
      <c r="A13" s="16" t="s">
        <v>61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x14ac:dyDescent="0.25">
      <c r="A14" s="17" t="s">
        <v>62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E21" sqref="E21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2026-08-03T06:21:45Z</dcterms:modified>
</cp:coreProperties>
</file>