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tiHub\Repositories\Base-Optimization-Framework\src\results\results_template\CEC2022\"/>
    </mc:Choice>
  </mc:AlternateContent>
  <xr:revisionPtr revIDLastSave="0" documentId="13_ncr:1_{BF5DF8C9-E480-4D16-AE83-A1EBE80D6D42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Conclusions" sheetId="2" r:id="rId1"/>
    <sheet name="TTest_p" sheetId="4" r:id="rId2"/>
    <sheet name="TTest_h" sheetId="5" r:id="rId3"/>
    <sheet name="Wilcoxon_p" sheetId="6" r:id="rId4"/>
    <sheet name="Wilcoxon_h" sheetId="7" r:id="rId5"/>
    <sheet name="Wilcoxon_stat" sheetId="8" r:id="rId6"/>
    <sheet name="Explanation" sheetId="9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2" l="1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V2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AJ3" i="2"/>
  <c r="R41" i="2" s="1"/>
  <c r="R42" i="2" s="1"/>
  <c r="AI3" i="2"/>
  <c r="Q41" i="2" s="1"/>
  <c r="Q42" i="2" s="1"/>
  <c r="AH3" i="2"/>
  <c r="P41" i="2" s="1"/>
  <c r="P42" i="2" s="1"/>
  <c r="AG3" i="2"/>
  <c r="AF3" i="2"/>
  <c r="AE3" i="2"/>
  <c r="AD3" i="2"/>
  <c r="AC3" i="2"/>
  <c r="AB3" i="2"/>
  <c r="AA3" i="2"/>
  <c r="Z3" i="2"/>
  <c r="Y3" i="2"/>
  <c r="X3" i="2"/>
  <c r="W3" i="2"/>
  <c r="V3" i="2"/>
  <c r="K39" i="2" l="1"/>
  <c r="D41" i="2"/>
  <c r="I39" i="2"/>
  <c r="J41" i="2"/>
  <c r="E39" i="2"/>
  <c r="M39" i="2"/>
  <c r="J39" i="2"/>
  <c r="F39" i="2"/>
  <c r="G39" i="2"/>
  <c r="H39" i="2"/>
  <c r="N39" i="2"/>
  <c r="O39" i="2"/>
  <c r="H41" i="2"/>
  <c r="Q39" i="2"/>
  <c r="L41" i="2"/>
  <c r="P39" i="2"/>
  <c r="R39" i="2"/>
  <c r="I41" i="2"/>
  <c r="K41" i="2"/>
  <c r="M41" i="2"/>
  <c r="D39" i="2"/>
  <c r="L39" i="2"/>
  <c r="F41" i="2"/>
  <c r="F42" i="2" s="1"/>
  <c r="N41" i="2"/>
  <c r="N42" i="2" s="1"/>
  <c r="E41" i="2"/>
  <c r="G41" i="2"/>
  <c r="O41" i="2"/>
  <c r="O42" i="2" s="1"/>
  <c r="D40" i="2" l="1"/>
  <c r="L40" i="2"/>
  <c r="I40" i="2"/>
  <c r="R40" i="2"/>
  <c r="F40" i="2"/>
  <c r="J40" i="2"/>
  <c r="Q40" i="2"/>
  <c r="M40" i="2"/>
  <c r="L42" i="2"/>
  <c r="K42" i="2"/>
  <c r="D42" i="2"/>
  <c r="K40" i="2"/>
  <c r="N40" i="2"/>
  <c r="E40" i="2"/>
  <c r="G42" i="2"/>
  <c r="J42" i="2"/>
  <c r="M42" i="2"/>
  <c r="P40" i="2"/>
  <c r="I42" i="2"/>
  <c r="O40" i="2"/>
  <c r="E42" i="2"/>
  <c r="H42" i="2"/>
  <c r="G40" i="2"/>
  <c r="H40" i="2"/>
</calcChain>
</file>

<file path=xl/sharedStrings.xml><?xml version="1.0" encoding="utf-8"?>
<sst xmlns="http://schemas.openxmlformats.org/spreadsheetml/2006/main" count="292" uniqueCount="82">
  <si>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</si>
  <si>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</si>
  <si>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</si>
  <si>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</si>
  <si>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</si>
  <si>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</si>
  <si>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</si>
  <si>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</si>
  <si>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</si>
  <si>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</si>
  <si>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</si>
  <si>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</si>
  <si>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Mean</t>
  </si>
  <si>
    <t>Std</t>
  </si>
  <si>
    <t>CPU</t>
  </si>
  <si>
    <t>Unimodal
Functions</t>
  </si>
  <si>
    <t>Composition
Functions</t>
  </si>
  <si>
    <t>Functions</t>
  </si>
  <si>
    <t>Column1</t>
  </si>
  <si>
    <t>Column2</t>
  </si>
  <si>
    <t>Basic
Functions</t>
  </si>
  <si>
    <t>Hybrid
Functions</t>
  </si>
  <si>
    <t>Comparison of optimization results for the CEC benchmark functions 2022 (10 Dim)</t>
  </si>
  <si>
    <t>Total number of 
best answers</t>
  </si>
  <si>
    <t>Rank by total number of 
best answers</t>
  </si>
  <si>
    <t>Average rating in the set</t>
  </si>
  <si>
    <t>Rank based on 
the average in the set</t>
  </si>
  <si>
    <t>P-value of the Wilcoxon analysis for the CEC benchmark functions 2022 (10 Dim)</t>
  </si>
  <si>
    <t>Algoritm 1</t>
  </si>
  <si>
    <t>Algoritm 2</t>
  </si>
  <si>
    <t>Algoritm 3</t>
  </si>
  <si>
    <t>Algoritm 4</t>
  </si>
  <si>
    <t>Algoritm 5</t>
  </si>
  <si>
    <t>Algoritm 6</t>
  </si>
  <si>
    <t>Algoritm 7</t>
  </si>
  <si>
    <t>Algoritm 8</t>
  </si>
  <si>
    <t>Algoritm 9</t>
  </si>
  <si>
    <t>Algoritm 10</t>
  </si>
  <si>
    <t>Algoritm 11</t>
  </si>
  <si>
    <t>Algoritm 12</t>
  </si>
  <si>
    <t>Algoritm 13</t>
  </si>
  <si>
    <t>Algoritm 14</t>
  </si>
  <si>
    <t>Algoritm 15</t>
  </si>
  <si>
    <t>P-value of the T-test analysis for the CEC benchmark functions 2022 (10 Dim)</t>
  </si>
  <si>
    <t>H-value of the T-test analysis for the CEC benchmark functions 2022 (10 Dim)</t>
  </si>
  <si>
    <t>H-value of the Wilcoxon analysis for the CEC benchmark functions 2022 (10 Dim)</t>
  </si>
  <si>
    <t>State of the Wilcoxon analysis for the CEC benchmark functions 2022 (10 Dim)</t>
  </si>
  <si>
    <t>Mean</t>
  </si>
  <si>
    <t>Std</t>
  </si>
  <si>
    <t>CPU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</si>
  <si>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</si>
  <si>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</si>
  <si>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</si>
  <si>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</si>
  <si>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</si>
  <si>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</si>
  <si>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</si>
  <si>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</si>
  <si>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</si>
  <si>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</si>
  <si>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</si>
  <si>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</si>
  <si>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</si>
  <si>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Conclusions: Mean, Std, CPU per function and algorithm</t>
  </si>
  <si>
    <t>Raw data: per-algorithm time series in separate files</t>
  </si>
  <si>
    <t>TTest_p: p-values of paired t-test (first vs others)</t>
  </si>
  <si>
    <t>TTest_h: hReject flags of paired t-test</t>
  </si>
  <si>
    <t>Wilcoxon_p/h/stat: p-values, hFlags, and signed-rank stats</t>
  </si>
  <si>
    <t>alg_base vs alg2</t>
  </si>
  <si>
    <t>alg_base vs alg3</t>
  </si>
  <si>
    <t>alg_base vs alg4</t>
  </si>
  <si>
    <t>alg_base vs alg5</t>
  </si>
  <si>
    <t>alg_base vs alg6</t>
  </si>
  <si>
    <t>alg_base vs alg7</t>
  </si>
  <si>
    <t>alg_base vs alg8</t>
  </si>
  <si>
    <t>alg_base vs alg9</t>
  </si>
  <si>
    <t>alg_base vs alg10</t>
  </si>
  <si>
    <t>alg_base vs alg11</t>
  </si>
  <si>
    <t>alg_base vs alg12</t>
  </si>
  <si>
    <t>alg_base vs alg13</t>
  </si>
  <si>
    <t>alg_base vs alg14</t>
  </si>
  <si>
    <t>alg_base vs alg15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</si>
</sst>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name val="Calibri"/>
    </font>
    <font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2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11" fontId="0" fillId="0" borderId="3" xfId="0" applyNumberFormat="1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164" fontId="0" fillId="0" borderId="4" xfId="0" applyNumberFormat="1" applyBorder="1" applyAlignment="1">
      <alignment horizontal="left" vertical="top"/>
    </xf>
    <xf numFmtId="0" fontId="0" fillId="0" borderId="0" xfId="0" applyAlignment="1">
      <alignment horizontal="left" vertical="top"/>
    </xf>
    <xf numFmtId="11" fontId="0" fillId="0" borderId="5" xfId="0" applyNumberFormat="1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11" fontId="0" fillId="0" borderId="4" xfId="0" applyNumberFormat="1" applyBorder="1" applyAlignment="1">
      <alignment horizontal="left" vertical="top"/>
    </xf>
    <xf numFmtId="2" fontId="0" fillId="0" borderId="5" xfId="0" applyNumberFormat="1" applyBorder="1" applyAlignment="1">
      <alignment horizontal="left" vertical="top"/>
    </xf>
    <xf numFmtId="0" fontId="1" fillId="0" borderId="4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4" xfId="0" applyBorder="1" applyAlignment="1">
      <alignment horizontal="left"/>
    </xf>
    <xf numFmtId="1" fontId="0" fillId="0" borderId="3" xfId="0" applyNumberFormat="1" applyBorder="1" applyAlignment="1">
      <alignment horizontal="left" vertical="top"/>
    </xf>
    <xf numFmtId="1" fontId="0" fillId="0" borderId="5" xfId="0" applyNumberFormat="1" applyBorder="1" applyAlignment="1">
      <alignment horizontal="left" vertical="top"/>
    </xf>
    <xf numFmtId="1" fontId="0" fillId="0" borderId="4" xfId="0" applyNumberFormat="1" applyBorder="1" applyAlignment="1">
      <alignment horizontal="left" vertical="top"/>
    </xf>
    <xf numFmtId="11" fontId="2" fillId="0" borderId="6" xfId="0" applyNumberFormat="1" applyFont="1" applyBorder="1" applyAlignment="1">
      <alignment horizontal="left" vertical="top"/>
    </xf>
    <xf numFmtId="0" fontId="1" fillId="0" borderId="5" xfId="0" applyFont="1" applyBorder="1" applyAlignment="1">
      <alignment horizontal="left" vertical="top" wrapText="1"/>
    </xf>
    <xf numFmtId="0" fontId="0" fillId="0" borderId="5" xfId="0" applyBorder="1" applyAlignment="1">
      <alignment horizontal="left" vertical="top"/>
    </xf>
    <xf numFmtId="0" fontId="1" fillId="0" borderId="5" xfId="0" applyFont="1" applyBorder="1" applyAlignment="1">
      <alignment horizontal="left" vertical="top"/>
    </xf>
    <xf numFmtId="0" fontId="1" fillId="0" borderId="4" xfId="0" applyFont="1" applyBorder="1" applyAlignment="1">
      <alignment horizontal="left" vertical="top" wrapText="1"/>
    </xf>
    <xf numFmtId="0" fontId="0" fillId="0" borderId="4" xfId="0" applyBorder="1" applyAlignment="1">
      <alignment horizontal="left" vertical="top"/>
    </xf>
    <xf numFmtId="0" fontId="1" fillId="0" borderId="3" xfId="0" applyFont="1" applyBorder="1" applyAlignment="1">
      <alignment horizontal="left" vertical="top" wrapText="1"/>
    </xf>
    <xf numFmtId="0" fontId="0" fillId="0" borderId="3" xfId="0" applyBorder="1" applyAlignment="1">
      <alignment horizontal="left" vertical="top"/>
    </xf>
    <xf numFmtId="0" fontId="2" fillId="0" borderId="6" xfId="0" applyFont="1" applyBorder="1" applyAlignment="1">
      <alignment horizontal="left" vertical="top"/>
    </xf>
  </cellXfs>
  <cellStyles count="1">
    <cellStyle name="Normal" xfId="0" builtinId="0"/>
  </cellStyles>
  <dxfs count="21">
    <dxf>
      <font>
        <b/>
        <i val="0"/>
        <u/>
      </font>
    </dxf>
    <dxf>
      <font>
        <b/>
        <i val="0"/>
        <u/>
      </font>
    </dxf>
    <dxf>
      <font>
        <b/>
        <i val="0"/>
        <u/>
      </font>
    </dxf>
    <dxf>
      <font>
        <b/>
        <i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border outline="0">
        <top style="thin">
          <color indexed="64"/>
        </top>
        <bottom style="thin">
          <color indexed="64"/>
        </bottom>
      </border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S2:T38" totalsRowShown="0" headerRowDxfId="20" dataDxfId="19" tableBorderDxfId="18">
  <autoFilter ref="S2:T38" xr:uid="{00000000-0009-0000-0100-000001000000}"/>
  <tableColumns count="2">
    <tableColumn id="1" xr3:uid="{00000000-0010-0000-0000-000001000000}" name="Column1" dataDxfId="17"/>
    <tableColumn id="2" xr3:uid="{00000000-0010-0000-0000-000002000000}" name="Column2" dataDxfId="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42"/>
  <sheetViews>
    <sheetView tabSelected="1" workbookViewId="0">
      <selection activeCell="W40" sqref="W40"/>
    </sheetView>
  </sheetViews>
  <sheetFormatPr defaultColWidth="8.85546875" defaultRowHeight="15" x14ac:dyDescent="0.25"/>
  <cols>
    <col min="1" max="1" width="11.140625" style="8" bestFit="1" customWidth="1"/>
    <col min="2" max="2" width="4" style="8" bestFit="1" customWidth="1"/>
    <col min="3" max="3" width="6" style="8" bestFit="1" customWidth="1"/>
    <col min="4" max="12" width="10.140625" style="8" bestFit="1" customWidth="1"/>
    <col min="13" max="20" width="11.140625" style="8" bestFit="1" customWidth="1"/>
    <col min="21" max="21" width="8.85546875" style="8"/>
    <col min="22" max="30" width="10.140625" bestFit="1" customWidth="1"/>
    <col min="31" max="32" width="11.140625" bestFit="1" customWidth="1"/>
    <col min="33" max="36" width="11.140625" style="8" bestFit="1" customWidth="1"/>
    <col min="37" max="16384" width="8.85546875" style="8"/>
  </cols>
  <sheetData>
    <row r="1" spans="1:36" ht="15.75" thickBot="1" x14ac:dyDescent="0.3">
      <c r="A1" s="22" t="s">
        <v>22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</row>
    <row r="2" spans="1:36" x14ac:dyDescent="0.25">
      <c r="A2" s="13" t="s">
        <v>17</v>
      </c>
      <c r="B2" s="13"/>
      <c r="C2" s="13"/>
      <c r="D2" s="13" t="s">
        <v>28</v>
      </c>
      <c r="E2" s="13" t="s">
        <v>29</v>
      </c>
      <c r="F2" s="13" t="s">
        <v>30</v>
      </c>
      <c r="G2" s="13" t="s">
        <v>31</v>
      </c>
      <c r="H2" s="13" t="s">
        <v>32</v>
      </c>
      <c r="I2" s="13" t="s">
        <v>33</v>
      </c>
      <c r="J2" s="13" t="s">
        <v>34</v>
      </c>
      <c r="K2" s="13" t="s">
        <v>35</v>
      </c>
      <c r="L2" s="13" t="s">
        <v>36</v>
      </c>
      <c r="M2" s="13" t="s">
        <v>37</v>
      </c>
      <c r="N2" s="13" t="s">
        <v>38</v>
      </c>
      <c r="O2" s="13" t="s">
        <v>39</v>
      </c>
      <c r="P2" s="13" t="s">
        <v>40</v>
      </c>
      <c r="Q2" s="13" t="s">
        <v>41</v>
      </c>
      <c r="R2" s="13" t="s">
        <v>42</v>
      </c>
      <c r="S2" s="5" t="s">
        <v>18</v>
      </c>
      <c r="T2" s="5" t="s">
        <v>19</v>
      </c>
      <c r="V2" s="1" t="str">
        <f>D2</f>
        <v>Algoritm 1</v>
      </c>
      <c r="W2" s="1" t="str">
        <f t="shared" ref="W2:AJ2" si="0">E2</f>
        <v>Algoritm 2</v>
      </c>
      <c r="X2" s="1" t="str">
        <f t="shared" si="0"/>
        <v>Algoritm 3</v>
      </c>
      <c r="Y2" s="1" t="str">
        <f t="shared" si="0"/>
        <v>Algoritm 4</v>
      </c>
      <c r="Z2" s="1" t="str">
        <f t="shared" si="0"/>
        <v>Algoritm 5</v>
      </c>
      <c r="AA2" s="1" t="str">
        <f t="shared" si="0"/>
        <v>Algoritm 6</v>
      </c>
      <c r="AB2" s="1" t="str">
        <f t="shared" si="0"/>
        <v>Algoritm 7</v>
      </c>
      <c r="AC2" s="1" t="str">
        <f t="shared" si="0"/>
        <v>Algoritm 8</v>
      </c>
      <c r="AD2" s="1" t="str">
        <f t="shared" si="0"/>
        <v>Algoritm 9</v>
      </c>
      <c r="AE2" s="1" t="str">
        <f t="shared" si="0"/>
        <v>Algoritm 10</v>
      </c>
      <c r="AF2" s="1" t="str">
        <f t="shared" si="0"/>
        <v>Algoritm 11</v>
      </c>
      <c r="AG2" s="1" t="str">
        <f t="shared" si="0"/>
        <v>Algoritm 12</v>
      </c>
      <c r="AH2" s="1" t="str">
        <f t="shared" si="0"/>
        <v>Algoritm 13</v>
      </c>
      <c r="AI2" s="1" t="str">
        <f t="shared" si="0"/>
        <v>Algoritm 14</v>
      </c>
      <c r="AJ2" s="1" t="str">
        <f t="shared" si="0"/>
        <v>Algoritm 15</v>
      </c>
    </row>
    <row r="3" spans="1:36" ht="14.45" customHeight="1" x14ac:dyDescent="0.25">
      <c r="A3" s="28" t="s">
        <v>15</v>
      </c>
      <c r="B3" s="3" t="s">
        <v>51</v>
      </c>
      <c r="C3" s="3" t="s">
        <v>47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3" t="s">
        <v>0</v>
      </c>
      <c r="T3" s="3" t="s">
        <v>12</v>
      </c>
      <c r="V3" s="8" t="e">
        <f>_xlfn.RANK.EQ(D3,$D3:$R3,1)</f>
        <v>#N/A</v>
      </c>
      <c r="W3" s="8" t="e">
        <f>_xlfn.RANK.EQ(E3,$D3:$R3,1)</f>
        <v>#N/A</v>
      </c>
      <c r="X3" s="8" t="e">
        <f>_xlfn.RANK.EQ(F3,$D3:$R3,1)</f>
        <v>#N/A</v>
      </c>
      <c r="Y3" s="8" t="e">
        <f>_xlfn.RANK.EQ(G3,$D3:$R3,1)</f>
        <v>#N/A</v>
      </c>
      <c r="Z3" s="8" t="e">
        <f>_xlfn.RANK.EQ(H3,$D3:$R3,1)</f>
        <v>#N/A</v>
      </c>
      <c r="AA3" s="8" t="e">
        <f>_xlfn.RANK.EQ(I3,$D3:$R3,1)</f>
        <v>#N/A</v>
      </c>
      <c r="AB3" s="8" t="e">
        <f>_xlfn.RANK.EQ(J3,$D3:$R3,1)</f>
        <v>#N/A</v>
      </c>
      <c r="AC3" s="8" t="e">
        <f>_xlfn.RANK.EQ(K3,$D3:$R3,1)</f>
        <v>#N/A</v>
      </c>
      <c r="AD3" s="8" t="e">
        <f>_xlfn.RANK.EQ(L3,$D3:$R3,1)</f>
        <v>#N/A</v>
      </c>
      <c r="AE3" s="8" t="e">
        <f>_xlfn.RANK.EQ(M3,$D3:$R3,1)</f>
        <v>#N/A</v>
      </c>
      <c r="AF3" s="8" t="e">
        <f>_xlfn.RANK.EQ(N3,$D3:$R3,1)</f>
        <v>#N/A</v>
      </c>
      <c r="AG3" s="8" t="e">
        <f>_xlfn.RANK.EQ(O3,$D3:$R3,1)</f>
        <v>#N/A</v>
      </c>
      <c r="AH3" s="8" t="e">
        <f>_xlfn.RANK.EQ(P3,$D3:$R3,1)</f>
        <v>#N/A</v>
      </c>
      <c r="AI3" s="8" t="e">
        <f>_xlfn.RANK.EQ(Q3,$D3:$R3,1)</f>
        <v>#N/A</v>
      </c>
      <c r="AJ3" s="8" t="e">
        <f>_xlfn.RANK.EQ(R3,$D3:$R3,1)</f>
        <v>#N/A</v>
      </c>
    </row>
    <row r="4" spans="1:36" x14ac:dyDescent="0.25">
      <c r="A4" s="23"/>
      <c r="B4" s="10" t="s">
        <v>51</v>
      </c>
      <c r="C4" s="10" t="s">
        <v>48</v>
      </c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5"/>
      <c r="T4" s="5" t="s">
        <v>13</v>
      </c>
      <c r="V4" s="8"/>
      <c r="W4" s="8"/>
      <c r="X4" s="8"/>
      <c r="Y4" s="8"/>
      <c r="Z4" s="8"/>
      <c r="AA4" s="8"/>
      <c r="AB4" s="8"/>
      <c r="AC4" s="8"/>
      <c r="AD4" s="8"/>
      <c r="AE4" s="8"/>
      <c r="AF4" s="8"/>
    </row>
    <row r="5" spans="1:36" x14ac:dyDescent="0.25">
      <c r="A5" s="26"/>
      <c r="B5" s="6" t="s">
        <v>51</v>
      </c>
      <c r="C5" s="6" t="s">
        <v>49</v>
      </c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6"/>
      <c r="T5" s="6" t="s">
        <v>14</v>
      </c>
      <c r="V5" s="8"/>
      <c r="W5" s="8"/>
      <c r="X5" s="8"/>
      <c r="Y5" s="8"/>
      <c r="Z5" s="8"/>
      <c r="AA5" s="8"/>
      <c r="AB5" s="8"/>
      <c r="AC5" s="8"/>
      <c r="AD5" s="8"/>
      <c r="AE5" s="8"/>
      <c r="AF5" s="8"/>
    </row>
    <row r="6" spans="1:36" x14ac:dyDescent="0.25">
      <c r="A6" s="28" t="s">
        <v>20</v>
      </c>
      <c r="B6" s="3" t="s">
        <v>52</v>
      </c>
      <c r="C6" s="3" t="s">
        <v>47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3" t="s">
        <v>1</v>
      </c>
      <c r="T6" s="3" t="s">
        <v>12</v>
      </c>
      <c r="V6" s="8" t="e">
        <f>_xlfn.RANK.EQ(D6,$D6:$R6,1)</f>
        <v>#N/A</v>
      </c>
      <c r="W6" s="8" t="e">
        <f>_xlfn.RANK.EQ(E6,$D6:$R6,1)</f>
        <v>#N/A</v>
      </c>
      <c r="X6" s="8" t="e">
        <f>_xlfn.RANK.EQ(F6,$D6:$R6,1)</f>
        <v>#N/A</v>
      </c>
      <c r="Y6" s="8" t="e">
        <f>_xlfn.RANK.EQ(G6,$D6:$R6,1)</f>
        <v>#N/A</v>
      </c>
      <c r="Z6" s="8" t="e">
        <f>_xlfn.RANK.EQ(H6,$D6:$R6,1)</f>
        <v>#N/A</v>
      </c>
      <c r="AA6" s="8" t="e">
        <f>_xlfn.RANK.EQ(I6,$D6:$R6,1)</f>
        <v>#N/A</v>
      </c>
      <c r="AB6" s="8" t="e">
        <f>_xlfn.RANK.EQ(J6,$D6:$R6,1)</f>
        <v>#N/A</v>
      </c>
      <c r="AC6" s="8" t="e">
        <f>_xlfn.RANK.EQ(K6,$D6:$R6,1)</f>
        <v>#N/A</v>
      </c>
      <c r="AD6" s="8" t="e">
        <f>_xlfn.RANK.EQ(L6,$D6:$R6,1)</f>
        <v>#N/A</v>
      </c>
      <c r="AE6" s="8" t="e">
        <f>_xlfn.RANK.EQ(M6,$D6:$R6,1)</f>
        <v>#N/A</v>
      </c>
      <c r="AF6" s="8" t="e">
        <f>_xlfn.RANK.EQ(N6,$D6:$R6,1)</f>
        <v>#N/A</v>
      </c>
      <c r="AG6" s="8" t="e">
        <f>_xlfn.RANK.EQ(O6,$D6:$R6,1)</f>
        <v>#N/A</v>
      </c>
      <c r="AH6" s="8" t="e">
        <f>_xlfn.RANK.EQ(P6,$D6:$R6,1)</f>
        <v>#N/A</v>
      </c>
      <c r="AI6" s="8" t="e">
        <f>_xlfn.RANK.EQ(Q6,$D6:$R6,1)</f>
        <v>#N/A</v>
      </c>
      <c r="AJ6" s="8" t="e">
        <f>_xlfn.RANK.EQ(R6,$D6:$R6,1)</f>
        <v>#N/A</v>
      </c>
    </row>
    <row r="7" spans="1:36" x14ac:dyDescent="0.25">
      <c r="A7" s="23"/>
      <c r="B7" s="10" t="s">
        <v>52</v>
      </c>
      <c r="C7" s="10" t="s">
        <v>48</v>
      </c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5"/>
      <c r="T7" s="5" t="s">
        <v>13</v>
      </c>
      <c r="V7" s="8"/>
      <c r="W7" s="8"/>
      <c r="X7" s="8"/>
      <c r="Y7" s="8"/>
      <c r="Z7" s="8"/>
      <c r="AA7" s="8"/>
      <c r="AB7" s="8"/>
      <c r="AC7" s="8"/>
      <c r="AD7" s="8"/>
      <c r="AE7" s="8"/>
      <c r="AF7" s="8"/>
    </row>
    <row r="8" spans="1:36" x14ac:dyDescent="0.25">
      <c r="A8" s="23"/>
      <c r="B8" s="6" t="s">
        <v>52</v>
      </c>
      <c r="C8" s="6" t="s">
        <v>49</v>
      </c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6"/>
      <c r="T8" s="6" t="s">
        <v>14</v>
      </c>
      <c r="V8" s="8"/>
      <c r="W8" s="8"/>
      <c r="X8" s="8"/>
      <c r="Y8" s="8"/>
      <c r="Z8" s="8"/>
      <c r="AA8" s="8"/>
      <c r="AB8" s="8"/>
      <c r="AC8" s="8"/>
      <c r="AD8" s="8"/>
      <c r="AE8" s="8"/>
      <c r="AF8" s="8"/>
    </row>
    <row r="9" spans="1:36" x14ac:dyDescent="0.25">
      <c r="A9" s="23"/>
      <c r="B9" s="3" t="s">
        <v>53</v>
      </c>
      <c r="C9" s="3" t="s">
        <v>47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3" t="s">
        <v>2</v>
      </c>
      <c r="T9" s="3" t="s">
        <v>12</v>
      </c>
      <c r="V9" s="8" t="e">
        <f>_xlfn.RANK.EQ(D9,$D9:$R9,1)</f>
        <v>#N/A</v>
      </c>
      <c r="W9" s="8" t="e">
        <f>_xlfn.RANK.EQ(E9,$D9:$R9,1)</f>
        <v>#N/A</v>
      </c>
      <c r="X9" s="8" t="e">
        <f>_xlfn.RANK.EQ(F9,$D9:$R9,1)</f>
        <v>#N/A</v>
      </c>
      <c r="Y9" s="8" t="e">
        <f>_xlfn.RANK.EQ(G9,$D9:$R9,1)</f>
        <v>#N/A</v>
      </c>
      <c r="Z9" s="8" t="e">
        <f>_xlfn.RANK.EQ(H9,$D9:$R9,1)</f>
        <v>#N/A</v>
      </c>
      <c r="AA9" s="8" t="e">
        <f>_xlfn.RANK.EQ(I9,$D9:$R9,1)</f>
        <v>#N/A</v>
      </c>
      <c r="AB9" s="8" t="e">
        <f>_xlfn.RANK.EQ(J9,$D9:$R9,1)</f>
        <v>#N/A</v>
      </c>
      <c r="AC9" s="8" t="e">
        <f>_xlfn.RANK.EQ(K9,$D9:$R9,1)</f>
        <v>#N/A</v>
      </c>
      <c r="AD9" s="8" t="e">
        <f>_xlfn.RANK.EQ(L9,$D9:$R9,1)</f>
        <v>#N/A</v>
      </c>
      <c r="AE9" s="8" t="e">
        <f>_xlfn.RANK.EQ(M9,$D9:$R9,1)</f>
        <v>#N/A</v>
      </c>
      <c r="AF9" s="8" t="e">
        <f>_xlfn.RANK.EQ(N9,$D9:$R9,1)</f>
        <v>#N/A</v>
      </c>
      <c r="AG9" s="8" t="e">
        <f>_xlfn.RANK.EQ(O9,$D9:$R9,1)</f>
        <v>#N/A</v>
      </c>
      <c r="AH9" s="8" t="e">
        <f>_xlfn.RANK.EQ(P9,$D9:$R9,1)</f>
        <v>#N/A</v>
      </c>
      <c r="AI9" s="8" t="e">
        <f>_xlfn.RANK.EQ(Q9,$D9:$R9,1)</f>
        <v>#N/A</v>
      </c>
      <c r="AJ9" s="8" t="e">
        <f>_xlfn.RANK.EQ(R9,$D9:$R9,1)</f>
        <v>#N/A</v>
      </c>
    </row>
    <row r="10" spans="1:36" x14ac:dyDescent="0.25">
      <c r="A10" s="23"/>
      <c r="B10" s="10" t="s">
        <v>53</v>
      </c>
      <c r="C10" s="10" t="s">
        <v>48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5"/>
      <c r="T10" s="5" t="s">
        <v>13</v>
      </c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</row>
    <row r="11" spans="1:36" x14ac:dyDescent="0.25">
      <c r="A11" s="23"/>
      <c r="B11" s="6" t="s">
        <v>53</v>
      </c>
      <c r="C11" s="6" t="s">
        <v>49</v>
      </c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6"/>
      <c r="T11" s="6" t="s">
        <v>14</v>
      </c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</row>
    <row r="12" spans="1:36" ht="14.45" customHeight="1" x14ac:dyDescent="0.25">
      <c r="A12" s="23"/>
      <c r="B12" s="3" t="s">
        <v>54</v>
      </c>
      <c r="C12" s="3" t="s">
        <v>47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3" t="s">
        <v>3</v>
      </c>
      <c r="T12" s="3" t="s">
        <v>12</v>
      </c>
      <c r="V12" s="8" t="e">
        <f>_xlfn.RANK.EQ(D12,$D12:$R12,1)</f>
        <v>#N/A</v>
      </c>
      <c r="W12" s="8" t="e">
        <f>_xlfn.RANK.EQ(E12,$D12:$R12,1)</f>
        <v>#N/A</v>
      </c>
      <c r="X12" s="8" t="e">
        <f>_xlfn.RANK.EQ(F12,$D12:$R12,1)</f>
        <v>#N/A</v>
      </c>
      <c r="Y12" s="8" t="e">
        <f>_xlfn.RANK.EQ(G12,$D12:$R12,1)</f>
        <v>#N/A</v>
      </c>
      <c r="Z12" s="8" t="e">
        <f>_xlfn.RANK.EQ(H12,$D12:$R12,1)</f>
        <v>#N/A</v>
      </c>
      <c r="AA12" s="8" t="e">
        <f>_xlfn.RANK.EQ(I12,$D12:$R12,1)</f>
        <v>#N/A</v>
      </c>
      <c r="AB12" s="8" t="e">
        <f>_xlfn.RANK.EQ(J12,$D12:$R12,1)</f>
        <v>#N/A</v>
      </c>
      <c r="AC12" s="8" t="e">
        <f>_xlfn.RANK.EQ(K12,$D12:$R12,1)</f>
        <v>#N/A</v>
      </c>
      <c r="AD12" s="8" t="e">
        <f>_xlfn.RANK.EQ(L12,$D12:$R12,1)</f>
        <v>#N/A</v>
      </c>
      <c r="AE12" s="8" t="e">
        <f>_xlfn.RANK.EQ(M12,$D12:$R12,1)</f>
        <v>#N/A</v>
      </c>
      <c r="AF12" s="8" t="e">
        <f>_xlfn.RANK.EQ(N12,$D12:$R12,1)</f>
        <v>#N/A</v>
      </c>
      <c r="AG12" s="8" t="e">
        <f>_xlfn.RANK.EQ(O12,$D12:$R12,1)</f>
        <v>#N/A</v>
      </c>
      <c r="AH12" s="8" t="e">
        <f>_xlfn.RANK.EQ(P12,$D12:$R12,1)</f>
        <v>#N/A</v>
      </c>
      <c r="AI12" s="8" t="e">
        <f>_xlfn.RANK.EQ(Q12,$D12:$R12,1)</f>
        <v>#N/A</v>
      </c>
      <c r="AJ12" s="8" t="e">
        <f>_xlfn.RANK.EQ(R12,$D12:$R12,1)</f>
        <v>#N/A</v>
      </c>
    </row>
    <row r="13" spans="1:36" x14ac:dyDescent="0.25">
      <c r="A13" s="23"/>
      <c r="B13" s="10" t="s">
        <v>54</v>
      </c>
      <c r="C13" s="10" t="s">
        <v>48</v>
      </c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5"/>
      <c r="T13" s="5" t="s">
        <v>13</v>
      </c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</row>
    <row r="14" spans="1:36" x14ac:dyDescent="0.25">
      <c r="A14" s="23"/>
      <c r="B14" s="6" t="s">
        <v>54</v>
      </c>
      <c r="C14" s="6" t="s">
        <v>49</v>
      </c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6"/>
      <c r="T14" s="6" t="s">
        <v>14</v>
      </c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</row>
    <row r="15" spans="1:36" x14ac:dyDescent="0.25">
      <c r="A15" s="23"/>
      <c r="B15" s="3" t="s">
        <v>55</v>
      </c>
      <c r="C15" s="3" t="s">
        <v>47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3" t="s">
        <v>4</v>
      </c>
      <c r="T15" s="3" t="s">
        <v>12</v>
      </c>
      <c r="V15" s="8" t="e">
        <f>_xlfn.RANK.EQ(D15,$D15:$R15,1)</f>
        <v>#N/A</v>
      </c>
      <c r="W15" s="8" t="e">
        <f>_xlfn.RANK.EQ(E15,$D15:$R15,1)</f>
        <v>#N/A</v>
      </c>
      <c r="X15" s="8" t="e">
        <f>_xlfn.RANK.EQ(F15,$D15:$R15,1)</f>
        <v>#N/A</v>
      </c>
      <c r="Y15" s="8" t="e">
        <f>_xlfn.RANK.EQ(G15,$D15:$R15,1)</f>
        <v>#N/A</v>
      </c>
      <c r="Z15" s="8" t="e">
        <f>_xlfn.RANK.EQ(H15,$D15:$R15,1)</f>
        <v>#N/A</v>
      </c>
      <c r="AA15" s="8" t="e">
        <f>_xlfn.RANK.EQ(I15,$D15:$R15,1)</f>
        <v>#N/A</v>
      </c>
      <c r="AB15" s="8" t="e">
        <f>_xlfn.RANK.EQ(J15,$D15:$R15,1)</f>
        <v>#N/A</v>
      </c>
      <c r="AC15" s="8" t="e">
        <f>_xlfn.RANK.EQ(K15,$D15:$R15,1)</f>
        <v>#N/A</v>
      </c>
      <c r="AD15" s="8" t="e">
        <f>_xlfn.RANK.EQ(L15,$D15:$R15,1)</f>
        <v>#N/A</v>
      </c>
      <c r="AE15" s="8" t="e">
        <f>_xlfn.RANK.EQ(M15,$D15:$R15,1)</f>
        <v>#N/A</v>
      </c>
      <c r="AF15" s="8" t="e">
        <f>_xlfn.RANK.EQ(N15,$D15:$R15,1)</f>
        <v>#N/A</v>
      </c>
      <c r="AG15" s="8" t="e">
        <f>_xlfn.RANK.EQ(O15,$D15:$R15,1)</f>
        <v>#N/A</v>
      </c>
      <c r="AH15" s="8" t="e">
        <f>_xlfn.RANK.EQ(P15,$D15:$R15,1)</f>
        <v>#N/A</v>
      </c>
      <c r="AI15" s="8" t="e">
        <f>_xlfn.RANK.EQ(Q15,$D15:$R15,1)</f>
        <v>#N/A</v>
      </c>
      <c r="AJ15" s="8" t="e">
        <f>_xlfn.RANK.EQ(R15,$D15:$R15,1)</f>
        <v>#N/A</v>
      </c>
    </row>
    <row r="16" spans="1:36" x14ac:dyDescent="0.25">
      <c r="A16" s="23"/>
      <c r="B16" s="10" t="s">
        <v>55</v>
      </c>
      <c r="C16" s="10" t="s">
        <v>48</v>
      </c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5"/>
      <c r="T16" s="5" t="s">
        <v>13</v>
      </c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</row>
    <row r="17" spans="1:36" x14ac:dyDescent="0.25">
      <c r="A17" s="26"/>
      <c r="B17" s="6" t="s">
        <v>55</v>
      </c>
      <c r="C17" s="6" t="s">
        <v>49</v>
      </c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6"/>
      <c r="T17" s="6" t="s">
        <v>14</v>
      </c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</row>
    <row r="18" spans="1:36" x14ac:dyDescent="0.25">
      <c r="A18" s="28" t="s">
        <v>21</v>
      </c>
      <c r="B18" s="3" t="s">
        <v>56</v>
      </c>
      <c r="C18" s="3" t="s">
        <v>47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3" t="s">
        <v>5</v>
      </c>
      <c r="T18" s="3" t="s">
        <v>12</v>
      </c>
      <c r="V18" s="8" t="e">
        <f>_xlfn.RANK.EQ(D18,$D18:$R18,1)</f>
        <v>#N/A</v>
      </c>
      <c r="W18" s="8" t="e">
        <f>_xlfn.RANK.EQ(E18,$D18:$R18,1)</f>
        <v>#N/A</v>
      </c>
      <c r="X18" s="8" t="e">
        <f>_xlfn.RANK.EQ(F18,$D18:$R18,1)</f>
        <v>#N/A</v>
      </c>
      <c r="Y18" s="8" t="e">
        <f>_xlfn.RANK.EQ(G18,$D18:$R18,1)</f>
        <v>#N/A</v>
      </c>
      <c r="Z18" s="8" t="e">
        <f>_xlfn.RANK.EQ(H18,$D18:$R18,1)</f>
        <v>#N/A</v>
      </c>
      <c r="AA18" s="8" t="e">
        <f>_xlfn.RANK.EQ(I18,$D18:$R18,1)</f>
        <v>#N/A</v>
      </c>
      <c r="AB18" s="8" t="e">
        <f>_xlfn.RANK.EQ(J18,$D18:$R18,1)</f>
        <v>#N/A</v>
      </c>
      <c r="AC18" s="8" t="e">
        <f>_xlfn.RANK.EQ(K18,$D18:$R18,1)</f>
        <v>#N/A</v>
      </c>
      <c r="AD18" s="8" t="e">
        <f>_xlfn.RANK.EQ(L18,$D18:$R18,1)</f>
        <v>#N/A</v>
      </c>
      <c r="AE18" s="8" t="e">
        <f>_xlfn.RANK.EQ(M18,$D18:$R18,1)</f>
        <v>#N/A</v>
      </c>
      <c r="AF18" s="8" t="e">
        <f>_xlfn.RANK.EQ(N18,$D18:$R18,1)</f>
        <v>#N/A</v>
      </c>
      <c r="AG18" s="8" t="e">
        <f>_xlfn.RANK.EQ(O18,$D18:$R18,1)</f>
        <v>#N/A</v>
      </c>
      <c r="AH18" s="8" t="e">
        <f>_xlfn.RANK.EQ(P18,$D18:$R18,1)</f>
        <v>#N/A</v>
      </c>
      <c r="AI18" s="8" t="e">
        <f>_xlfn.RANK.EQ(Q18,$D18:$R18,1)</f>
        <v>#N/A</v>
      </c>
      <c r="AJ18" s="8" t="e">
        <f>_xlfn.RANK.EQ(R18,$D18:$R18,1)</f>
        <v>#N/A</v>
      </c>
    </row>
    <row r="19" spans="1:36" x14ac:dyDescent="0.25">
      <c r="A19" s="23"/>
      <c r="B19" s="10" t="s">
        <v>56</v>
      </c>
      <c r="C19" s="10" t="s">
        <v>48</v>
      </c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5"/>
      <c r="T19" s="5" t="s">
        <v>13</v>
      </c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</row>
    <row r="20" spans="1:36" x14ac:dyDescent="0.25">
      <c r="A20" s="23"/>
      <c r="B20" s="6" t="s">
        <v>56</v>
      </c>
      <c r="C20" s="6" t="s">
        <v>49</v>
      </c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6"/>
      <c r="T20" s="6" t="s">
        <v>14</v>
      </c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</row>
    <row r="21" spans="1:36" x14ac:dyDescent="0.25">
      <c r="A21" s="23"/>
      <c r="B21" s="3" t="s">
        <v>57</v>
      </c>
      <c r="C21" s="3" t="s">
        <v>47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3" t="s">
        <v>6</v>
      </c>
      <c r="T21" s="3" t="s">
        <v>12</v>
      </c>
      <c r="V21" s="8" t="e">
        <f>_xlfn.RANK.EQ(D21,$D21:$R21,1)</f>
        <v>#N/A</v>
      </c>
      <c r="W21" s="8" t="e">
        <f>_xlfn.RANK.EQ(E21,$D21:$R21,1)</f>
        <v>#N/A</v>
      </c>
      <c r="X21" s="8" t="e">
        <f>_xlfn.RANK.EQ(F21,$D21:$R21,1)</f>
        <v>#N/A</v>
      </c>
      <c r="Y21" s="8" t="e">
        <f>_xlfn.RANK.EQ(G21,$D21:$R21,1)</f>
        <v>#N/A</v>
      </c>
      <c r="Z21" s="8" t="e">
        <f>_xlfn.RANK.EQ(H21,$D21:$R21,1)</f>
        <v>#N/A</v>
      </c>
      <c r="AA21" s="8" t="e">
        <f>_xlfn.RANK.EQ(I21,$D21:$R21,1)</f>
        <v>#N/A</v>
      </c>
      <c r="AB21" s="8" t="e">
        <f>_xlfn.RANK.EQ(J21,$D21:$R21,1)</f>
        <v>#N/A</v>
      </c>
      <c r="AC21" s="8" t="e">
        <f>_xlfn.RANK.EQ(K21,$D21:$R21,1)</f>
        <v>#N/A</v>
      </c>
      <c r="AD21" s="8" t="e">
        <f>_xlfn.RANK.EQ(L21,$D21:$R21,1)</f>
        <v>#N/A</v>
      </c>
      <c r="AE21" s="8" t="e">
        <f>_xlfn.RANK.EQ(M21,$D21:$R21,1)</f>
        <v>#N/A</v>
      </c>
      <c r="AF21" s="8" t="e">
        <f>_xlfn.RANK.EQ(N21,$D21:$R21,1)</f>
        <v>#N/A</v>
      </c>
      <c r="AG21" s="8" t="e">
        <f>_xlfn.RANK.EQ(O21,$D21:$R21,1)</f>
        <v>#N/A</v>
      </c>
      <c r="AH21" s="8" t="e">
        <f>_xlfn.RANK.EQ(P21,$D21:$R21,1)</f>
        <v>#N/A</v>
      </c>
      <c r="AI21" s="8" t="e">
        <f>_xlfn.RANK.EQ(Q21,$D21:$R21,1)</f>
        <v>#N/A</v>
      </c>
      <c r="AJ21" s="8" t="e">
        <f>_xlfn.RANK.EQ(R21,$D21:$R21,1)</f>
        <v>#N/A</v>
      </c>
    </row>
    <row r="22" spans="1:36" x14ac:dyDescent="0.25">
      <c r="A22" s="23"/>
      <c r="B22" s="10" t="s">
        <v>57</v>
      </c>
      <c r="C22" s="10" t="s">
        <v>48</v>
      </c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5"/>
      <c r="T22" s="5" t="s">
        <v>13</v>
      </c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</row>
    <row r="23" spans="1:36" x14ac:dyDescent="0.25">
      <c r="A23" s="23"/>
      <c r="B23" s="6" t="s">
        <v>57</v>
      </c>
      <c r="C23" s="6" t="s">
        <v>49</v>
      </c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6"/>
      <c r="T23" s="6" t="s">
        <v>14</v>
      </c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</row>
    <row r="24" spans="1:36" x14ac:dyDescent="0.25">
      <c r="A24" s="23"/>
      <c r="B24" s="3" t="s">
        <v>58</v>
      </c>
      <c r="C24" s="3" t="s">
        <v>47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3" t="s">
        <v>7</v>
      </c>
      <c r="T24" s="3" t="s">
        <v>12</v>
      </c>
      <c r="V24" s="8" t="e">
        <f>_xlfn.RANK.EQ(D24,$D24:$R24,1)</f>
        <v>#N/A</v>
      </c>
      <c r="W24" s="8" t="e">
        <f>_xlfn.RANK.EQ(E24,$D24:$R24,1)</f>
        <v>#N/A</v>
      </c>
      <c r="X24" s="8" t="e">
        <f>_xlfn.RANK.EQ(F24,$D24:$R24,1)</f>
        <v>#N/A</v>
      </c>
      <c r="Y24" s="8" t="e">
        <f>_xlfn.RANK.EQ(G24,$D24:$R24,1)</f>
        <v>#N/A</v>
      </c>
      <c r="Z24" s="8" t="e">
        <f>_xlfn.RANK.EQ(H24,$D24:$R24,1)</f>
        <v>#N/A</v>
      </c>
      <c r="AA24" s="8" t="e">
        <f>_xlfn.RANK.EQ(I24,$D24:$R24,1)</f>
        <v>#N/A</v>
      </c>
      <c r="AB24" s="8" t="e">
        <f>_xlfn.RANK.EQ(J24,$D24:$R24,1)</f>
        <v>#N/A</v>
      </c>
      <c r="AC24" s="8" t="e">
        <f>_xlfn.RANK.EQ(K24,$D24:$R24,1)</f>
        <v>#N/A</v>
      </c>
      <c r="AD24" s="8" t="e">
        <f>_xlfn.RANK.EQ(L24,$D24:$R24,1)</f>
        <v>#N/A</v>
      </c>
      <c r="AE24" s="8" t="e">
        <f>_xlfn.RANK.EQ(M24,$D24:$R24,1)</f>
        <v>#N/A</v>
      </c>
      <c r="AF24" s="8" t="e">
        <f>_xlfn.RANK.EQ(N24,$D24:$R24,1)</f>
        <v>#N/A</v>
      </c>
      <c r="AG24" s="8" t="e">
        <f>_xlfn.RANK.EQ(O24,$D24:$R24,1)</f>
        <v>#N/A</v>
      </c>
      <c r="AH24" s="8" t="e">
        <f>_xlfn.RANK.EQ(P24,$D24:$R24,1)</f>
        <v>#N/A</v>
      </c>
      <c r="AI24" s="8" t="e">
        <f>_xlfn.RANK.EQ(Q24,$D24:$R24,1)</f>
        <v>#N/A</v>
      </c>
      <c r="AJ24" s="8" t="e">
        <f>_xlfn.RANK.EQ(R24,$D24:$R24,1)</f>
        <v>#N/A</v>
      </c>
    </row>
    <row r="25" spans="1:36" x14ac:dyDescent="0.25">
      <c r="A25" s="23"/>
      <c r="B25" s="10" t="s">
        <v>58</v>
      </c>
      <c r="C25" s="10" t="s">
        <v>48</v>
      </c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5"/>
      <c r="T25" s="5" t="s">
        <v>13</v>
      </c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</row>
    <row r="26" spans="1:36" x14ac:dyDescent="0.25">
      <c r="A26" s="26"/>
      <c r="B26" s="6" t="s">
        <v>58</v>
      </c>
      <c r="C26" s="6" t="s">
        <v>49</v>
      </c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6"/>
      <c r="T26" s="6" t="s">
        <v>14</v>
      </c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</row>
    <row r="27" spans="1:36" x14ac:dyDescent="0.25">
      <c r="A27" s="28" t="s">
        <v>16</v>
      </c>
      <c r="B27" s="3" t="s">
        <v>59</v>
      </c>
      <c r="C27" s="3" t="s">
        <v>47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3" t="s">
        <v>8</v>
      </c>
      <c r="T27" s="3" t="s">
        <v>12</v>
      </c>
      <c r="V27" s="8" t="e">
        <f>_xlfn.RANK.EQ(D27,$D27:$R27,1)</f>
        <v>#N/A</v>
      </c>
      <c r="W27" s="8" t="e">
        <f>_xlfn.RANK.EQ(E27,$D27:$R27,1)</f>
        <v>#N/A</v>
      </c>
      <c r="X27" s="8" t="e">
        <f>_xlfn.RANK.EQ(F27,$D27:$R27,1)</f>
        <v>#N/A</v>
      </c>
      <c r="Y27" s="8" t="e">
        <f>_xlfn.RANK.EQ(G27,$D27:$R27,1)</f>
        <v>#N/A</v>
      </c>
      <c r="Z27" s="8" t="e">
        <f>_xlfn.RANK.EQ(H27,$D27:$R27,1)</f>
        <v>#N/A</v>
      </c>
      <c r="AA27" s="8" t="e">
        <f>_xlfn.RANK.EQ(I27,$D27:$R27,1)</f>
        <v>#N/A</v>
      </c>
      <c r="AB27" s="8" t="e">
        <f>_xlfn.RANK.EQ(J27,$D27:$R27,1)</f>
        <v>#N/A</v>
      </c>
      <c r="AC27" s="8" t="e">
        <f>_xlfn.RANK.EQ(K27,$D27:$R27,1)</f>
        <v>#N/A</v>
      </c>
      <c r="AD27" s="8" t="e">
        <f>_xlfn.RANK.EQ(L27,$D27:$R27,1)</f>
        <v>#N/A</v>
      </c>
      <c r="AE27" s="8" t="e">
        <f>_xlfn.RANK.EQ(M27,$D27:$R27,1)</f>
        <v>#N/A</v>
      </c>
      <c r="AF27" s="8" t="e">
        <f>_xlfn.RANK.EQ(N27,$D27:$R27,1)</f>
        <v>#N/A</v>
      </c>
      <c r="AG27" s="8" t="e">
        <f>_xlfn.RANK.EQ(O27,$D27:$R27,1)</f>
        <v>#N/A</v>
      </c>
      <c r="AH27" s="8" t="e">
        <f>_xlfn.RANK.EQ(P27,$D27:$R27,1)</f>
        <v>#N/A</v>
      </c>
      <c r="AI27" s="8" t="e">
        <f>_xlfn.RANK.EQ(Q27,$D27:$R27,1)</f>
        <v>#N/A</v>
      </c>
      <c r="AJ27" s="8" t="e">
        <f>_xlfn.RANK.EQ(R27,$D27:$R27,1)</f>
        <v>#N/A</v>
      </c>
    </row>
    <row r="28" spans="1:36" x14ac:dyDescent="0.25">
      <c r="A28" s="23"/>
      <c r="B28" s="10" t="s">
        <v>59</v>
      </c>
      <c r="C28" s="10" t="s">
        <v>48</v>
      </c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5"/>
      <c r="T28" s="5" t="s">
        <v>13</v>
      </c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</row>
    <row r="29" spans="1:36" x14ac:dyDescent="0.25">
      <c r="A29" s="23"/>
      <c r="B29" s="6" t="s">
        <v>59</v>
      </c>
      <c r="C29" s="6" t="s">
        <v>49</v>
      </c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6"/>
      <c r="T29" s="6" t="s">
        <v>14</v>
      </c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</row>
    <row r="30" spans="1:36" x14ac:dyDescent="0.25">
      <c r="A30" s="23"/>
      <c r="B30" s="3" t="s">
        <v>60</v>
      </c>
      <c r="C30" s="3" t="s">
        <v>47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3" t="s">
        <v>9</v>
      </c>
      <c r="T30" s="3" t="s">
        <v>12</v>
      </c>
      <c r="V30" s="8" t="e">
        <f>_xlfn.RANK.EQ(D30,$D30:$R30,1)</f>
        <v>#N/A</v>
      </c>
      <c r="W30" s="8" t="e">
        <f>_xlfn.RANK.EQ(E30,$D30:$R30,1)</f>
        <v>#N/A</v>
      </c>
      <c r="X30" s="8" t="e">
        <f>_xlfn.RANK.EQ(F30,$D30:$R30,1)</f>
        <v>#N/A</v>
      </c>
      <c r="Y30" s="8" t="e">
        <f>_xlfn.RANK.EQ(G30,$D30:$R30,1)</f>
        <v>#N/A</v>
      </c>
      <c r="Z30" s="8" t="e">
        <f>_xlfn.RANK.EQ(H30,$D30:$R30,1)</f>
        <v>#N/A</v>
      </c>
      <c r="AA30" s="8" t="e">
        <f>_xlfn.RANK.EQ(I30,$D30:$R30,1)</f>
        <v>#N/A</v>
      </c>
      <c r="AB30" s="8" t="e">
        <f>_xlfn.RANK.EQ(J30,$D30:$R30,1)</f>
        <v>#N/A</v>
      </c>
      <c r="AC30" s="8" t="e">
        <f>_xlfn.RANK.EQ(K30,$D30:$R30,1)</f>
        <v>#N/A</v>
      </c>
      <c r="AD30" s="8" t="e">
        <f>_xlfn.RANK.EQ(L30,$D30:$R30,1)</f>
        <v>#N/A</v>
      </c>
      <c r="AE30" s="8" t="e">
        <f>_xlfn.RANK.EQ(M30,$D30:$R30,1)</f>
        <v>#N/A</v>
      </c>
      <c r="AF30" s="8" t="e">
        <f>_xlfn.RANK.EQ(N30,$D30:$R30,1)</f>
        <v>#N/A</v>
      </c>
      <c r="AG30" s="8" t="e">
        <f>_xlfn.RANK.EQ(O30,$D30:$R30,1)</f>
        <v>#N/A</v>
      </c>
      <c r="AH30" s="8" t="e">
        <f>_xlfn.RANK.EQ(P30,$D30:$R30,1)</f>
        <v>#N/A</v>
      </c>
      <c r="AI30" s="8" t="e">
        <f>_xlfn.RANK.EQ(Q30,$D30:$R30,1)</f>
        <v>#N/A</v>
      </c>
      <c r="AJ30" s="8" t="e">
        <f>_xlfn.RANK.EQ(R30,$D30:$R30,1)</f>
        <v>#N/A</v>
      </c>
    </row>
    <row r="31" spans="1:36" x14ac:dyDescent="0.25">
      <c r="A31" s="23"/>
      <c r="B31" s="10" t="s">
        <v>60</v>
      </c>
      <c r="C31" s="10" t="s">
        <v>48</v>
      </c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5"/>
      <c r="T31" s="5" t="s">
        <v>13</v>
      </c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</row>
    <row r="32" spans="1:36" x14ac:dyDescent="0.25">
      <c r="A32" s="23"/>
      <c r="B32" s="6" t="s">
        <v>60</v>
      </c>
      <c r="C32" s="6" t="s">
        <v>49</v>
      </c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6"/>
      <c r="T32" s="6" t="s">
        <v>14</v>
      </c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</row>
    <row r="33" spans="1:36" x14ac:dyDescent="0.25">
      <c r="A33" s="23"/>
      <c r="B33" s="3" t="s">
        <v>61</v>
      </c>
      <c r="C33" s="3" t="s">
        <v>47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3" t="s">
        <v>10</v>
      </c>
      <c r="T33" s="3" t="s">
        <v>12</v>
      </c>
      <c r="V33" s="8" t="e">
        <f>_xlfn.RANK.EQ(D33,$D33:$R33,1)</f>
        <v>#N/A</v>
      </c>
      <c r="W33" s="8" t="e">
        <f>_xlfn.RANK.EQ(E33,$D33:$R33,1)</f>
        <v>#N/A</v>
      </c>
      <c r="X33" s="8" t="e">
        <f>_xlfn.RANK.EQ(F33,$D33:$R33,1)</f>
        <v>#N/A</v>
      </c>
      <c r="Y33" s="8" t="e">
        <f>_xlfn.RANK.EQ(G33,$D33:$R33,1)</f>
        <v>#N/A</v>
      </c>
      <c r="Z33" s="8" t="e">
        <f>_xlfn.RANK.EQ(H33,$D33:$R33,1)</f>
        <v>#N/A</v>
      </c>
      <c r="AA33" s="8" t="e">
        <f>_xlfn.RANK.EQ(I33,$D33:$R33,1)</f>
        <v>#N/A</v>
      </c>
      <c r="AB33" s="8" t="e">
        <f>_xlfn.RANK.EQ(J33,$D33:$R33,1)</f>
        <v>#N/A</v>
      </c>
      <c r="AC33" s="8" t="e">
        <f>_xlfn.RANK.EQ(K33,$D33:$R33,1)</f>
        <v>#N/A</v>
      </c>
      <c r="AD33" s="8" t="e">
        <f>_xlfn.RANK.EQ(L33,$D33:$R33,1)</f>
        <v>#N/A</v>
      </c>
      <c r="AE33" s="8" t="e">
        <f>_xlfn.RANK.EQ(M33,$D33:$R33,1)</f>
        <v>#N/A</v>
      </c>
      <c r="AF33" s="8" t="e">
        <f>_xlfn.RANK.EQ(N33,$D33:$R33,1)</f>
        <v>#N/A</v>
      </c>
      <c r="AG33" s="8" t="e">
        <f>_xlfn.RANK.EQ(O33,$D33:$R33,1)</f>
        <v>#N/A</v>
      </c>
      <c r="AH33" s="8" t="e">
        <f>_xlfn.RANK.EQ(P33,$D33:$R33,1)</f>
        <v>#N/A</v>
      </c>
      <c r="AI33" s="8" t="e">
        <f>_xlfn.RANK.EQ(Q33,$D33:$R33,1)</f>
        <v>#N/A</v>
      </c>
      <c r="AJ33" s="8" t="e">
        <f>_xlfn.RANK.EQ(R33,$D33:$R33,1)</f>
        <v>#N/A</v>
      </c>
    </row>
    <row r="34" spans="1:36" x14ac:dyDescent="0.25">
      <c r="A34" s="23"/>
      <c r="B34" s="10" t="s">
        <v>61</v>
      </c>
      <c r="C34" s="10" t="s">
        <v>48</v>
      </c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5"/>
      <c r="T34" s="5" t="s">
        <v>13</v>
      </c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</row>
    <row r="35" spans="1:36" x14ac:dyDescent="0.25">
      <c r="A35" s="23"/>
      <c r="B35" s="6" t="s">
        <v>61</v>
      </c>
      <c r="C35" s="6" t="s">
        <v>49</v>
      </c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6"/>
      <c r="T35" s="6" t="s">
        <v>14</v>
      </c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</row>
    <row r="36" spans="1:36" x14ac:dyDescent="0.25">
      <c r="A36" s="23"/>
      <c r="B36" s="3" t="s">
        <v>62</v>
      </c>
      <c r="C36" s="3" t="s">
        <v>47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3" t="s">
        <v>11</v>
      </c>
      <c r="T36" s="3" t="s">
        <v>12</v>
      </c>
      <c r="V36" s="8" t="e">
        <f>_xlfn.RANK.EQ(D36,$D36:$R36,1)</f>
        <v>#N/A</v>
      </c>
      <c r="W36" s="8" t="e">
        <f>_xlfn.RANK.EQ(E36,$D36:$R36,1)</f>
        <v>#N/A</v>
      </c>
      <c r="X36" s="8" t="e">
        <f>_xlfn.RANK.EQ(F36,$D36:$R36,1)</f>
        <v>#N/A</v>
      </c>
      <c r="Y36" s="8" t="e">
        <f>_xlfn.RANK.EQ(G36,$D36:$R36,1)</f>
        <v>#N/A</v>
      </c>
      <c r="Z36" s="8" t="e">
        <f>_xlfn.RANK.EQ(H36,$D36:$R36,1)</f>
        <v>#N/A</v>
      </c>
      <c r="AA36" s="8" t="e">
        <f>_xlfn.RANK.EQ(I36,$D36:$R36,1)</f>
        <v>#N/A</v>
      </c>
      <c r="AB36" s="8" t="e">
        <f>_xlfn.RANK.EQ(J36,$D36:$R36,1)</f>
        <v>#N/A</v>
      </c>
      <c r="AC36" s="8" t="e">
        <f>_xlfn.RANK.EQ(K36,$D36:$R36,1)</f>
        <v>#N/A</v>
      </c>
      <c r="AD36" s="8" t="e">
        <f>_xlfn.RANK.EQ(L36,$D36:$R36,1)</f>
        <v>#N/A</v>
      </c>
      <c r="AE36" s="8" t="e">
        <f>_xlfn.RANK.EQ(M36,$D36:$R36,1)</f>
        <v>#N/A</v>
      </c>
      <c r="AF36" s="8" t="e">
        <f>_xlfn.RANK.EQ(N36,$D36:$R36,1)</f>
        <v>#N/A</v>
      </c>
      <c r="AG36" s="8" t="e">
        <f>_xlfn.RANK.EQ(O36,$D36:$R36,1)</f>
        <v>#N/A</v>
      </c>
      <c r="AH36" s="8" t="e">
        <f>_xlfn.RANK.EQ(P36,$D36:$R36,1)</f>
        <v>#N/A</v>
      </c>
      <c r="AI36" s="8" t="e">
        <f>_xlfn.RANK.EQ(Q36,$D36:$R36,1)</f>
        <v>#N/A</v>
      </c>
      <c r="AJ36" s="8" t="e">
        <f>_xlfn.RANK.EQ(R36,$D36:$R36,1)</f>
        <v>#N/A</v>
      </c>
    </row>
    <row r="37" spans="1:36" x14ac:dyDescent="0.25">
      <c r="A37" s="23"/>
      <c r="B37" s="10" t="s">
        <v>62</v>
      </c>
      <c r="C37" s="10" t="s">
        <v>48</v>
      </c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5"/>
      <c r="T37" s="5" t="s">
        <v>13</v>
      </c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</row>
    <row r="38" spans="1:36" x14ac:dyDescent="0.25">
      <c r="A38" s="26"/>
      <c r="B38" s="6" t="s">
        <v>62</v>
      </c>
      <c r="C38" s="6" t="s">
        <v>49</v>
      </c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6"/>
      <c r="T38" s="6" t="s">
        <v>14</v>
      </c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</row>
    <row r="39" spans="1:36" ht="32.450000000000003" customHeight="1" x14ac:dyDescent="0.25">
      <c r="A39" s="28" t="s">
        <v>23</v>
      </c>
      <c r="B39" s="29"/>
      <c r="C39" s="29"/>
      <c r="D39" s="3">
        <f>COUNTIF(V3:V38,1)</f>
        <v>0</v>
      </c>
      <c r="E39" s="3">
        <f t="shared" ref="E39:R39" si="1">COUNTIF(W3:W38,1)</f>
        <v>0</v>
      </c>
      <c r="F39" s="3">
        <f t="shared" si="1"/>
        <v>0</v>
      </c>
      <c r="G39" s="3">
        <f t="shared" si="1"/>
        <v>0</v>
      </c>
      <c r="H39" s="3">
        <f t="shared" si="1"/>
        <v>0</v>
      </c>
      <c r="I39" s="3">
        <f t="shared" si="1"/>
        <v>0</v>
      </c>
      <c r="J39" s="3">
        <f t="shared" si="1"/>
        <v>0</v>
      </c>
      <c r="K39" s="3">
        <f t="shared" si="1"/>
        <v>0</v>
      </c>
      <c r="L39" s="3">
        <f t="shared" si="1"/>
        <v>0</v>
      </c>
      <c r="M39" s="3">
        <f t="shared" si="1"/>
        <v>0</v>
      </c>
      <c r="N39" s="3">
        <f t="shared" si="1"/>
        <v>0</v>
      </c>
      <c r="O39" s="3">
        <f t="shared" si="1"/>
        <v>0</v>
      </c>
      <c r="P39" s="3">
        <f t="shared" si="1"/>
        <v>0</v>
      </c>
      <c r="Q39" s="3">
        <f t="shared" si="1"/>
        <v>0</v>
      </c>
      <c r="R39" s="3">
        <f t="shared" si="1"/>
        <v>0</v>
      </c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</row>
    <row r="40" spans="1:36" ht="32.450000000000003" customHeight="1" x14ac:dyDescent="0.25">
      <c r="A40" s="23" t="s">
        <v>24</v>
      </c>
      <c r="B40" s="24"/>
      <c r="C40" s="24"/>
      <c r="D40" s="10">
        <f>_xlfn.RANK.EQ(D39,$D39:$R39,0)</f>
        <v>1</v>
      </c>
      <c r="E40" s="10">
        <f t="shared" ref="E40:R40" si="2">_xlfn.RANK.EQ(E39,$D39:$R39,0)</f>
        <v>1</v>
      </c>
      <c r="F40" s="10">
        <f t="shared" si="2"/>
        <v>1</v>
      </c>
      <c r="G40" s="10">
        <f t="shared" si="2"/>
        <v>1</v>
      </c>
      <c r="H40" s="10">
        <f t="shared" si="2"/>
        <v>1</v>
      </c>
      <c r="I40" s="10">
        <f t="shared" si="2"/>
        <v>1</v>
      </c>
      <c r="J40" s="10">
        <f t="shared" si="2"/>
        <v>1</v>
      </c>
      <c r="K40" s="10">
        <f t="shared" si="2"/>
        <v>1</v>
      </c>
      <c r="L40" s="10">
        <f t="shared" si="2"/>
        <v>1</v>
      </c>
      <c r="M40" s="10">
        <f t="shared" si="2"/>
        <v>1</v>
      </c>
      <c r="N40" s="10">
        <f t="shared" si="2"/>
        <v>1</v>
      </c>
      <c r="O40" s="10">
        <f t="shared" si="2"/>
        <v>1</v>
      </c>
      <c r="P40" s="10">
        <f t="shared" si="2"/>
        <v>1</v>
      </c>
      <c r="Q40" s="10">
        <f t="shared" si="2"/>
        <v>1</v>
      </c>
      <c r="R40" s="10">
        <f t="shared" si="2"/>
        <v>1</v>
      </c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</row>
    <row r="41" spans="1:36" ht="32.450000000000003" customHeight="1" x14ac:dyDescent="0.25">
      <c r="A41" s="25" t="s">
        <v>25</v>
      </c>
      <c r="B41" s="24"/>
      <c r="C41" s="24"/>
      <c r="D41" s="12" t="e">
        <f>AVERAGE(V3:V38)</f>
        <v>#N/A</v>
      </c>
      <c r="E41" s="12" t="e">
        <f t="shared" ref="E41:R41" si="3">AVERAGE(W3:W38)</f>
        <v>#N/A</v>
      </c>
      <c r="F41" s="12" t="e">
        <f t="shared" si="3"/>
        <v>#N/A</v>
      </c>
      <c r="G41" s="12" t="e">
        <f t="shared" si="3"/>
        <v>#N/A</v>
      </c>
      <c r="H41" s="12" t="e">
        <f t="shared" si="3"/>
        <v>#N/A</v>
      </c>
      <c r="I41" s="12" t="e">
        <f t="shared" si="3"/>
        <v>#N/A</v>
      </c>
      <c r="J41" s="12" t="e">
        <f t="shared" si="3"/>
        <v>#N/A</v>
      </c>
      <c r="K41" s="12" t="e">
        <f t="shared" si="3"/>
        <v>#N/A</v>
      </c>
      <c r="L41" s="12" t="e">
        <f t="shared" si="3"/>
        <v>#N/A</v>
      </c>
      <c r="M41" s="12" t="e">
        <f t="shared" si="3"/>
        <v>#N/A</v>
      </c>
      <c r="N41" s="12" t="e">
        <f t="shared" si="3"/>
        <v>#N/A</v>
      </c>
      <c r="O41" s="12" t="e">
        <f t="shared" si="3"/>
        <v>#N/A</v>
      </c>
      <c r="P41" s="12" t="e">
        <f t="shared" si="3"/>
        <v>#N/A</v>
      </c>
      <c r="Q41" s="12" t="e">
        <f t="shared" si="3"/>
        <v>#N/A</v>
      </c>
      <c r="R41" s="12" t="e">
        <f t="shared" si="3"/>
        <v>#N/A</v>
      </c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</row>
    <row r="42" spans="1:36" ht="32.450000000000003" customHeight="1" x14ac:dyDescent="0.25">
      <c r="A42" s="26" t="s">
        <v>26</v>
      </c>
      <c r="B42" s="27"/>
      <c r="C42" s="27"/>
      <c r="D42" s="6" t="e">
        <f>_xlfn.RANK.EQ(D41,$D41:$R41,1)</f>
        <v>#N/A</v>
      </c>
      <c r="E42" s="6" t="e">
        <f t="shared" ref="E42:R42" si="4">_xlfn.RANK.EQ(E41,$D41:$R41,1)</f>
        <v>#N/A</v>
      </c>
      <c r="F42" s="6" t="e">
        <f t="shared" si="4"/>
        <v>#N/A</v>
      </c>
      <c r="G42" s="6" t="e">
        <f t="shared" si="4"/>
        <v>#N/A</v>
      </c>
      <c r="H42" s="6" t="e">
        <f t="shared" si="4"/>
        <v>#N/A</v>
      </c>
      <c r="I42" s="6" t="e">
        <f t="shared" si="4"/>
        <v>#N/A</v>
      </c>
      <c r="J42" s="6" t="e">
        <f t="shared" si="4"/>
        <v>#N/A</v>
      </c>
      <c r="K42" s="6" t="e">
        <f t="shared" si="4"/>
        <v>#N/A</v>
      </c>
      <c r="L42" s="6" t="e">
        <f t="shared" si="4"/>
        <v>#N/A</v>
      </c>
      <c r="M42" s="6" t="e">
        <f t="shared" si="4"/>
        <v>#N/A</v>
      </c>
      <c r="N42" s="6" t="e">
        <f t="shared" si="4"/>
        <v>#N/A</v>
      </c>
      <c r="O42" s="6" t="e">
        <f t="shared" si="4"/>
        <v>#N/A</v>
      </c>
      <c r="P42" s="6" t="e">
        <f t="shared" si="4"/>
        <v>#N/A</v>
      </c>
      <c r="Q42" s="6" t="e">
        <f t="shared" si="4"/>
        <v>#N/A</v>
      </c>
      <c r="R42" s="6" t="e">
        <f t="shared" si="4"/>
        <v>#N/A</v>
      </c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</row>
  </sheetData>
  <mergeCells count="9">
    <mergeCell ref="A1:R1"/>
    <mergeCell ref="A40:C40"/>
    <mergeCell ref="A41:C41"/>
    <mergeCell ref="A42:C42"/>
    <mergeCell ref="A39:C39"/>
    <mergeCell ref="A3:A5"/>
    <mergeCell ref="A6:A17"/>
    <mergeCell ref="A18:A26"/>
    <mergeCell ref="A27:A38"/>
  </mergeCells>
  <phoneticPr fontId="3" type="noConversion"/>
  <conditionalFormatting sqref="D3:R3">
    <cfRule type="top10" dxfId="15" priority="13" bottom="1" rank="1"/>
  </conditionalFormatting>
  <conditionalFormatting sqref="D6:R6">
    <cfRule type="top10" dxfId="14" priority="14" bottom="1" rank="1"/>
  </conditionalFormatting>
  <conditionalFormatting sqref="D9:R9">
    <cfRule type="top10" dxfId="13" priority="15" bottom="1" rank="1"/>
  </conditionalFormatting>
  <conditionalFormatting sqref="D12:R12">
    <cfRule type="top10" dxfId="12" priority="16" bottom="1" rank="1"/>
  </conditionalFormatting>
  <conditionalFormatting sqref="D15:R15">
    <cfRule type="top10" dxfId="11" priority="17" bottom="1" rank="1"/>
  </conditionalFormatting>
  <conditionalFormatting sqref="D18:R18">
    <cfRule type="top10" dxfId="10" priority="18" bottom="1" rank="1"/>
  </conditionalFormatting>
  <conditionalFormatting sqref="D21:R21">
    <cfRule type="top10" dxfId="9" priority="19" bottom="1" rank="1"/>
  </conditionalFormatting>
  <conditionalFormatting sqref="D24:R24">
    <cfRule type="top10" dxfId="8" priority="20" bottom="1" rank="1"/>
  </conditionalFormatting>
  <conditionalFormatting sqref="D27:R27">
    <cfRule type="top10" dxfId="7" priority="21" bottom="1" rank="1"/>
  </conditionalFormatting>
  <conditionalFormatting sqref="D30:R30">
    <cfRule type="top10" dxfId="6" priority="22" bottom="1" rank="1"/>
  </conditionalFormatting>
  <conditionalFormatting sqref="D33:R33">
    <cfRule type="top10" dxfId="5" priority="23" bottom="1" rank="1"/>
  </conditionalFormatting>
  <conditionalFormatting sqref="D36:R36">
    <cfRule type="top10" dxfId="4" priority="24" bottom="1" rank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4"/>
  <sheetViews>
    <sheetView zoomScaleNormal="100" workbookViewId="0">
      <selection activeCell="P2" sqref="P1:P1048576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  <col min="16" max="16" width="8.140625" customWidth="1"/>
  </cols>
  <sheetData>
    <row r="1" spans="1:16" ht="15.75" thickBot="1" x14ac:dyDescent="0.3">
      <c r="A1" s="30" t="s">
        <v>43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</row>
    <row r="2" spans="1:16" x14ac:dyDescent="0.25">
      <c r="A2" s="2" t="s">
        <v>50</v>
      </c>
      <c r="B2" s="13" t="s">
        <v>68</v>
      </c>
      <c r="C2" s="13" t="s">
        <v>69</v>
      </c>
      <c r="D2" s="13" t="s">
        <v>70</v>
      </c>
      <c r="E2" s="13" t="s">
        <v>71</v>
      </c>
      <c r="F2" s="13" t="s">
        <v>72</v>
      </c>
      <c r="G2" s="13" t="s">
        <v>73</v>
      </c>
      <c r="H2" s="13" t="s">
        <v>74</v>
      </c>
      <c r="I2" s="13" t="s">
        <v>75</v>
      </c>
      <c r="J2" s="13" t="s">
        <v>76</v>
      </c>
      <c r="K2" s="13" t="s">
        <v>77</v>
      </c>
      <c r="L2" s="13" t="s">
        <v>78</v>
      </c>
      <c r="M2" s="13" t="s">
        <v>79</v>
      </c>
      <c r="N2" s="13" t="s">
        <v>80</v>
      </c>
      <c r="O2" s="13" t="s">
        <v>81</v>
      </c>
      <c r="P2" s="1"/>
    </row>
    <row r="3" spans="1:16" x14ac:dyDescent="0.25">
      <c r="A3" s="3" t="s">
        <v>51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</row>
    <row r="4" spans="1:16" x14ac:dyDescent="0.25">
      <c r="A4" s="10" t="s">
        <v>52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</row>
    <row r="5" spans="1:16" x14ac:dyDescent="0.25">
      <c r="A5" s="10" t="s">
        <v>53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</row>
    <row r="6" spans="1:16" x14ac:dyDescent="0.25">
      <c r="A6" s="10" t="s">
        <v>54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</row>
    <row r="7" spans="1:16" x14ac:dyDescent="0.25">
      <c r="A7" s="10" t="s">
        <v>55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</row>
    <row r="8" spans="1:16" x14ac:dyDescent="0.25">
      <c r="A8" s="10" t="s">
        <v>56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</row>
    <row r="9" spans="1:16" x14ac:dyDescent="0.25">
      <c r="A9" s="10" t="s">
        <v>57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</row>
    <row r="10" spans="1:16" x14ac:dyDescent="0.25">
      <c r="A10" s="10" t="s">
        <v>58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</row>
    <row r="11" spans="1:16" x14ac:dyDescent="0.25">
      <c r="A11" s="10" t="s">
        <v>59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</row>
    <row r="12" spans="1:16" x14ac:dyDescent="0.25">
      <c r="A12" s="10" t="s">
        <v>60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</row>
    <row r="13" spans="1:16" x14ac:dyDescent="0.25">
      <c r="A13" s="10" t="s">
        <v>61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</row>
    <row r="14" spans="1:16" x14ac:dyDescent="0.25">
      <c r="A14" s="6" t="s">
        <v>62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</row>
  </sheetData>
  <mergeCells count="1">
    <mergeCell ref="A1:P1"/>
  </mergeCells>
  <conditionalFormatting sqref="B3:P14">
    <cfRule type="cellIs" dxfId="3" priority="1" operator="greaterThan">
      <formula>0.05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4"/>
  <sheetViews>
    <sheetView workbookViewId="0">
      <selection activeCell="N20" sqref="N20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6" ht="15.75" thickBot="1" x14ac:dyDescent="0.3">
      <c r="A1" s="30" t="s">
        <v>44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</row>
    <row r="2" spans="1:16" x14ac:dyDescent="0.25">
      <c r="A2" s="2" t="s">
        <v>50</v>
      </c>
      <c r="B2" s="13" t="s">
        <v>68</v>
      </c>
      <c r="C2" s="13" t="s">
        <v>69</v>
      </c>
      <c r="D2" s="13" t="s">
        <v>70</v>
      </c>
      <c r="E2" s="13" t="s">
        <v>71</v>
      </c>
      <c r="F2" s="13" t="s">
        <v>72</v>
      </c>
      <c r="G2" s="13" t="s">
        <v>73</v>
      </c>
      <c r="H2" s="13" t="s">
        <v>74</v>
      </c>
      <c r="I2" s="13" t="s">
        <v>75</v>
      </c>
      <c r="J2" s="13" t="s">
        <v>76</v>
      </c>
      <c r="K2" s="13" t="s">
        <v>77</v>
      </c>
      <c r="L2" s="13" t="s">
        <v>78</v>
      </c>
      <c r="M2" s="13" t="s">
        <v>79</v>
      </c>
      <c r="N2" s="13" t="s">
        <v>80</v>
      </c>
      <c r="O2" s="13" t="s">
        <v>81</v>
      </c>
      <c r="P2" s="1"/>
    </row>
    <row r="3" spans="1:16" x14ac:dyDescent="0.25">
      <c r="A3" s="3" t="s">
        <v>51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</row>
    <row r="4" spans="1:16" x14ac:dyDescent="0.25">
      <c r="A4" s="10" t="s">
        <v>52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</row>
    <row r="5" spans="1:16" x14ac:dyDescent="0.25">
      <c r="A5" s="10" t="s">
        <v>53</v>
      </c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</row>
    <row r="6" spans="1:16" x14ac:dyDescent="0.25">
      <c r="A6" s="10" t="s">
        <v>54</v>
      </c>
      <c r="B6" s="20"/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</row>
    <row r="7" spans="1:16" x14ac:dyDescent="0.25">
      <c r="A7" s="10" t="s">
        <v>55</v>
      </c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</row>
    <row r="8" spans="1:16" x14ac:dyDescent="0.25">
      <c r="A8" s="10" t="s">
        <v>56</v>
      </c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</row>
    <row r="9" spans="1:16" x14ac:dyDescent="0.25">
      <c r="A9" s="10" t="s">
        <v>57</v>
      </c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</row>
    <row r="10" spans="1:16" x14ac:dyDescent="0.25">
      <c r="A10" s="10" t="s">
        <v>58</v>
      </c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</row>
    <row r="11" spans="1:16" x14ac:dyDescent="0.25">
      <c r="A11" s="10" t="s">
        <v>59</v>
      </c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</row>
    <row r="12" spans="1:16" x14ac:dyDescent="0.25">
      <c r="A12" s="10" t="s">
        <v>60</v>
      </c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</row>
    <row r="13" spans="1:16" x14ac:dyDescent="0.25">
      <c r="A13" s="10" t="s">
        <v>61</v>
      </c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</row>
    <row r="14" spans="1:16" x14ac:dyDescent="0.25">
      <c r="A14" s="6" t="s">
        <v>62</v>
      </c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</row>
  </sheetData>
  <mergeCells count="1">
    <mergeCell ref="A1:P1"/>
  </mergeCells>
  <conditionalFormatting sqref="B3:P14">
    <cfRule type="cellIs" dxfId="2" priority="1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4"/>
  <sheetViews>
    <sheetView workbookViewId="0">
      <selection activeCell="B3" sqref="B3:J14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6" ht="15.75" thickBot="1" x14ac:dyDescent="0.3">
      <c r="A1" s="30" t="s">
        <v>27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</row>
    <row r="2" spans="1:16" x14ac:dyDescent="0.25">
      <c r="A2" s="2" t="s">
        <v>50</v>
      </c>
      <c r="B2" s="13" t="s">
        <v>68</v>
      </c>
      <c r="C2" s="13" t="s">
        <v>69</v>
      </c>
      <c r="D2" s="13" t="s">
        <v>70</v>
      </c>
      <c r="E2" s="13" t="s">
        <v>71</v>
      </c>
      <c r="F2" s="13" t="s">
        <v>72</v>
      </c>
      <c r="G2" s="13" t="s">
        <v>73</v>
      </c>
      <c r="H2" s="13" t="s">
        <v>74</v>
      </c>
      <c r="I2" s="13" t="s">
        <v>75</v>
      </c>
      <c r="J2" s="13" t="s">
        <v>76</v>
      </c>
      <c r="K2" s="13" t="s">
        <v>77</v>
      </c>
      <c r="L2" s="13" t="s">
        <v>78</v>
      </c>
      <c r="M2" s="13" t="s">
        <v>79</v>
      </c>
      <c r="N2" s="13" t="s">
        <v>80</v>
      </c>
      <c r="O2" s="13" t="s">
        <v>81</v>
      </c>
      <c r="P2" s="1"/>
    </row>
    <row r="3" spans="1:16" x14ac:dyDescent="0.25">
      <c r="A3" s="3" t="s">
        <v>51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</row>
    <row r="4" spans="1:16" x14ac:dyDescent="0.25">
      <c r="A4" s="10" t="s">
        <v>52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</row>
    <row r="5" spans="1:16" x14ac:dyDescent="0.25">
      <c r="A5" s="10" t="s">
        <v>53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</row>
    <row r="6" spans="1:16" x14ac:dyDescent="0.25">
      <c r="A6" s="10" t="s">
        <v>54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</row>
    <row r="7" spans="1:16" x14ac:dyDescent="0.25">
      <c r="A7" s="10" t="s">
        <v>55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</row>
    <row r="8" spans="1:16" x14ac:dyDescent="0.25">
      <c r="A8" s="10" t="s">
        <v>56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</row>
    <row r="9" spans="1:16" x14ac:dyDescent="0.25">
      <c r="A9" s="10" t="s">
        <v>57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</row>
    <row r="10" spans="1:16" x14ac:dyDescent="0.25">
      <c r="A10" s="10" t="s">
        <v>58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</row>
    <row r="11" spans="1:16" x14ac:dyDescent="0.25">
      <c r="A11" s="10" t="s">
        <v>59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</row>
    <row r="12" spans="1:16" x14ac:dyDescent="0.25">
      <c r="A12" s="10" t="s">
        <v>60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</row>
    <row r="13" spans="1:16" x14ac:dyDescent="0.25">
      <c r="A13" s="10" t="s">
        <v>61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</row>
    <row r="14" spans="1:16" x14ac:dyDescent="0.25">
      <c r="A14" s="6" t="s">
        <v>62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</row>
  </sheetData>
  <mergeCells count="1">
    <mergeCell ref="A1:P1"/>
  </mergeCells>
  <conditionalFormatting sqref="B3:P14">
    <cfRule type="cellIs" dxfId="1" priority="1" operator="greaterThan">
      <formula>0.05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14"/>
  <sheetViews>
    <sheetView workbookViewId="0">
      <selection activeCell="H25" sqref="H25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6" ht="15.75" thickBot="1" x14ac:dyDescent="0.3">
      <c r="A1" s="30" t="s">
        <v>45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</row>
    <row r="2" spans="1:16" x14ac:dyDescent="0.25">
      <c r="A2" s="2" t="s">
        <v>50</v>
      </c>
      <c r="B2" s="13" t="s">
        <v>68</v>
      </c>
      <c r="C2" s="13" t="s">
        <v>69</v>
      </c>
      <c r="D2" s="13" t="s">
        <v>70</v>
      </c>
      <c r="E2" s="13" t="s">
        <v>71</v>
      </c>
      <c r="F2" s="13" t="s">
        <v>72</v>
      </c>
      <c r="G2" s="13" t="s">
        <v>73</v>
      </c>
      <c r="H2" s="13" t="s">
        <v>74</v>
      </c>
      <c r="I2" s="13" t="s">
        <v>75</v>
      </c>
      <c r="J2" s="13" t="s">
        <v>76</v>
      </c>
      <c r="K2" s="13" t="s">
        <v>77</v>
      </c>
      <c r="L2" s="13" t="s">
        <v>78</v>
      </c>
      <c r="M2" s="13" t="s">
        <v>79</v>
      </c>
      <c r="N2" s="13" t="s">
        <v>80</v>
      </c>
      <c r="O2" s="13" t="s">
        <v>81</v>
      </c>
      <c r="P2" s="1"/>
    </row>
    <row r="3" spans="1:16" x14ac:dyDescent="0.25">
      <c r="A3" s="3" t="s">
        <v>51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</row>
    <row r="4" spans="1:16" x14ac:dyDescent="0.25">
      <c r="A4" s="10" t="s">
        <v>52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</row>
    <row r="5" spans="1:16" x14ac:dyDescent="0.25">
      <c r="A5" s="10" t="s">
        <v>53</v>
      </c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</row>
    <row r="6" spans="1:16" x14ac:dyDescent="0.25">
      <c r="A6" s="10" t="s">
        <v>54</v>
      </c>
      <c r="B6" s="20"/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</row>
    <row r="7" spans="1:16" x14ac:dyDescent="0.25">
      <c r="A7" s="10" t="s">
        <v>55</v>
      </c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</row>
    <row r="8" spans="1:16" x14ac:dyDescent="0.25">
      <c r="A8" s="10" t="s">
        <v>56</v>
      </c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</row>
    <row r="9" spans="1:16" x14ac:dyDescent="0.25">
      <c r="A9" s="10" t="s">
        <v>57</v>
      </c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</row>
    <row r="10" spans="1:16" x14ac:dyDescent="0.25">
      <c r="A10" s="10" t="s">
        <v>58</v>
      </c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</row>
    <row r="11" spans="1:16" x14ac:dyDescent="0.25">
      <c r="A11" s="10" t="s">
        <v>59</v>
      </c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</row>
    <row r="12" spans="1:16" x14ac:dyDescent="0.25">
      <c r="A12" s="10" t="s">
        <v>60</v>
      </c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</row>
    <row r="13" spans="1:16" x14ac:dyDescent="0.25">
      <c r="A13" s="10" t="s">
        <v>61</v>
      </c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</row>
    <row r="14" spans="1:16" x14ac:dyDescent="0.25">
      <c r="A14" s="6" t="s">
        <v>62</v>
      </c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</row>
  </sheetData>
  <mergeCells count="1">
    <mergeCell ref="A1:P1"/>
  </mergeCells>
  <conditionalFormatting sqref="B3:P14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14"/>
  <sheetViews>
    <sheetView workbookViewId="0">
      <selection activeCell="H26" sqref="H26"/>
    </sheetView>
  </sheetViews>
  <sheetFormatPr defaultColWidth="8.85546875" defaultRowHeight="15" x14ac:dyDescent="0.25"/>
  <cols>
    <col min="1" max="1" width="8.7109375" style="14" bestFit="1" customWidth="1"/>
    <col min="2" max="9" width="15.140625" style="14" bestFit="1" customWidth="1"/>
    <col min="10" max="15" width="16.140625" style="14" bestFit="1" customWidth="1"/>
    <col min="16" max="16384" width="8.85546875" style="14"/>
  </cols>
  <sheetData>
    <row r="1" spans="1:16" ht="15.75" thickBot="1" x14ac:dyDescent="0.3">
      <c r="A1" s="30" t="s">
        <v>46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</row>
    <row r="2" spans="1:16" x14ac:dyDescent="0.25">
      <c r="A2" s="15" t="s">
        <v>50</v>
      </c>
      <c r="B2" s="13" t="s">
        <v>68</v>
      </c>
      <c r="C2" s="13" t="s">
        <v>69</v>
      </c>
      <c r="D2" s="13" t="s">
        <v>70</v>
      </c>
      <c r="E2" s="13" t="s">
        <v>71</v>
      </c>
      <c r="F2" s="13" t="s">
        <v>72</v>
      </c>
      <c r="G2" s="13" t="s">
        <v>73</v>
      </c>
      <c r="H2" s="13" t="s">
        <v>74</v>
      </c>
      <c r="I2" s="13" t="s">
        <v>75</v>
      </c>
      <c r="J2" s="13" t="s">
        <v>76</v>
      </c>
      <c r="K2" s="13" t="s">
        <v>77</v>
      </c>
      <c r="L2" s="13" t="s">
        <v>78</v>
      </c>
      <c r="M2" s="13" t="s">
        <v>79</v>
      </c>
      <c r="N2" s="13" t="s">
        <v>80</v>
      </c>
      <c r="O2" s="13" t="s">
        <v>81</v>
      </c>
      <c r="P2" s="15"/>
    </row>
    <row r="3" spans="1:16" x14ac:dyDescent="0.25">
      <c r="A3" s="16" t="s">
        <v>51</v>
      </c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</row>
    <row r="4" spans="1:16" x14ac:dyDescent="0.25">
      <c r="A4" s="17" t="s">
        <v>52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</row>
    <row r="5" spans="1:16" x14ac:dyDescent="0.25">
      <c r="A5" s="17" t="s">
        <v>53</v>
      </c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</row>
    <row r="6" spans="1:16" x14ac:dyDescent="0.25">
      <c r="A6" s="17" t="s">
        <v>54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</row>
    <row r="7" spans="1:16" x14ac:dyDescent="0.25">
      <c r="A7" s="17" t="s">
        <v>55</v>
      </c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</row>
    <row r="8" spans="1:16" x14ac:dyDescent="0.25">
      <c r="A8" s="17" t="s">
        <v>56</v>
      </c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</row>
    <row r="9" spans="1:16" x14ac:dyDescent="0.25">
      <c r="A9" s="17" t="s">
        <v>57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</row>
    <row r="10" spans="1:16" x14ac:dyDescent="0.25">
      <c r="A10" s="17" t="s">
        <v>58</v>
      </c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</row>
    <row r="11" spans="1:16" x14ac:dyDescent="0.25">
      <c r="A11" s="17" t="s">
        <v>59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</row>
    <row r="12" spans="1:16" x14ac:dyDescent="0.25">
      <c r="A12" s="17" t="s">
        <v>60</v>
      </c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</row>
    <row r="13" spans="1:16" x14ac:dyDescent="0.25">
      <c r="A13" s="17" t="s">
        <v>61</v>
      </c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</row>
    <row r="14" spans="1:16" x14ac:dyDescent="0.25">
      <c r="A14" s="18" t="s">
        <v>62</v>
      </c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</row>
  </sheetData>
  <mergeCells count="1">
    <mergeCell ref="A1:P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5"/>
  <sheetViews>
    <sheetView workbookViewId="0">
      <selection activeCell="E21" sqref="E21"/>
    </sheetView>
  </sheetViews>
  <sheetFormatPr defaultRowHeight="15" x14ac:dyDescent="0.25"/>
  <cols>
    <col min="1" max="1" width="53.85546875" bestFit="1" customWidth="1"/>
  </cols>
  <sheetData>
    <row r="1" spans="1:1" x14ac:dyDescent="0.25">
      <c r="A1" t="s">
        <v>63</v>
      </c>
    </row>
    <row r="2" spans="1:1" x14ac:dyDescent="0.25">
      <c r="A2" t="s">
        <v>64</v>
      </c>
    </row>
    <row r="3" spans="1:1" x14ac:dyDescent="0.25">
      <c r="A3" t="s">
        <v>65</v>
      </c>
    </row>
    <row r="4" spans="1:1" x14ac:dyDescent="0.25">
      <c r="A4" t="s">
        <v>66</v>
      </c>
    </row>
    <row r="5" spans="1:1" x14ac:dyDescent="0.25">
      <c r="A5" t="s">
        <v>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Conclusions</vt:lpstr>
      <vt:lpstr>TTest_p</vt:lpstr>
      <vt:lpstr>TTest_h</vt:lpstr>
      <vt:lpstr>Wilcoxon_p</vt:lpstr>
      <vt:lpstr>Wilcoxon_h</vt:lpstr>
      <vt:lpstr>Wilcoxon_stat</vt:lpstr>
      <vt:lpstr>Explanation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Seyed Mohammad Mahdi Hashemi</cp:lastModifiedBy>
  <dcterms:modified xsi:type="dcterms:W3CDTF">2025-12-29T19:16:31Z</dcterms:modified>
</cp:coreProperties>
</file>